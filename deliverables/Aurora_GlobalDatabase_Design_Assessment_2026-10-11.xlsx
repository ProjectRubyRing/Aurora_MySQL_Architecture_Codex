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はじめに" sheetId="1" r:id="rId1"/>
    <sheet name="01_結論と前提" sheetId="2" r:id="rId2"/>
    <sheet name="02_構成図" sheetId="3" r:id="rId3"/>
    <sheet name="03_仕組みと歴史" sheetId="4" r:id="rId4"/>
    <sheet name="04_Global構成評価" sheetId="5" r:id="rId5"/>
    <sheet name="05_DR手順" sheetId="6" r:id="rId6"/>
    <sheet name="06_設定取得と共通イメージ" sheetId="7" r:id="rId7"/>
    <sheet name="07_Proxy設定" sheetId="8" r:id="rId8"/>
    <sheet name="08_接続経路の厳格評価" sheetId="9" r:id="rId9"/>
    <sheet name="09_パラメータ設計原則" sheetId="10" r:id="rId10"/>
    <sheet name="10_タイムアウト" sheetId="11" r:id="rId11"/>
    <sheet name="11_Java_JNDI" sheetId="12" r:id="rId12"/>
    <sheet name="12_認証とTLS" sheetId="13" r:id="rId13"/>
    <sheet name="13_ストレージ設計" sheetId="14" r:id="rId14"/>
    <sheet name="14_受入試験と監視" sheetId="15" r:id="rId15"/>
    <sheet name="15_接続数試算" sheetId="16" r:id="rId16"/>
    <sheet name="16_設定例と確認手順" sheetId="17" r:id="rId17"/>
    <sheet name="20_クラスタ既定" sheetId="18" r:id="rId18"/>
    <sheet name="21_クラスタ推奨" sheetId="19" r:id="rId19"/>
    <sheet name="22_インスタンス既定" sheetId="20" r:id="rId20"/>
    <sheet name="23_インスタンス推奨" sheetId="21" r:id="rId21"/>
    <sheet name="24_全件一覧の読み方" sheetId="22" r:id="rId22"/>
    <sheet name="25_長い許容値" sheetId="23" r:id="rId23"/>
    <sheet name="90_公式出典" sheetId="24" r:id="rId24"/>
    <sheet name="91_API取得証跡" sheetId="25" r:id="rId25"/>
  </sheets>
  <definedNames>
    <definedName name="_xlnm._FilterDatabase" localSheetId="1" hidden="1">'01_結論と前提'!$A$5:$E$15</definedName>
    <definedName name="_xlnm._FilterDatabase" localSheetId="3" hidden="1">'03_仕組みと歴史'!$A$5:$E$16</definedName>
    <definedName name="_xlnm._FilterDatabase" localSheetId="4" hidden="1">'04_Global構成評価'!$A$5:$E$17</definedName>
    <definedName name="_xlnm._FilterDatabase" localSheetId="5" hidden="1">'05_DR手順'!$A$5:$E$17</definedName>
    <definedName name="_xlnm._FilterDatabase" localSheetId="6" hidden="1">'06_設定取得と共通イメージ'!$A$5:$E$15</definedName>
    <definedName name="_xlnm._FilterDatabase" localSheetId="7" hidden="1">'07_Proxy設定'!$A$5:$F$36</definedName>
    <definedName name="_xlnm._FilterDatabase" localSheetId="8" hidden="1">'08_接続経路の厳格評価'!$A$5:$E$17</definedName>
    <definedName name="_xlnm._FilterDatabase" localSheetId="9" hidden="1">'09_パラメータ設計原則'!$A$5:$E$17</definedName>
    <definedName name="_xlnm._FilterDatabase" localSheetId="10" hidden="1">'10_タイムアウト'!$A$5:$H$27</definedName>
    <definedName name="_xlnm._FilterDatabase" localSheetId="11" hidden="1">'11_Java_JNDI'!$A$5:$F$28</definedName>
    <definedName name="_xlnm._FilterDatabase" localSheetId="12" hidden="1">'12_認証とTLS'!$A$5:$E$14</definedName>
    <definedName name="_xlnm._FilterDatabase" localSheetId="13" hidden="1">'13_ストレージ設計'!$A$5:$E$23</definedName>
    <definedName name="_xlnm._FilterDatabase" localSheetId="14" hidden="1">'14_受入試験と監視'!$A$5:$E$20</definedName>
    <definedName name="_xlnm._FilterDatabase" localSheetId="16" hidden="1">'16_設定例と確認手順'!$A$5:$E$12</definedName>
    <definedName name="_xlnm._FilterDatabase" localSheetId="17" hidden="1">'20_クラスタ既定'!$A$5:$M$435</definedName>
    <definedName name="_xlnm._FilterDatabase" localSheetId="18" hidden="1">'21_クラスタ推奨'!$A$5:$I$435</definedName>
    <definedName name="_xlnm._FilterDatabase" localSheetId="19" hidden="1">'22_インスタンス既定'!$A$5:$M$304</definedName>
    <definedName name="_xlnm._FilterDatabase" localSheetId="20" hidden="1">'23_インスタンス推奨'!$A$5:$I$304</definedName>
    <definedName name="_xlnm._FilterDatabase" localSheetId="21" hidden="1">'24_全件一覧の読み方'!$A$5:$E$15</definedName>
    <definedName name="_xlnm._FilterDatabase" localSheetId="22" hidden="1">'25_長い許容値'!$A$5:$E$105</definedName>
    <definedName name="_xlnm._FilterDatabase" localSheetId="23" hidden="1">'90_公式出典'!$A$5:$E$66</definedName>
    <definedName name="_xlnm._FilterDatabase" localSheetId="24" hidden="1">'91_API取得証跡'!$A$5:$F$17</definedName>
    <definedName name="_xlnm.Print_Area" localSheetId="0">'00_はじめに'!$B$2:$D$26</definedName>
    <definedName name="_xlnm.Print_Area" localSheetId="1">'01_結論と前提'!$A$1:$E$15</definedName>
    <definedName name="_xlnm.Print_Area" localSheetId="2">'02_構成図'!$A$1:$P$39</definedName>
    <definedName name="_xlnm.Print_Area" localSheetId="3">'03_仕組みと歴史'!$A$1:$E$16</definedName>
    <definedName name="_xlnm.Print_Area" localSheetId="4">'04_Global構成評価'!$A$1:$E$17</definedName>
    <definedName name="_xlnm.Print_Area" localSheetId="5">'05_DR手順'!$A$1:$E$17</definedName>
    <definedName name="_xlnm.Print_Area" localSheetId="6">'06_設定取得と共通イメージ'!$A$1:$E$15</definedName>
    <definedName name="_xlnm.Print_Area" localSheetId="7">'07_Proxy設定'!$A$1:$F$36</definedName>
    <definedName name="_xlnm.Print_Area" localSheetId="8">'08_接続経路の厳格評価'!$A$1:$E$17</definedName>
    <definedName name="_xlnm.Print_Area" localSheetId="9">'09_パラメータ設計原則'!$A$1:$E$17</definedName>
    <definedName name="_xlnm.Print_Area" localSheetId="10">'10_タイムアウト'!$A$1:$H$27</definedName>
    <definedName name="_xlnm.Print_Area" localSheetId="11">'11_Java_JNDI'!$A$1:$F$28</definedName>
    <definedName name="_xlnm.Print_Area" localSheetId="12">'12_認証とTLS'!$A$1:$E$14</definedName>
    <definedName name="_xlnm.Print_Area" localSheetId="13">'13_ストレージ設計'!$A$1:$E$23</definedName>
    <definedName name="_xlnm.Print_Area" localSheetId="14">'14_受入試験と監視'!$A$1:$E$20</definedName>
    <definedName name="_xlnm.Print_Area" localSheetId="15">'15_接続数試算'!$B$2:$D$29</definedName>
    <definedName name="_xlnm.Print_Area" localSheetId="16">'16_設定例と確認手順'!$A$1:$E$12</definedName>
    <definedName name="_xlnm.Print_Area" localSheetId="17">'20_クラスタ既定'!$A$1:$M$435</definedName>
    <definedName name="_xlnm.Print_Area" localSheetId="18">'21_クラスタ推奨'!$A$1:$I$435</definedName>
    <definedName name="_xlnm.Print_Area" localSheetId="19">'22_インスタンス既定'!$A$1:$M$304</definedName>
    <definedName name="_xlnm.Print_Area" localSheetId="20">'23_インスタンス推奨'!$A$1:$I$304</definedName>
    <definedName name="_xlnm.Print_Area" localSheetId="21">'24_全件一覧の読み方'!$A$1:$E$15</definedName>
    <definedName name="_xlnm.Print_Area" localSheetId="22">'25_長い許容値'!$A$1:$E$105</definedName>
    <definedName name="_xlnm.Print_Area" localSheetId="23">'90_公式出典'!$A$1:$E$66</definedName>
    <definedName name="_xlnm.Print_Area" localSheetId="24">'91_API取得証跡'!$A$1:$F$17</definedName>
    <definedName name="_xlnm.Print_Titles" localSheetId="1">'01_結論と前提'!$A:$A,'01_結論と前提'!$5:$5</definedName>
    <definedName name="_xlnm.Print_Titles" localSheetId="3">'03_仕組みと歴史'!$A:$A,'03_仕組みと歴史'!$5:$5</definedName>
    <definedName name="_xlnm.Print_Titles" localSheetId="4">'04_Global構成評価'!$A:$A,'04_Global構成評価'!$5:$5</definedName>
    <definedName name="_xlnm.Print_Titles" localSheetId="5">'05_DR手順'!$A:$A,'05_DR手順'!$5:$5</definedName>
    <definedName name="_xlnm.Print_Titles" localSheetId="6">'06_設定取得と共通イメージ'!$A:$A,'06_設定取得と共通イメージ'!$5:$5</definedName>
    <definedName name="_xlnm.Print_Titles" localSheetId="7">'07_Proxy設定'!$A:$A,'07_Proxy設定'!$5:$5</definedName>
    <definedName name="_xlnm.Print_Titles" localSheetId="8">'08_接続経路の厳格評価'!$A:$A,'08_接続経路の厳格評価'!$5:$5</definedName>
    <definedName name="_xlnm.Print_Titles" localSheetId="9">'09_パラメータ設計原則'!$A:$A,'09_パラメータ設計原則'!$5:$5</definedName>
    <definedName name="_xlnm.Print_Titles" localSheetId="10">'10_タイムアウト'!$A:$A,'10_タイムアウト'!$5:$5</definedName>
    <definedName name="_xlnm.Print_Titles" localSheetId="11">'11_Java_JNDI'!$A:$A,'11_Java_JNDI'!$5:$5</definedName>
    <definedName name="_xlnm.Print_Titles" localSheetId="12">'12_認証とTLS'!$A:$A,'12_認証とTLS'!$5:$5</definedName>
    <definedName name="_xlnm.Print_Titles" localSheetId="13">'13_ストレージ設計'!$A:$A,'13_ストレージ設計'!$5:$5</definedName>
    <definedName name="_xlnm.Print_Titles" localSheetId="14">'14_受入試験と監視'!$A:$A,'14_受入試験と監視'!$5:$5</definedName>
    <definedName name="_xlnm.Print_Titles" localSheetId="16">'16_設定例と確認手順'!$A:$A,'16_設定例と確認手順'!$5:$5</definedName>
    <definedName name="_xlnm.Print_Titles" localSheetId="17">'20_クラスタ既定'!$A:$B,'20_クラスタ既定'!$5:$5</definedName>
    <definedName name="_xlnm.Print_Titles" localSheetId="18">'21_クラスタ推奨'!$A:$B,'21_クラスタ推奨'!$5:$5</definedName>
    <definedName name="_xlnm.Print_Titles" localSheetId="19">'22_インスタンス既定'!$A:$B,'22_インスタンス既定'!$5:$5</definedName>
    <definedName name="_xlnm.Print_Titles" localSheetId="20">'23_インスタンス推奨'!$A:$B,'23_インスタンス推奨'!$5:$5</definedName>
    <definedName name="_xlnm.Print_Titles" localSheetId="21">'24_全件一覧の読み方'!$A:$A,'24_全件一覧の読み方'!$5:$5</definedName>
    <definedName name="_xlnm.Print_Titles" localSheetId="22">'25_長い許容値'!$A:$A,'25_長い許容値'!$5:$5</definedName>
    <definedName name="_xlnm.Print_Titles" localSheetId="23">'90_公式出典'!$A:$A,'90_公式出典'!$5:$5</definedName>
    <definedName name="_xlnm.Print_Titles" localSheetId="24">'91_API取得証跡'!$A:$A,'91_API取得証跡'!$5:$5</definedName>
  </definedNames>
  <calcPr calcId="124519" fullCalcOnLoad="1"/>
</workbook>
</file>

<file path=xl/comments1.xml><?xml version="1.0" encoding="utf-8"?>
<comments xmlns="http://schemas.openxmlformats.org/spreadsheetml/2006/main">
  <authors>
    <author/>
  </authors>
  <commentList>
    <comment ref="E6" authorId="0">
      <text>
        <r>
          <rPr>
            <sz val="9"/>
            <color indexed="81"/>
            <rFont val="Meiryo UI"/>
            <family val="2"/>
          </rPr>
          <t>https://docs.aws.amazon.com/AmazonRDS/latest/AuroraUserGuide/Concepts.Aurora_Fea_Regions_DB-eng.Feature.RDS_Proxy.html
https://docs.aws.amazon.com/AmazonRDS/latest/AuroraUserGuide/rds-proxy-gdb.html
https://docs.aws.amazon.com/AmazonRDS/latest/AuroraUserGuide/aurora-global-database.html</t>
        </r>
      </text>
    </comment>
    <comment ref="E7" authorId="0">
      <text>
        <r>
          <rPr>
            <sz val="9"/>
            <color indexed="81"/>
            <rFont val="Meiryo UI"/>
            <family val="2"/>
          </rPr>
          <t>https://docs.aws.amazon.com/AmazonRDS/latest/AuroraUserGuide/aurora-global-database.html
https://docs.redhat.com/en/documentation/red_hat_jboss_enterprise_application_platform/8.1/html/configuration_guide/datasource_management</t>
        </r>
      </text>
    </comment>
    <comment ref="E8" authorId="0">
      <text>
        <r>
          <rPr>
            <sz val="9"/>
            <color indexed="81"/>
            <rFont val="Meiryo UI"/>
            <family val="2"/>
          </rPr>
          <t>https://docs.aws.amazon.com/AmazonRDS/latest/AuroraMySQLReleaseNotes/AuroraMySQL.Updates.847.html
https://docs.aws.amazon.com/AmazonRDS/latest/AuroraUserGuide/AuroraMySQL.Updates.Versions.html</t>
        </r>
      </text>
    </comment>
    <comment ref="E10" authorId="0">
      <text>
        <r>
          <rPr>
            <sz val="9"/>
            <color indexed="81"/>
            <rFont val="Meiryo UI"/>
            <family val="2"/>
          </rPr>
          <t>https://docs.aws.amazon.com/AmazonRDS/latest/APIReference/API_DescribeDBClusterParameters.html
https://docs.aws.amazon.com/AmazonRDS/latest/APIReference/API_DescribeDBParameters.html</t>
        </r>
      </text>
    </comment>
    <comment ref="E11" authorId="0">
      <text>
        <r>
          <rPr>
            <sz val="9"/>
            <color indexed="81"/>
            <rFont val="Meiryo UI"/>
            <family val="2"/>
          </rPr>
          <t>https://docs.aws.amazon.com/AmazonRDS/latest/APIReference/API_DescribeDBClusterParameters.html
https://docs.aws.amazon.com/AmazonRDS/latest/APIReference/API_DescribeDBParameters.html</t>
        </r>
      </text>
    </comment>
    <comment ref="E12" authorId="0">
      <text>
        <r>
          <rPr>
            <sz val="9"/>
            <color indexed="81"/>
            <rFont val="Meiryo UI"/>
            <family val="2"/>
          </rPr>
          <t>https://docs.aws.amazon.com/AmazonRDS/latest/AuroraUserGuide/AuroraMySQL.Reference.ParameterGroups.html
https://dev.mysql.com/doc/refman/8.4/en/server-system-variables.html
https://dev.mysql.com/doc/refman/8.4/en/innodb-parameters.html</t>
        </r>
      </text>
    </comment>
    <comment ref="E13" authorId="0">
      <text>
        <r>
          <rPr>
            <sz val="9"/>
            <color indexed="81"/>
            <rFont val="Meiryo UI"/>
            <family val="2"/>
          </rPr>
          <t>https://docs.aws.amazon.com/AmazonRDS/latest/AuroraUserGuide/rds-proxy-creating.html
https://docs.aws.amazon.com/AmazonRDS/latest/AuroraUserGuide/rds-proxy.html</t>
        </r>
      </text>
    </comment>
    <comment ref="E14" authorId="0">
      <text>
        <r>
          <rPr>
            <sz val="9"/>
            <color indexed="81"/>
            <rFont val="Meiryo UI"/>
            <family val="2"/>
          </rPr>
          <t>https://docs.aws.amazon.com/AmazonRDS/latest/AuroraUserGuide/rds-proxy.html
https://docs.aws.amazon.com/AmazonRDS/latest/AuroraUserGuide/rds-proxy-endpoints.html</t>
        </r>
      </text>
    </comment>
  </commentList>
</comments>
</file>

<file path=xl/comments2.xml><?xml version="1.0" encoding="utf-8"?>
<comments xmlns="http://schemas.openxmlformats.org/spreadsheetml/2006/main">
  <authors>
    <author/>
  </authors>
  <commentList>
    <comment ref="E7" authorId="0">
      <text>
        <r>
          <rPr>
            <sz val="9"/>
            <color indexed="81"/>
            <rFont val="Meiryo UI"/>
            <family val="2"/>
          </rPr>
          <t>https://docs.aws.amazon.com/AmazonRDS/latest/AuroraUserGuide/Aurora.Overview.StorageReliability.html
https://docs.aws.amazon.com/AmazonRDS/latest/AuroraUserGuide/aurora-serverless-v2.setting-capacity.html</t>
        </r>
      </text>
    </comment>
    <comment ref="E8" authorId="0">
      <text>
        <r>
          <rPr>
            <sz val="9"/>
            <color indexed="81"/>
            <rFont val="Meiryo UI"/>
            <family val="2"/>
          </rPr>
          <t>https://docs.aws.amazon.com/AmazonRDS/latest/AuroraUserGuide/aurora-global-database.html
https://aws.amazon.com/about-aws/whats-new/2018/11/announcing-amazon-aurora-global-database/</t>
        </r>
      </text>
    </comment>
    <comment ref="E9" authorId="0">
      <text>
        <r>
          <rPr>
            <sz val="9"/>
            <color indexed="81"/>
            <rFont val="Meiryo UI"/>
            <family val="2"/>
          </rPr>
          <t>https://docs.aws.amazon.com/AmazonRDS/latest/AuroraUserGuide/rds-proxy.howitworks.html</t>
        </r>
      </text>
    </comment>
    <comment ref="E10" authorId="0">
      <text>
        <r>
          <rPr>
            <sz val="9"/>
            <color indexed="81"/>
            <rFont val="Meiryo UI"/>
            <family val="2"/>
          </rPr>
          <t>https://docs.aws.amazon.com/AmazonRDS/latest/AuroraUserGuide/rds-proxy-pinning.html
https://dev.mysql.com/doc/connector-j/en/connector-j-reference-configuration-properties.html</t>
        </r>
      </text>
    </comment>
    <comment ref="E11" authorId="0">
      <text>
        <r>
          <rPr>
            <sz val="9"/>
            <color indexed="81"/>
            <rFont val="Meiryo UI"/>
            <family val="2"/>
          </rPr>
          <t>https://docs.aws.amazon.com/AmazonRDS/latest/AuroraUserGuide/aurora-serverless-v2.setting-capacity.html
https://docs.aws.amazon.com/AmazonRDS/latest/AuroraUserGuide/aurora-serverless-v2-auto-pause.html</t>
        </r>
      </text>
    </comment>
    <comment ref="E12" authorId="0">
      <text>
        <r>
          <rPr>
            <sz val="9"/>
            <color indexed="81"/>
            <rFont val="Meiryo UI"/>
            <family val="2"/>
          </rPr>
          <t>https://docs.aws.amazon.com/AmazonRDS/latest/AuroraUserGuide/rds-proxy-connections.html
https://aws.amazon.com/blogs/aws/amazon-rds-proxy-now-generally-available/</t>
        </r>
      </text>
    </comment>
    <comment ref="E13" authorId="0">
      <text>
        <r>
          <rPr>
            <sz val="9"/>
            <color indexed="81"/>
            <rFont val="Meiryo UI"/>
            <family val="2"/>
          </rPr>
          <t>https://aws.amazon.com/about-aws/whats-new/2018/11/announcing-amazon-aurora-global-database/</t>
        </r>
      </text>
    </comment>
    <comment ref="E14" authorId="0">
      <text>
        <r>
          <rPr>
            <sz val="9"/>
            <color indexed="81"/>
            <rFont val="Meiryo UI"/>
            <family val="2"/>
          </rPr>
          <t>https://aws.amazon.com/blogs/aws/amazon-rds-proxy-now-generally-available/</t>
        </r>
      </text>
    </comment>
    <comment ref="E15" authorId="0">
      <text>
        <r>
          <rPr>
            <sz val="9"/>
            <color indexed="81"/>
            <rFont val="Meiryo UI"/>
            <family val="2"/>
          </rPr>
          <t>https://aws.amazon.com/about-aws/whats-new/2022/04/amazon-aurora-serverless-v2/
https://aws.amazon.com/about-aws/whats-new/2022/12/amazon-rds-proxy-creating-proxies-aurora-global-database-primary-secondary-regions/</t>
        </r>
      </text>
    </comment>
    <comment ref="E16" authorId="0">
      <text>
        <r>
          <rPr>
            <sz val="9"/>
            <color indexed="81"/>
            <rFont val="Meiryo UI"/>
            <family val="2"/>
          </rPr>
          <t>https://aws.amazon.com/about-aws/whats-new/2026/05/amazon-aurora-mysql/8-4/
https://docs.aws.amazon.com/AmazonRDS/latest/AuroraUserGuide/AuroraMySQL.Upgrade-v3-v84-security.html</t>
        </r>
      </text>
    </comment>
  </commentList>
</comments>
</file>

<file path=xl/comments3.xml><?xml version="1.0" encoding="utf-8"?>
<comments xmlns="http://schemas.openxmlformats.org/spreadsheetml/2006/main">
  <authors>
    <author/>
  </authors>
  <commentList>
    <comment ref="E6" authorId="0">
      <text>
        <r>
          <rPr>
            <sz val="9"/>
            <color indexed="81"/>
            <rFont val="Meiryo UI"/>
            <family val="2"/>
          </rPr>
          <t>https://docs.aws.amazon.com/AmazonRDS/latest/AuroraUserGuide/aurora-global-database.html</t>
        </r>
      </text>
    </comment>
    <comment ref="E7" authorId="0">
      <text>
        <r>
          <rPr>
            <sz val="9"/>
            <color indexed="81"/>
            <rFont val="Meiryo UI"/>
            <family val="2"/>
          </rPr>
          <t>https://docs.aws.amazon.com/AmazonRDS/latest/AuroraUserGuide/aurora-global-database-disaster-recovery.html</t>
        </r>
      </text>
    </comment>
    <comment ref="E8" authorId="0">
      <text>
        <r>
          <rPr>
            <sz val="9"/>
            <color indexed="81"/>
            <rFont val="Meiryo UI"/>
            <family val="2"/>
          </rPr>
          <t>https://docs.aws.amazon.com/AmazonRDS/latest/AuroraUserGuide/rds-proxy-creating.html
https://docs.aws.amazon.com/AmazonRDS/latest/AuroraUserGuide/rds-proxy.html</t>
        </r>
      </text>
    </comment>
    <comment ref="E9" authorId="0">
      <text>
        <r>
          <rPr>
            <sz val="9"/>
            <color indexed="81"/>
            <rFont val="Meiryo UI"/>
            <family val="2"/>
          </rPr>
          <t>https://docs.aws.amazon.com/AmazonRDS/latest/AuroraUserGuide/rds-proxy-gdb.html
https://docs.aws.amazon.com/AmazonRDS/latest/AuroraUserGuide/rds-proxy-endpoints.html</t>
        </r>
      </text>
    </comment>
    <comment ref="E10" authorId="0">
      <text>
        <r>
          <rPr>
            <sz val="9"/>
            <color indexed="81"/>
            <rFont val="Meiryo UI"/>
            <family val="2"/>
          </rPr>
          <t>https://docs.aws.amazon.com/AmazonRDS/latest/AuroraUserGuide/rds-proxy-gdb.html</t>
        </r>
      </text>
    </comment>
    <comment ref="E11" authorId="0">
      <text>
        <r>
          <rPr>
            <sz val="9"/>
            <color indexed="81"/>
            <rFont val="Meiryo UI"/>
            <family val="2"/>
          </rPr>
          <t>https://docs.aws.amazon.com/AmazonRDS/latest/AuroraUserGuide/rds-proxy-gdb.html</t>
        </r>
      </text>
    </comment>
    <comment ref="E12" authorId="0">
      <text>
        <r>
          <rPr>
            <sz val="9"/>
            <color indexed="81"/>
            <rFont val="Meiryo UI"/>
            <family val="2"/>
          </rPr>
          <t>https://docs.aws.amazon.com/AmazonRDS/latest/AuroraUserGuide/rds-proxy-gdb.html
https://docs.aws.amazon.com/AmazonRDS/latest/AuroraUserGuide/rds-proxy-endpoints.html</t>
        </r>
      </text>
    </comment>
    <comment ref="E13" authorId="0">
      <text>
        <r>
          <rPr>
            <sz val="9"/>
            <color indexed="81"/>
            <rFont val="Meiryo UI"/>
            <family val="2"/>
          </rPr>
          <t>https://docs.aws.amazon.com/AmazonRDS/latest/AuroraUserGuide/rds-proxy-gdb.html</t>
        </r>
      </text>
    </comment>
    <comment ref="E14" authorId="0">
      <text>
        <r>
          <rPr>
            <sz val="9"/>
            <color indexed="81"/>
            <rFont val="Meiryo UI"/>
            <family val="2"/>
          </rPr>
          <t>https://docs.aws.amazon.com/AmazonRDS/latest/AuroraUserGuide/rds-proxy.html
https://docs.aws.amazon.com/AmazonRDS/latest/AuroraUserGuide/aurora-global-database-disaster-recovery.html</t>
        </r>
      </text>
    </comment>
    <comment ref="E15" authorId="0">
      <text>
        <r>
          <rPr>
            <sz val="9"/>
            <color indexed="81"/>
            <rFont val="Meiryo UI"/>
            <family val="2"/>
          </rPr>
          <t>https://docs.aws.amazon.com/AmazonRDS/latest/AuroraUserGuide/aurora-serverless-v2.setting-capacity.html
https://aws.amazon.com/rds/proxy/pricing/</t>
        </r>
      </text>
    </comment>
    <comment ref="E16" authorId="0">
      <text>
        <r>
          <rPr>
            <sz val="9"/>
            <color indexed="81"/>
            <rFont val="Meiryo UI"/>
            <family val="2"/>
          </rPr>
          <t>https://docs.aws.amazon.com/AmazonRDS/latest/AuroraUserGuide/aurora-serverless-v2-auto-pause.html</t>
        </r>
      </text>
    </comment>
    <comment ref="E17" authorId="0">
      <text>
        <r>
          <rPr>
            <sz val="9"/>
            <color indexed="81"/>
            <rFont val="Meiryo UI"/>
            <family val="2"/>
          </rPr>
          <t>https://docs.aws.amazon.com/AmazonRDS/latest/AuroraUserGuide/Aurora.Managing.Backups.html
https://aws.amazon.com/blogs/database/understanding-how-backups-work-in-amazon-aurora/</t>
        </r>
      </text>
    </comment>
  </commentList>
</comments>
</file>

<file path=xl/comments4.xml><?xml version="1.0" encoding="utf-8"?>
<comments xmlns="http://schemas.openxmlformats.org/spreadsheetml/2006/main">
  <authors>
    <author/>
  </authors>
  <commentList>
    <comment ref="E6" authorId="0">
      <text>
        <r>
          <rPr>
            <sz val="9"/>
            <color indexed="81"/>
            <rFont val="Meiryo UI"/>
            <family val="2"/>
          </rPr>
          <t>https://docs.aws.amazon.com/AmazonECS/latest/developerguide/secrets-envvar-ssm-paramstore.html
https://docs.aws.amazon.com/secretsmanager/latest/userguide/replicate-secrets.html
https://docs.aws.amazon.com/AmazonECR/latest/userguide/replication.html</t>
        </r>
      </text>
    </comment>
    <comment ref="E7" authorId="0">
      <text>
        <r>
          <rPr>
            <sz val="9"/>
            <color indexed="81"/>
            <rFont val="Meiryo UI"/>
            <family val="2"/>
          </rPr>
          <t>https://docs.aws.amazon.com/AmazonRDS/latest/AuroraUserGuide/aurora-global-database-disaster-recovery.html</t>
        </r>
      </text>
    </comment>
    <comment ref="E8" authorId="0">
      <text>
        <r>
          <rPr>
            <sz val="9"/>
            <color indexed="81"/>
            <rFont val="Meiryo UI"/>
            <family val="2"/>
          </rPr>
          <t>https://docs.aws.amazon.com/AmazonRDS/latest/AuroraUserGuide/aurora-global-database-disaster-recovery.html</t>
        </r>
      </text>
    </comment>
    <comment ref="E9" authorId="0">
      <text>
        <r>
          <rPr>
            <sz val="9"/>
            <color indexed="81"/>
            <rFont val="Meiryo UI"/>
            <family val="2"/>
          </rPr>
          <t>https://docs.aws.amazon.com/AmazonRDS/latest/AuroraUserGuide/aurora-global-database-disaster-recovery.html
https://docs.aws.amazon.com/AmazonRDS/latest/AuroraUserGuide/Aurora.AuroraMonitoring.Metrics.html</t>
        </r>
      </text>
    </comment>
    <comment ref="E10" authorId="0">
      <text>
        <r>
          <rPr>
            <sz val="9"/>
            <color indexed="81"/>
            <rFont val="Meiryo UI"/>
            <family val="2"/>
          </rPr>
          <t>https://docs.aws.amazon.com/AmazonRDS/latest/AuroraUserGuide/aurora-global-database-disaster-recovery.html</t>
        </r>
      </text>
    </comment>
    <comment ref="E11" authorId="0">
      <text>
        <r>
          <rPr>
            <sz val="9"/>
            <color indexed="81"/>
            <rFont val="Meiryo UI"/>
            <family val="2"/>
          </rPr>
          <t>https://docs.aws.amazon.com/AmazonRDS/latest/AuroraUserGuide/rds-proxy-gdb.html
https://docs.aws.amazon.com/AmazonRDS/latest/AuroraUserGuide/rds-proxy.html</t>
        </r>
      </text>
    </comment>
    <comment ref="E12" authorId="0">
      <text>
        <r>
          <rPr>
            <sz val="9"/>
            <color indexed="81"/>
            <rFont val="Meiryo UI"/>
            <family val="2"/>
          </rPr>
          <t>https://docs.aws.amazon.com/AmazonECS/latest/developerguide/secrets-envvar-ssm-paramstore.html</t>
        </r>
      </text>
    </comment>
    <comment ref="E15" authorId="0">
      <text>
        <r>
          <rPr>
            <sz val="9"/>
            <color indexed="81"/>
            <rFont val="Meiryo UI"/>
            <family val="2"/>
          </rPr>
          <t>https://docs.aws.amazon.com/AmazonRDS/latest/AuroraUserGuide/aurora-global-database-disaster-recovery.html</t>
        </r>
      </text>
    </comment>
    <comment ref="E16" authorId="0">
      <text>
        <r>
          <rPr>
            <sz val="9"/>
            <color indexed="81"/>
            <rFont val="Meiryo UI"/>
            <family val="2"/>
          </rPr>
          <t>https://docs.aws.amazon.com/AmazonRDS/latest/AuroraUserGuide/aurora-global-database-disaster-recovery.html</t>
        </r>
      </text>
    </comment>
  </commentList>
</comments>
</file>

<file path=xl/comments5.xml><?xml version="1.0" encoding="utf-8"?>
<comments xmlns="http://schemas.openxmlformats.org/spreadsheetml/2006/main">
  <authors>
    <author/>
  </authors>
  <commentList>
    <comment ref="E6" authorId="0">
      <text>
        <r>
          <rPr>
            <sz val="9"/>
            <color indexed="81"/>
            <rFont val="Meiryo UI"/>
            <family val="2"/>
          </rPr>
          <t>https://docs.aws.amazon.com/AmazonECS/latest/developerguide/secrets-envvar-ssm-paramstore.html
https://docs.aws.amazon.com/systems-manager/latest/userguide/systems-manager-parameter-store.html</t>
        </r>
      </text>
    </comment>
    <comment ref="E8" authorId="0">
      <text>
        <r>
          <rPr>
            <sz val="9"/>
            <color indexed="81"/>
            <rFont val="Meiryo UI"/>
            <family val="2"/>
          </rPr>
          <t>https://docs.aws.amazon.com/AmazonECS/latest/developerguide/secrets-envvar-ssm-paramstore.html</t>
        </r>
      </text>
    </comment>
    <comment ref="E10" authorId="0">
      <text>
        <r>
          <rPr>
            <sz val="9"/>
            <color indexed="81"/>
            <rFont val="Meiryo UI"/>
            <family val="2"/>
          </rPr>
          <t>https://docs.aws.amazon.com/AmazonECS/latest/developerguide/secrets-envvar-ssm-paramstore.html</t>
        </r>
      </text>
    </comment>
    <comment ref="E12" authorId="0">
      <text>
        <r>
          <rPr>
            <sz val="9"/>
            <color indexed="81"/>
            <rFont val="Meiryo UI"/>
            <family val="2"/>
          </rPr>
          <t>https://docs.aws.amazon.com/AmazonECS/latest/developerguide/secrets-envvar-ssm-paramstore.html
https://docs.aws.amazon.com/AmazonECR/latest/userguide/replication.html</t>
        </r>
      </text>
    </comment>
    <comment ref="E13" authorId="0">
      <text>
        <r>
          <rPr>
            <sz val="9"/>
            <color indexed="81"/>
            <rFont val="Meiryo UI"/>
            <family val="2"/>
          </rPr>
          <t>https://docs.aws.amazon.com/AmazonRDS/latest/AuroraUserGuide/rds-proxy-creating.html
https://docs.aws.amazon.com/secretsmanager/latest/userguide/replicate-secrets.html</t>
        </r>
      </text>
    </comment>
    <comment ref="E14" authorId="0">
      <text>
        <r>
          <rPr>
            <sz val="9"/>
            <color indexed="81"/>
            <rFont val="Meiryo UI"/>
            <family val="2"/>
          </rPr>
          <t>https://docs.aws.amazon.com/secretsmanager/latest/userguide/replicate-secrets.html</t>
        </r>
      </text>
    </comment>
    <comment ref="E15" authorId="0">
      <text>
        <r>
          <rPr>
            <sz val="9"/>
            <color indexed="81"/>
            <rFont val="Meiryo UI"/>
            <family val="2"/>
          </rPr>
          <t>https://docs.aws.amazon.com/AmazonECR/latest/userguide/replication.html</t>
        </r>
      </text>
    </comment>
  </commentList>
</comments>
</file>

<file path=xl/comments6.xml><?xml version="1.0" encoding="utf-8"?>
<comments xmlns="http://schemas.openxmlformats.org/spreadsheetml/2006/main">
  <authors>
    <author/>
  </authors>
  <commentList>
    <comment ref="F6" authorId="0">
      <text>
        <r>
          <rPr>
            <sz val="9"/>
            <color indexed="81"/>
            <rFont val="Meiryo UI"/>
            <family val="2"/>
          </rPr>
          <t>https://docs.aws.amazon.com/AmazonRDS/latest/AuroraUserGuide/rds-proxy-creating.html
https://docs.aws.amazon.com/AmazonRDS/latest/APIReference/API_CreateDBProxy.html</t>
        </r>
      </text>
    </comment>
    <comment ref="F7" authorId="0">
      <text>
        <r>
          <rPr>
            <sz val="9"/>
            <color indexed="81"/>
            <rFont val="Meiryo UI"/>
            <family val="2"/>
          </rPr>
          <t>https://docs.aws.amazon.com/AmazonRDS/latest/APIReference/API_CreateDBProxy.html</t>
        </r>
      </text>
    </comment>
    <comment ref="F8" authorId="0">
      <text>
        <r>
          <rPr>
            <sz val="9"/>
            <color indexed="81"/>
            <rFont val="Meiryo UI"/>
            <family val="2"/>
          </rPr>
          <t>https://docs.aws.amazon.com/AmazonRDS/latest/AuroraUserGuide/rds-proxy-creating.html
https://docs.aws.amazon.com/AmazonRDS/latest/AuroraUserGuide/rds-proxy-connections.html</t>
        </r>
      </text>
    </comment>
    <comment ref="F9" authorId="0">
      <text>
        <r>
          <rPr>
            <sz val="9"/>
            <color indexed="81"/>
            <rFont val="Meiryo UI"/>
            <family val="2"/>
          </rPr>
          <t>https://docs.aws.amazon.com/AmazonRDS/latest/UserGuide/rds-proxy-modifying-proxy.html</t>
        </r>
      </text>
    </comment>
    <comment ref="F10" authorId="0">
      <text>
        <r>
          <rPr>
            <sz val="9"/>
            <color indexed="81"/>
            <rFont val="Meiryo UI"/>
            <family val="2"/>
          </rPr>
          <t>https://docs.aws.amazon.com/AmazonRDS/latest/AuroraUserGuide/rds-proxy-creating.html
https://docs.aws.amazon.com/AmazonRDS/latest/AuroraUserGuide/rds-proxy.html</t>
        </r>
      </text>
    </comment>
    <comment ref="F11" authorId="0">
      <text>
        <r>
          <rPr>
            <sz val="9"/>
            <color indexed="81"/>
            <rFont val="Meiryo UI"/>
            <family val="2"/>
          </rPr>
          <t>https://docs.aws.amazon.com/AmazonRDS/latest/APIReference/API_ConnectionPoolConfiguration.html
https://docs.aws.amazon.com/AmazonRDS/latest/AuroraUserGuide/rds-proxy-connections.html</t>
        </r>
      </text>
    </comment>
    <comment ref="F12" authorId="0">
      <text>
        <r>
          <rPr>
            <sz val="9"/>
            <color indexed="81"/>
            <rFont val="Meiryo UI"/>
            <family val="2"/>
          </rPr>
          <t>https://docs.aws.amazon.com/AmazonRDS/latest/APIReference/API_ConnectionPoolConfiguration.html
https://docs.aws.amazon.com/AmazonRDS/latest/AuroraUserGuide/rds-proxy-connections.html</t>
        </r>
      </text>
    </comment>
    <comment ref="F13" authorId="0">
      <text>
        <r>
          <rPr>
            <sz val="9"/>
            <color indexed="81"/>
            <rFont val="Meiryo UI"/>
            <family val="2"/>
          </rPr>
          <t>https://docs.aws.amazon.com/AmazonRDS/latest/APIReference/API_ConnectionPoolConfiguration.html
https://docs.aws.amazon.com/AmazonRDS/latest/AuroraUserGuide/rds-proxy-connections.html</t>
        </r>
      </text>
    </comment>
    <comment ref="F14" authorId="0">
      <text>
        <r>
          <rPr>
            <sz val="9"/>
            <color indexed="81"/>
            <rFont val="Meiryo UI"/>
            <family val="2"/>
          </rPr>
          <t>https://docs.aws.amazon.com/AmazonRDS/latest/AuroraUserGuide/rds-proxy-creating.html
https://docs.aws.amazon.com/AmazonRDS/latest/AuroraUserGuide/rds-proxy-pinning.html</t>
        </r>
      </text>
    </comment>
    <comment ref="F15" authorId="0">
      <text>
        <r>
          <rPr>
            <sz val="9"/>
            <color indexed="81"/>
            <rFont val="Meiryo UI"/>
            <family val="2"/>
          </rPr>
          <t>https://docs.aws.amazon.com/AmazonRDS/latest/AuroraUserGuide/rds-proxy-creating.html
https://docs.aws.amazon.com/AmazonRDS/latest/APIReference/API_ConnectionPoolConfiguration.html</t>
        </r>
      </text>
    </comment>
    <comment ref="F16" authorId="0">
      <text>
        <r>
          <rPr>
            <sz val="9"/>
            <color indexed="81"/>
            <rFont val="Meiryo UI"/>
            <family val="2"/>
          </rPr>
          <t>https://docs.aws.amazon.com/AmazonRDS/latest/AuroraUserGuide/rds-proxy-creating.html
https://docs.aws.amazon.com/AmazonRDS/latest/APIReference/API_CreateDBProxy.html</t>
        </r>
      </text>
    </comment>
    <comment ref="F17" authorId="0">
      <text>
        <r>
          <rPr>
            <sz val="9"/>
            <color indexed="81"/>
            <rFont val="Meiryo UI"/>
            <family val="2"/>
          </rPr>
          <t>https://docs.aws.amazon.com/AmazonRDS/latest/APIReference/API_UserAuthConfig.html</t>
        </r>
      </text>
    </comment>
    <comment ref="F18" authorId="0">
      <text>
        <r>
          <rPr>
            <sz val="9"/>
            <color indexed="81"/>
            <rFont val="Meiryo UI"/>
            <family val="2"/>
          </rPr>
          <t>https://docs.aws.amazon.com/AmazonRDS/latest/AuroraUserGuide/rds-proxy-creating.html</t>
        </r>
      </text>
    </comment>
    <comment ref="F19" authorId="0">
      <text>
        <r>
          <rPr>
            <sz val="9"/>
            <color indexed="81"/>
            <rFont val="Meiryo UI"/>
            <family val="2"/>
          </rPr>
          <t>https://docs.aws.amazon.com/AmazonRDS/latest/APIReference/API_UserAuthConfig.html
https://docs.aws.amazon.com/AmazonRDS/latest/AuroraUserGuide/AuroraMySQL.Upgrade-v3-v84-security.html</t>
        </r>
      </text>
    </comment>
    <comment ref="F20" authorId="0">
      <text>
        <r>
          <rPr>
            <sz val="9"/>
            <color indexed="81"/>
            <rFont val="Meiryo UI"/>
            <family val="2"/>
          </rPr>
          <t>https://docs.aws.amazon.com/AmazonRDS/latest/AuroraUserGuide/rds-proxy-creating.html
https://docs.aws.amazon.com/AmazonRDS/latest/APIReference/API_UserAuthConfig.html</t>
        </r>
      </text>
    </comment>
    <comment ref="F21" authorId="0">
      <text>
        <r>
          <rPr>
            <sz val="9"/>
            <color indexed="81"/>
            <rFont val="Meiryo UI"/>
            <family val="2"/>
          </rPr>
          <t>https://docs.aws.amazon.com/AmazonRDS/latest/AuroraUserGuide/rds-proxy-creating.html
https://docs.aws.amazon.com/AmazonRDS/latest/APIReference/API_CreateDBProxy.html</t>
        </r>
      </text>
    </comment>
    <comment ref="F22" authorId="0">
      <text>
        <r>
          <rPr>
            <sz val="9"/>
            <color indexed="81"/>
            <rFont val="Meiryo UI"/>
            <family val="2"/>
          </rPr>
          <t>https://docs.aws.amazon.com/AmazonRDS/latest/AuroraUserGuide/rds-proxy-creating.html
https://docs.aws.amazon.com/AmazonRDS/latest/APIReference/API_CreateDBProxy.html
https://dev.mysql.com/doc/connector-j/en/connector-j-reference-using-ssl.html</t>
        </r>
      </text>
    </comment>
    <comment ref="F23" authorId="0">
      <text>
        <r>
          <rPr>
            <sz val="9"/>
            <color indexed="81"/>
            <rFont val="Meiryo UI"/>
            <family val="2"/>
          </rPr>
          <t>https://docs.aws.amazon.com/AmazonRDS/latest/AuroraUserGuide/rds-proxy.html</t>
        </r>
      </text>
    </comment>
    <comment ref="F24" authorId="0">
      <text>
        <r>
          <rPr>
            <sz val="9"/>
            <color indexed="81"/>
            <rFont val="Meiryo UI"/>
            <family val="2"/>
          </rPr>
          <t>https://docs.aws.amazon.com/AmazonRDS/latest/AuroraUserGuide/rds-proxy-creating.html
https://docs.aws.amazon.com/AmazonRDS/latest/AuroraUserGuide/rds-proxy.html</t>
        </r>
      </text>
    </comment>
    <comment ref="F25" authorId="0">
      <text>
        <r>
          <rPr>
            <sz val="9"/>
            <color indexed="81"/>
            <rFont val="Meiryo UI"/>
            <family val="2"/>
          </rPr>
          <t>https://docs.aws.amazon.com/AmazonRDS/latest/AuroraUserGuide/rds-proxy-creating.html</t>
        </r>
      </text>
    </comment>
    <comment ref="F26" authorId="0">
      <text>
        <r>
          <rPr>
            <sz val="9"/>
            <color indexed="81"/>
            <rFont val="Meiryo UI"/>
            <family val="2"/>
          </rPr>
          <t>https://docs.aws.amazon.com/AmazonRDS/latest/APIReference/API_CreateDBProxy.html</t>
        </r>
      </text>
    </comment>
    <comment ref="F27" authorId="0">
      <text>
        <r>
          <rPr>
            <sz val="9"/>
            <color indexed="81"/>
            <rFont val="Meiryo UI"/>
            <family val="2"/>
          </rPr>
          <t>https://docs.aws.amazon.com/AmazonRDS/latest/APIReference/API_CreateDBProxy.html</t>
        </r>
      </text>
    </comment>
    <comment ref="F28" authorId="0">
      <text>
        <r>
          <rPr>
            <sz val="9"/>
            <color indexed="81"/>
            <rFont val="Meiryo UI"/>
            <family val="2"/>
          </rPr>
          <t>https://docs.aws.amazon.com/AmazonRDS/latest/AuroraUserGuide/rds-proxy-gdb.html
https://docs.aws.amazon.com/AmazonRDS/latest/AuroraUserGuide/rds-proxy-endpoints.html</t>
        </r>
      </text>
    </comment>
    <comment ref="F29" authorId="0">
      <text>
        <r>
          <rPr>
            <sz val="9"/>
            <color indexed="81"/>
            <rFont val="Meiryo UI"/>
            <family val="2"/>
          </rPr>
          <t>https://docs.aws.amazon.com/AmazonRDS/latest/AuroraUserGuide/rds-proxy-endpoints.html
https://aws.amazon.com/rds/proxy/pricing/</t>
        </r>
      </text>
    </comment>
    <comment ref="F30" authorId="0">
      <text>
        <r>
          <rPr>
            <sz val="9"/>
            <color indexed="81"/>
            <rFont val="Meiryo UI"/>
            <family val="2"/>
          </rPr>
          <t>https://docs.aws.amazon.com/AmazonRDS/latest/AuroraUserGuide/rds-proxy-endpoints.html
https://docs.aws.amazon.com/AmazonRDS/latest/UserGuide/rds-proxy-modifying-proxy.html</t>
        </r>
      </text>
    </comment>
    <comment ref="F31" authorId="0">
      <text>
        <r>
          <rPr>
            <sz val="9"/>
            <color indexed="81"/>
            <rFont val="Meiryo UI"/>
            <family val="2"/>
          </rPr>
          <t>https://docs.aws.amazon.com/AmazonRDS/latest/AuroraUserGuide/rds-proxy.html</t>
        </r>
      </text>
    </comment>
    <comment ref="F32" authorId="0">
      <text>
        <r>
          <rPr>
            <sz val="9"/>
            <color indexed="81"/>
            <rFont val="Meiryo UI"/>
            <family val="2"/>
          </rPr>
          <t>https://docs.aws.amazon.com/AmazonRDS/latest/AuroraUserGuide/rds-proxy-creating.html
https://docs.aws.amazon.com/AmazonRDS/latest/APIReference/API_CreateDBProxy.html</t>
        </r>
      </text>
    </comment>
    <comment ref="F33" authorId="0">
      <text>
        <r>
          <rPr>
            <sz val="9"/>
            <color indexed="81"/>
            <rFont val="Meiryo UI"/>
            <family val="2"/>
          </rPr>
          <t>https://docs.aws.amazon.com/AmazonRDS/latest/APIReference/API_CreateDBProxy.html</t>
        </r>
      </text>
    </comment>
    <comment ref="F34" authorId="0">
      <text>
        <r>
          <rPr>
            <sz val="9"/>
            <color indexed="81"/>
            <rFont val="Meiryo UI"/>
            <family val="2"/>
          </rPr>
          <t>https://docs.aws.amazon.com/AmazonRDS/latest/AuroraUserGuide/rds-proxy-connections.html</t>
        </r>
      </text>
    </comment>
    <comment ref="F35" authorId="0">
      <text>
        <r>
          <rPr>
            <sz val="9"/>
            <color indexed="81"/>
            <rFont val="Meiryo UI"/>
            <family val="2"/>
          </rPr>
          <t>https://docs.aws.amazon.com/AmazonRDS/latest/AuroraUserGuide/rds-proxy-connections.html</t>
        </r>
      </text>
    </comment>
    <comment ref="F36" authorId="0">
      <text>
        <r>
          <rPr>
            <sz val="9"/>
            <color indexed="81"/>
            <rFont val="Meiryo UI"/>
            <family val="2"/>
          </rPr>
          <t>https://docs.aws.amazon.com/AmazonRDS/latest/AuroraUserGuide/rds-proxy.html</t>
        </r>
      </text>
    </comment>
  </commentList>
</comments>
</file>

<file path=xl/comments7.xml><?xml version="1.0" encoding="utf-8"?>
<comments xmlns="http://schemas.openxmlformats.org/spreadsheetml/2006/main">
  <authors>
    <author/>
  </authors>
  <commentList>
    <comment ref="E6" authorId="0">
      <text>
        <r>
          <rPr>
            <sz val="9"/>
            <color indexed="81"/>
            <rFont val="Meiryo UI"/>
            <family val="2"/>
          </rPr>
          <t>https://docs.aws.amazon.com/AmazonRDS/latest/AuroraUserGuide/rds-proxy.html
https://docs.aws.amazon.com/AmazonRDS/latest/AuroraUserGuide/rds-proxy.howitworks.html</t>
        </r>
      </text>
    </comment>
    <comment ref="E9" authorId="0">
      <text>
        <r>
          <rPr>
            <sz val="9"/>
            <color indexed="81"/>
            <rFont val="Meiryo UI"/>
            <family val="2"/>
          </rPr>
          <t>https://docs.aws.amazon.com/AmazonRDS/latest/AuroraUserGuide/rds-proxy.html</t>
        </r>
      </text>
    </comment>
    <comment ref="E12" authorId="0">
      <text>
        <r>
          <rPr>
            <sz val="9"/>
            <color indexed="81"/>
            <rFont val="Meiryo UI"/>
            <family val="2"/>
          </rPr>
          <t>https://docs.aws.amazon.com/AmazonRDS/latest/AuroraUserGuide/rds-proxy.html
https://docs.aws.amazon.com/AmazonRDS/latest/AuroraUserGuide/rds-proxy.howitworks.html
https://dev.mysql.com/doc/connector-j/en/connector-j-reference-using-ssl.html</t>
        </r>
      </text>
    </comment>
    <comment ref="E13" authorId="0">
      <text>
        <r>
          <rPr>
            <sz val="9"/>
            <color indexed="81"/>
            <rFont val="Meiryo UI"/>
            <family val="2"/>
          </rPr>
          <t>https://docs.aws.amazon.com/AmazonRDS/latest/AuroraUserGuide/rds-proxy.howitworks.html
https://dev.mysql.com/doc/connector-j/en/connector-j-reference-using-ssl.html</t>
        </r>
      </text>
    </comment>
    <comment ref="E14" authorId="0">
      <text>
        <r>
          <rPr>
            <sz val="9"/>
            <color indexed="81"/>
            <rFont val="Meiryo UI"/>
            <family val="2"/>
          </rPr>
          <t>https://dev.mysql.com/doc/connector-j/en/connector-j-reference-using-ssl.html</t>
        </r>
      </text>
    </comment>
    <comment ref="E15" authorId="0">
      <text>
        <r>
          <rPr>
            <sz val="9"/>
            <color indexed="81"/>
            <rFont val="Meiryo UI"/>
            <family val="2"/>
          </rPr>
          <t>https://docs.aws.amazon.com/AmazonRDS/latest/AuroraUserGuide/rds-proxy-creating.html</t>
        </r>
      </text>
    </comment>
    <comment ref="E16" authorId="0">
      <text>
        <r>
          <rPr>
            <sz val="9"/>
            <color indexed="81"/>
            <rFont val="Meiryo UI"/>
            <family val="2"/>
          </rPr>
          <t>https://docs.aws.amazon.com/AmazonRDS/latest/AuroraUserGuide/AuroraMySQL.Reference.ParameterGroups.html</t>
        </r>
      </text>
    </comment>
  </commentList>
</comments>
</file>

<file path=xl/comments8.xml><?xml version="1.0" encoding="utf-8"?>
<comments xmlns="http://schemas.openxmlformats.org/spreadsheetml/2006/main">
  <authors>
    <author/>
  </authors>
  <commentList>
    <comment ref="E6" authorId="0">
      <text>
        <r>
          <rPr>
            <sz val="9"/>
            <color indexed="81"/>
            <rFont val="Meiryo UI"/>
            <family val="2"/>
          </rPr>
          <t>https://docs.aws.amazon.com/AmazonRDS/latest/AuroraUserGuide/aurora-serverless-v2.setting-capacity.html
https://docs.aws.amazon.com/AmazonRDS/latest/AuroraUserGuide/USER_WorkingWithParamGroups.html</t>
        </r>
      </text>
    </comment>
    <comment ref="E7" authorId="0">
      <text>
        <r>
          <rPr>
            <sz val="9"/>
            <color indexed="81"/>
            <rFont val="Meiryo UI"/>
            <family val="2"/>
          </rPr>
          <t>https://docs.aws.amazon.com/AmazonRDS/latest/APIReference/API_DescribeDBClusterParameters.html
https://docs.aws.amazon.com/AmazonRDS/latest/APIReference/API_DescribeDBParameters.html</t>
        </r>
      </text>
    </comment>
    <comment ref="E8" authorId="0">
      <text>
        <r>
          <rPr>
            <sz val="9"/>
            <color indexed="81"/>
            <rFont val="Meiryo UI"/>
            <family val="2"/>
          </rPr>
          <t>https://docs.aws.amazon.com/AmazonRDS/latest/APIReference/API_DescribeDBClusterParameters.html
https://docs.aws.amazon.com/AmazonRDS/latest/APIReference/API_DescribeDBParameters.html</t>
        </r>
      </text>
    </comment>
    <comment ref="E9" authorId="0">
      <text>
        <r>
          <rPr>
            <sz val="9"/>
            <color indexed="81"/>
            <rFont val="Meiryo UI"/>
            <family val="2"/>
          </rPr>
          <t>https://docs.aws.amazon.com/AmazonRDS/latest/AuroraUserGuide/aurora-serverless-v2.setting-capacity.html
https://docs.aws.amazon.com/AmazonRDS/latest/AuroraUserGuide/AuroraMySQL.Reference.ParameterGroups.html</t>
        </r>
      </text>
    </comment>
    <comment ref="E10" authorId="0">
      <text>
        <r>
          <rPr>
            <sz val="9"/>
            <color indexed="81"/>
            <rFont val="Meiryo UI"/>
            <family val="2"/>
          </rPr>
          <t>https://docs.aws.amazon.com/AmazonRDS/latest/AuroraUserGuide/aurora-serverless-v2.setting-capacity.html</t>
        </r>
      </text>
    </comment>
    <comment ref="E11" authorId="0">
      <text>
        <r>
          <rPr>
            <sz val="9"/>
            <color indexed="81"/>
            <rFont val="Meiryo UI"/>
            <family val="2"/>
          </rPr>
          <t>https://docs.aws.amazon.com/AmazonRDS/latest/AuroraUserGuide/aurora-serverless-v2.setting-capacity.html</t>
        </r>
      </text>
    </comment>
    <comment ref="E12" authorId="0">
      <text>
        <r>
          <rPr>
            <sz val="9"/>
            <color indexed="81"/>
            <rFont val="Meiryo UI"/>
            <family val="2"/>
          </rPr>
          <t>https://dev.mysql.com/doc/refman/8.4/en/server-system-variables.html
https://docs.aws.amazon.com/AmazonRDS/latest/APIReference/API_DescribeDBClusterParameters.html</t>
        </r>
      </text>
    </comment>
    <comment ref="E13" authorId="0">
      <text>
        <r>
          <rPr>
            <sz val="9"/>
            <color indexed="81"/>
            <rFont val="Meiryo UI"/>
            <family val="2"/>
          </rPr>
          <t>https://dev.mysql.com/doc/refman/8.4/en/server-system-variables.html
https://docs.aws.amazon.com/AmazonRDS/latest/AuroraUserGuide/AuroraMySQL.Reference.ParameterGroups.html</t>
        </r>
      </text>
    </comment>
    <comment ref="E14" authorId="0">
      <text>
        <r>
          <rPr>
            <sz val="9"/>
            <color indexed="81"/>
            <rFont val="Meiryo UI"/>
            <family val="2"/>
          </rPr>
          <t>https://docs.aws.amazon.com/AmazonRDS/latest/AuroraUserGuide/AuroraMySQL.Reference.ParameterGroups.html
https://docs.aws.amazon.com/AmazonRDS/latest/AuroraUserGuide/aurora-global-database.html</t>
        </r>
      </text>
    </comment>
    <comment ref="E15" authorId="0">
      <text>
        <r>
          <rPr>
            <sz val="9"/>
            <color indexed="81"/>
            <rFont val="Meiryo UI"/>
            <family val="2"/>
          </rPr>
          <t>https://dev.mysql.com/doc/refman/8.4/en/innodb-parameters.html</t>
        </r>
      </text>
    </comment>
    <comment ref="E16" authorId="0">
      <text>
        <r>
          <rPr>
            <sz val="9"/>
            <color indexed="81"/>
            <rFont val="Meiryo UI"/>
            <family val="2"/>
          </rPr>
          <t>https://docs.aws.amazon.com/AmazonRDS/latest/AuroraUserGuide/rds-proxy-pinning.html
https://dev.mysql.com/doc/refman/8.4/en/server-system-variables.html</t>
        </r>
      </text>
    </comment>
    <comment ref="E17" authorId="0">
      <text>
        <r>
          <rPr>
            <sz val="9"/>
            <color indexed="81"/>
            <rFont val="Meiryo UI"/>
            <family val="2"/>
          </rPr>
          <t>https://docs.aws.amazon.com/AmazonRDS/latest/AuroraUserGuide/rds-proxy.html
https://docs.aws.amazon.com/AmazonRDS/latest/AuroraUserGuide/USER_WorkingWithParamGroups.html</t>
        </r>
      </text>
    </comment>
  </commentList>
</comments>
</file>

<file path=xl/comments9.xml><?xml version="1.0" encoding="utf-8"?>
<comments xmlns="http://schemas.openxmlformats.org/spreadsheetml/2006/main">
  <authors>
    <author/>
  </authors>
  <commentList>
    <comment ref="H6" authorId="0">
      <text>
        <r>
          <rPr>
            <sz val="9"/>
            <color indexed="81"/>
            <rFont val="Meiryo UI"/>
            <family val="2"/>
          </rPr>
          <t>https://dev.mysql.com/doc/refman/8.4/en/server-system-variables.html</t>
        </r>
      </text>
    </comment>
    <comment ref="H7" authorId="0">
      <text>
        <r>
          <rPr>
            <sz val="9"/>
            <color indexed="81"/>
            <rFont val="Meiryo UI"/>
            <family val="2"/>
          </rPr>
          <t>https://dev.mysql.com/doc/refman/8.4/en/server-system-variables.html
https://docs.aws.amazon.com/AmazonRDS/latest/AuroraUserGuide/rds-proxy-connections.html</t>
        </r>
      </text>
    </comment>
    <comment ref="H8" authorId="0">
      <text>
        <r>
          <rPr>
            <sz val="9"/>
            <color indexed="81"/>
            <rFont val="Meiryo UI"/>
            <family val="2"/>
          </rPr>
          <t>https://dev.mysql.com/doc/connector-j/en/connector-j-reference-configuration-properties.html
https://dev.mysql.com/doc/refman/8.4/en/server-system-variables.html</t>
        </r>
      </text>
    </comment>
    <comment ref="H9" authorId="0">
      <text>
        <r>
          <rPr>
            <sz val="9"/>
            <color indexed="81"/>
            <rFont val="Meiryo UI"/>
            <family val="2"/>
          </rPr>
          <t>https://dev.mysql.com/doc/refman/8.4/en/innodb-parameters.html</t>
        </r>
      </text>
    </comment>
    <comment ref="H10" authorId="0">
      <text>
        <r>
          <rPr>
            <sz val="9"/>
            <color indexed="81"/>
            <rFont val="Meiryo UI"/>
            <family val="2"/>
          </rPr>
          <t>https://dev.mysql.com/doc/refman/8.4/en/server-system-variables.html</t>
        </r>
      </text>
    </comment>
    <comment ref="H11" authorId="0">
      <text>
        <r>
          <rPr>
            <sz val="9"/>
            <color indexed="81"/>
            <rFont val="Meiryo UI"/>
            <family val="2"/>
          </rPr>
          <t>https://dev.mysql.com/doc/refman/8.4/en/server-system-variables.html</t>
        </r>
      </text>
    </comment>
    <comment ref="H12" authorId="0">
      <text>
        <r>
          <rPr>
            <sz val="9"/>
            <color indexed="81"/>
            <rFont val="Meiryo UI"/>
            <family val="2"/>
          </rPr>
          <t>https://dev.mysql.com/doc/refman/8.4/en/innodb-parameters.html</t>
        </r>
      </text>
    </comment>
    <comment ref="H13" authorId="0">
      <text>
        <r>
          <rPr>
            <sz val="9"/>
            <color indexed="81"/>
            <rFont val="Meiryo UI"/>
            <family val="2"/>
          </rPr>
          <t>https://dev.mysql.com/doc/refman/8.4/en/server-system-variables.html</t>
        </r>
      </text>
    </comment>
    <comment ref="H14" authorId="0">
      <text>
        <r>
          <rPr>
            <sz val="9"/>
            <color indexed="81"/>
            <rFont val="Meiryo UI"/>
            <family val="2"/>
          </rPr>
          <t>https://dev.mysql.com/doc/refman/8.4/en/server-system-variables.html</t>
        </r>
      </text>
    </comment>
    <comment ref="H15" authorId="0">
      <text>
        <r>
          <rPr>
            <sz val="9"/>
            <color indexed="81"/>
            <rFont val="Meiryo UI"/>
            <family val="2"/>
          </rPr>
          <t>https://docs.aws.amazon.com/AmazonRDS/latest/APIReference/API_DescribeDBClusterParameters.html
https://docs.aws.amazon.com/AmazonRDS/latest/APIReference/API_DescribeDBParameters.html</t>
        </r>
      </text>
    </comment>
    <comment ref="H16" authorId="0">
      <text>
        <r>
          <rPr>
            <sz val="9"/>
            <color indexed="81"/>
            <rFont val="Meiryo UI"/>
            <family val="2"/>
          </rPr>
          <t>https://docs.aws.amazon.com/AmazonRDS/latest/APIReference/API_ConnectionPoolConfiguration.html
https://docs.aws.amazon.com/AmazonRDS/latest/AuroraUserGuide/rds-proxy-connections.html</t>
        </r>
      </text>
    </comment>
    <comment ref="H17" authorId="0">
      <text>
        <r>
          <rPr>
            <sz val="9"/>
            <color indexed="81"/>
            <rFont val="Meiryo UI"/>
            <family val="2"/>
          </rPr>
          <t>https://docs.aws.amazon.com/AmazonRDS/latest/AuroraUserGuide/rds-proxy-connections.html</t>
        </r>
      </text>
    </comment>
    <comment ref="H18" authorId="0">
      <text>
        <r>
          <rPr>
            <sz val="9"/>
            <color indexed="81"/>
            <rFont val="Meiryo UI"/>
            <family val="2"/>
          </rPr>
          <t>https://docs.redhat.com/en/documentation/red_hat_jboss_enterprise_application_platform/8.1/html/configuration_guide/reference_material</t>
        </r>
      </text>
    </comment>
    <comment ref="H19" authorId="0">
      <text>
        <r>
          <rPr>
            <sz val="9"/>
            <color indexed="81"/>
            <rFont val="Meiryo UI"/>
            <family val="2"/>
          </rPr>
          <t>https://dev.mysql.com/doc/connector-j/en/connector-j-connp-props-networking.html</t>
        </r>
      </text>
    </comment>
    <comment ref="H20" authorId="0">
      <text>
        <r>
          <rPr>
            <sz val="9"/>
            <color indexed="81"/>
            <rFont val="Meiryo UI"/>
            <family val="2"/>
          </rPr>
          <t>https://dev.mysql.com/doc/connector-j/en/connector-j-connp-props-networking.html</t>
        </r>
      </text>
    </comment>
    <comment ref="H21" authorId="0">
      <text>
        <r>
          <rPr>
            <sz val="9"/>
            <color indexed="81"/>
            <rFont val="Meiryo UI"/>
            <family val="2"/>
          </rPr>
          <t>https://docs.redhat.com/en/documentation/red_hat_jboss_enterprise_application_platform/8.1/html/configuration_guide/reference_material
https://dev.mysql.com/doc/connector-j/en/connector-j-connp-props-statements.html</t>
        </r>
      </text>
    </comment>
    <comment ref="H22" authorId="0">
      <text>
        <r>
          <rPr>
            <sz val="9"/>
            <color indexed="81"/>
            <rFont val="Meiryo UI"/>
            <family val="2"/>
          </rPr>
          <t>https://docs.redhat.com/en/documentation/red_hat_jboss_enterprise_application_platform/8.1/html/configuration_guide/reference_material</t>
        </r>
      </text>
    </comment>
    <comment ref="H23" authorId="0">
      <text>
        <r>
          <rPr>
            <sz val="9"/>
            <color indexed="81"/>
            <rFont val="Meiryo UI"/>
            <family val="2"/>
          </rPr>
          <t>https://docs.redhat.com/en/documentation/red_hat_jboss_enterprise_application_platform/8.1/html/configuration_guide/reference_material</t>
        </r>
      </text>
    </comment>
    <comment ref="H24" authorId="0">
      <text>
        <r>
          <rPr>
            <sz val="9"/>
            <color indexed="81"/>
            <rFont val="Meiryo UI"/>
            <family val="2"/>
          </rPr>
          <t>https://docs.aws.amazon.com/AmazonRDS/latest/AuroraUserGuide/rds-proxy-connections.html
https://docs.redhat.com/en/documentation/red_hat_jboss_enterprise_application_platform/8.1/html/configuration_guide/reference_material</t>
        </r>
      </text>
    </comment>
  </commentList>
</comments>
</file>

<file path=xl/comments10.xml><?xml version="1.0" encoding="utf-8"?>
<comments xmlns="http://schemas.openxmlformats.org/spreadsheetml/2006/main">
  <authors>
    <author/>
  </authors>
  <commentList>
    <comment ref="F6" authorId="0">
      <text>
        <r>
          <rPr>
            <sz val="9"/>
            <color indexed="81"/>
            <rFont val="Meiryo UI"/>
            <family val="2"/>
          </rPr>
          <t>https://docs.redhat.com/en/documentation/red_hat_jboss_enterprise_application_platform/8.1/html/configuration_guide/datasource_management</t>
        </r>
      </text>
    </comment>
    <comment ref="F7" authorId="0">
      <text>
        <r>
          <rPr>
            <sz val="9"/>
            <color indexed="81"/>
            <rFont val="Meiryo UI"/>
            <family val="2"/>
          </rPr>
          <t>https://access.redhat.com/articles/6961381
https://dev.mysql.com/doc/connector-j/en/connector-j-reference-configuration-properties.html</t>
        </r>
      </text>
    </comment>
    <comment ref="F8" authorId="0">
      <text>
        <r>
          <rPr>
            <sz val="9"/>
            <color indexed="81"/>
            <rFont val="Meiryo UI"/>
            <family val="2"/>
          </rPr>
          <t>https://dev.mysql.com/doc/connector-j/en/connector-j-reference-configuration-properties.html
https://dev.mysql.com/doc/connector-j/en/connector-j-reference-using-ssl.html</t>
        </r>
      </text>
    </comment>
    <comment ref="F9" authorId="0">
      <text>
        <r>
          <rPr>
            <sz val="9"/>
            <color indexed="81"/>
            <rFont val="Meiryo UI"/>
            <family val="2"/>
          </rPr>
          <t>https://docs.aws.amazon.com/AmazonRDS/latest/AuroraUserGuide/rds-proxy.howitworks.html
https://dev.mysql.com/doc/connector-j/en/connector-j-reference-using-ssl.html</t>
        </r>
      </text>
    </comment>
    <comment ref="F10" authorId="0">
      <text>
        <r>
          <rPr>
            <sz val="9"/>
            <color indexed="81"/>
            <rFont val="Meiryo UI"/>
            <family val="2"/>
          </rPr>
          <t>https://dev.mysql.com/doc/connector-j/en/connector-j-reference-configuration-properties.html
https://dev.mysql.com/doc/connector-j/en/connector-j-reference-using-ssl.html</t>
        </r>
      </text>
    </comment>
    <comment ref="F11" authorId="0">
      <text>
        <r>
          <rPr>
            <sz val="9"/>
            <color indexed="81"/>
            <rFont val="Meiryo UI"/>
            <family val="2"/>
          </rPr>
          <t>https://dev.mysql.com/doc/connector-j/en/connector-j-reference-configuration-properties.html</t>
        </r>
      </text>
    </comment>
    <comment ref="F12" authorId="0">
      <text>
        <r>
          <rPr>
            <sz val="9"/>
            <color indexed="81"/>
            <rFont val="Meiryo UI"/>
            <family val="2"/>
          </rPr>
          <t>https://dev.mysql.com/doc/connector-j/en/connector-j-reference-configuration-properties.html
https://dev.mysql.com/doc/refman/8.4/en/server-system-variables.html</t>
        </r>
      </text>
    </comment>
    <comment ref="F13" authorId="0">
      <text>
        <r>
          <rPr>
            <sz val="9"/>
            <color indexed="81"/>
            <rFont val="Meiryo UI"/>
            <family val="2"/>
          </rPr>
          <t>https://dev.mysql.com/doc/connector-j/en/connector-j-reference-configuration-properties.html</t>
        </r>
      </text>
    </comment>
    <comment ref="F14" authorId="0">
      <text>
        <r>
          <rPr>
            <sz val="9"/>
            <color indexed="81"/>
            <rFont val="Meiryo UI"/>
            <family val="2"/>
          </rPr>
          <t>https://dev.mysql.com/doc/connector-j/en/connector-j-reference-configuration-properties.html
https://docs.aws.amazon.com/AmazonRDS/latest/AuroraUserGuide/rds-proxy-pinning.html</t>
        </r>
      </text>
    </comment>
    <comment ref="F15" authorId="0">
      <text>
        <r>
          <rPr>
            <sz val="9"/>
            <color indexed="81"/>
            <rFont val="Meiryo UI"/>
            <family val="2"/>
          </rPr>
          <t>https://dev.mysql.com/doc/connector-j/en/connector-j-reference-configuration-properties.html</t>
        </r>
      </text>
    </comment>
    <comment ref="F16" authorId="0">
      <text>
        <r>
          <rPr>
            <sz val="9"/>
            <color indexed="81"/>
            <rFont val="Meiryo UI"/>
            <family val="2"/>
          </rPr>
          <t>https://dev.mysql.com/doc/connector-j/en/connector-j-reference-configuration-properties.html</t>
        </r>
      </text>
    </comment>
    <comment ref="F17" authorId="0">
      <text>
        <r>
          <rPr>
            <sz val="9"/>
            <color indexed="81"/>
            <rFont val="Meiryo UI"/>
            <family val="2"/>
          </rPr>
          <t>https://dev.mysql.com/doc/connector-j/en/connector-j-reference-configuration-properties.html</t>
        </r>
      </text>
    </comment>
    <comment ref="F18" authorId="0">
      <text>
        <r>
          <rPr>
            <sz val="9"/>
            <color indexed="81"/>
            <rFont val="Meiryo UI"/>
            <family val="2"/>
          </rPr>
          <t>https://docs.aws.amazon.com/AmazonRDS/latest/AuroraUserGuide/rds-proxy-pinning.html
https://dev.mysql.com/doc/connector-j/en/connector-j-reference-configuration-properties.html</t>
        </r>
      </text>
    </comment>
    <comment ref="F19" authorId="0">
      <text>
        <r>
          <rPr>
            <sz val="9"/>
            <color indexed="81"/>
            <rFont val="Meiryo UI"/>
            <family val="2"/>
          </rPr>
          <t>https://dev.mysql.com/doc/connector-j/en/connector-j-reference-configuration-properties.html
https://docs.redhat.com/en/documentation/red_hat_jboss_enterprise_application_platform/8.1/html/configuration_guide/reference_material</t>
        </r>
      </text>
    </comment>
    <comment ref="F20" authorId="0">
      <text>
        <r>
          <rPr>
            <sz val="9"/>
            <color indexed="81"/>
            <rFont val="Meiryo UI"/>
            <family val="2"/>
          </rPr>
          <t>https://docs.aws.amazon.com/AmazonRDS/latest/AuroraUserGuide/rds-proxy-pinning.html
https://dev.mysql.com/doc/connector-j/en/connector-j-reference-configuration-properties.html</t>
        </r>
      </text>
    </comment>
    <comment ref="F21" authorId="0">
      <text>
        <r>
          <rPr>
            <sz val="9"/>
            <color indexed="81"/>
            <rFont val="Meiryo UI"/>
            <family val="2"/>
          </rPr>
          <t>https://docs.aws.amazon.com/AmazonRDS/latest/AuroraUserGuide/rds-proxy-pinning.html
https://dev.mysql.com/doc/connector-j/en/connector-j-reference-configuration-properties.html</t>
        </r>
      </text>
    </comment>
    <comment ref="F22" authorId="0">
      <text>
        <r>
          <rPr>
            <sz val="9"/>
            <color indexed="81"/>
            <rFont val="Meiryo UI"/>
            <family val="2"/>
          </rPr>
          <t>https://dev.mysql.com/doc/connector-j/en/connector-j-connp-props-statements.html</t>
        </r>
      </text>
    </comment>
    <comment ref="F23" authorId="0">
      <text>
        <r>
          <rPr>
            <sz val="9"/>
            <color indexed="81"/>
            <rFont val="Meiryo UI"/>
            <family val="2"/>
          </rPr>
          <t>https://dev.mysql.com/doc/connector-j/en/connector-j-connp-props-statements.html</t>
        </r>
      </text>
    </comment>
    <comment ref="F24" authorId="0">
      <text>
        <r>
          <rPr>
            <sz val="9"/>
            <color indexed="81"/>
            <rFont val="Meiryo UI"/>
            <family val="2"/>
          </rPr>
          <t>https://docs.redhat.com/en/documentation/red_hat_jboss_enterprise_application_platform/8.1/html/configuration_guide/datasource_management
https://docs.redhat.com/en/documentation/red_hat_jboss_enterprise_application_platform/8.1/html/configuration_guide/reference_material</t>
        </r>
      </text>
    </comment>
    <comment ref="F25" authorId="0">
      <text>
        <r>
          <rPr>
            <sz val="9"/>
            <color indexed="81"/>
            <rFont val="Meiryo UI"/>
            <family val="2"/>
          </rPr>
          <t>https://docs.redhat.com/en/documentation/red_hat_jboss_enterprise_application_platform/8.1/html/configuration_guide/datasource_management</t>
        </r>
      </text>
    </comment>
    <comment ref="F26" authorId="0">
      <text>
        <r>
          <rPr>
            <sz val="9"/>
            <color indexed="81"/>
            <rFont val="Meiryo UI"/>
            <family val="2"/>
          </rPr>
          <t>https://docs.aws.amazon.com/AmazonRDS/latest/AuroraUserGuide/rds-proxy-connections.html</t>
        </r>
      </text>
    </comment>
    <comment ref="F27" authorId="0">
      <text>
        <r>
          <rPr>
            <sz val="9"/>
            <color indexed="81"/>
            <rFont val="Meiryo UI"/>
            <family val="2"/>
          </rPr>
          <t>https://dev.mysql.com/doc/connector-j/en/connector-j-reference-configuration-properties.html</t>
        </r>
      </text>
    </comment>
    <comment ref="F28" authorId="0">
      <text>
        <r>
          <rPr>
            <sz val="9"/>
            <color indexed="81"/>
            <rFont val="Meiryo UI"/>
            <family val="2"/>
          </rPr>
          <t>https://docs.redhat.com/en/documentation/red_hat_jboss_enterprise_application_platform/8.1/html/configuration_guide/datasource_management
https://docs.redhat.com/en/documentation/red_hat_jboss_enterprise_application_platform/8.1/html/configuration_guide/reference_material</t>
        </r>
      </text>
    </comment>
  </commentList>
</comments>
</file>

<file path=xl/comments11.xml><?xml version="1.0" encoding="utf-8"?>
<comments xmlns="http://schemas.openxmlformats.org/spreadsheetml/2006/main">
  <authors>
    <author/>
  </authors>
  <commentList>
    <comment ref="E6" authorId="0">
      <text>
        <r>
          <rPr>
            <sz val="9"/>
            <color indexed="81"/>
            <rFont val="Meiryo UI"/>
            <family val="2"/>
          </rPr>
          <t>https://docs.aws.amazon.com/AmazonRDS/latest/AuroraUserGuide/AuroraMySQL.MySQL84.html
https://docs.aws.amazon.com/AmazonRDS/latest/AuroraUserGuide/AuroraMySQL.Upgrade-v3-v84-security.html</t>
        </r>
      </text>
    </comment>
    <comment ref="E7" authorId="0">
      <text>
        <r>
          <rPr>
            <sz val="9"/>
            <color indexed="81"/>
            <rFont val="Meiryo UI"/>
            <family val="2"/>
          </rPr>
          <t>https://docs.aws.amazon.com/AmazonRDS/latest/AuroraUserGuide/AuroraMySQL.Upgrade-v3-v84-security.html
https://docs.aws.amazon.com/AmazonRDS/latest/APIReference/API_UserAuthConfig.html</t>
        </r>
      </text>
    </comment>
    <comment ref="E8" authorId="0">
      <text>
        <r>
          <rPr>
            <sz val="9"/>
            <color indexed="81"/>
            <rFont val="Meiryo UI"/>
            <family val="2"/>
          </rPr>
          <t>https://docs.aws.amazon.com/AmazonRDS/latest/AuroraUserGuide/AuroraMySQL.Upgrade-v3-v84-security.html</t>
        </r>
      </text>
    </comment>
    <comment ref="E9" authorId="0">
      <text>
        <r>
          <rPr>
            <sz val="9"/>
            <color indexed="81"/>
            <rFont val="Meiryo UI"/>
            <family val="2"/>
          </rPr>
          <t>https://docs.aws.amazon.com/AmazonRDS/latest/AuroraUserGuide/AuroraMySQL.Upgrade-v3-v84-security.html
https://dev.mysql.com/doc/connector-j/en/connector-j-reference-using-ssl.html</t>
        </r>
      </text>
    </comment>
    <comment ref="E11" authorId="0">
      <text>
        <r>
          <rPr>
            <sz val="9"/>
            <color indexed="81"/>
            <rFont val="Meiryo UI"/>
            <family val="2"/>
          </rPr>
          <t>https://docs.aws.amazon.com/AmazonRDS/latest/AuroraUserGuide/rds-proxy.html
https://docs.aws.amazon.com/secretsmanager/latest/userguide/replicate-secrets.html</t>
        </r>
      </text>
    </comment>
    <comment ref="E12" authorId="0">
      <text>
        <r>
          <rPr>
            <sz val="9"/>
            <color indexed="81"/>
            <rFont val="Meiryo UI"/>
            <family val="2"/>
          </rPr>
          <t>https://docs.aws.amazon.com/AmazonRDS/latest/AuroraUserGuide/AuroraMySQL.Compare-v84-community.html
https://docs.aws.amazon.com/AmazonRDS/latest/AuroraUserGuide/AuroraMySQL.Reference.ParameterGroups.html</t>
        </r>
      </text>
    </comment>
    <comment ref="E13" authorId="0">
      <text>
        <r>
          <rPr>
            <sz val="9"/>
            <color indexed="81"/>
            <rFont val="Meiryo UI"/>
            <family val="2"/>
          </rPr>
          <t>https://docs.aws.amazon.com/AmazonRDS/latest/AuroraUserGuide/AuroraMySQL.Compare-v84-community.html</t>
        </r>
      </text>
    </comment>
    <comment ref="E14" authorId="0">
      <text>
        <r>
          <rPr>
            <sz val="9"/>
            <color indexed="81"/>
            <rFont val="Meiryo UI"/>
            <family val="2"/>
          </rPr>
          <t>https://docs.aws.amazon.com/AmazonRDS/latest/AuroraUserGuide/rds-proxy.howitworks.html
https://dev.mysql.com/doc/connector-j/en/connector-j-reference-using-ssl.html</t>
        </r>
      </text>
    </comment>
  </commentList>
</comments>
</file>

<file path=xl/comments12.xml><?xml version="1.0" encoding="utf-8"?>
<comments xmlns="http://schemas.openxmlformats.org/spreadsheetml/2006/main">
  <authors>
    <author/>
  </authors>
  <commentList>
    <comment ref="E6" authorId="0">
      <text>
        <r>
          <rPr>
            <sz val="9"/>
            <color indexed="81"/>
            <rFont val="Meiryo UI"/>
            <family val="2"/>
          </rPr>
          <t>https://docs.aws.amazon.com/AmazonRDS/latest/AuroraUserGuide/Aurora.Overview.StorageReliability.html</t>
        </r>
      </text>
    </comment>
    <comment ref="E7" authorId="0">
      <text>
        <r>
          <rPr>
            <sz val="9"/>
            <color indexed="81"/>
            <rFont val="Meiryo UI"/>
            <family val="2"/>
          </rPr>
          <t>https://docs.aws.amazon.com/AmazonRDS/latest/AuroraUserGuide/Aurora.Overview.StorageReliability.html#aurora-storage-type
https://aws.amazon.com/rds/proxy/pricing/</t>
        </r>
      </text>
    </comment>
    <comment ref="E8" authorId="0">
      <text>
        <r>
          <rPr>
            <sz val="9"/>
            <color indexed="81"/>
            <rFont val="Meiryo UI"/>
            <family val="2"/>
          </rPr>
          <t>https://docs.aws.amazon.com/AmazonRDS/latest/AuroraUserGuide/Aurora.Managing.Performance.html
https://dev.mysql.com/doc/refman/8.4/en/innodb-parameters.html</t>
        </r>
      </text>
    </comment>
    <comment ref="E9" authorId="0">
      <text>
        <r>
          <rPr>
            <sz val="9"/>
            <color indexed="81"/>
            <rFont val="Meiryo UI"/>
            <family val="2"/>
          </rPr>
          <t>https://docs.aws.amazon.com/pdfs/dms/latest/oracle-to-aurora-mysql-migration-playbook/dms-mpb-oracle-to-aurora-mysql.pdf</t>
        </r>
      </text>
    </comment>
    <comment ref="E10" authorId="0">
      <text>
        <r>
          <rPr>
            <sz val="9"/>
            <color indexed="81"/>
            <rFont val="Meiryo UI"/>
            <family val="2"/>
          </rPr>
          <t>https://dev.mysql.com/doc/refman/8.4/en/innodb-parameters.html</t>
        </r>
      </text>
    </comment>
    <comment ref="E11" authorId="0">
      <text>
        <r>
          <rPr>
            <sz val="9"/>
            <color indexed="81"/>
            <rFont val="Meiryo UI"/>
            <family val="2"/>
          </rPr>
          <t>https://docs.aws.amazon.com/AmazonRDS/latest/AuroraUserGuide/AuroraMySQL.MySQL84.html
https://docs.aws.amazon.com/AmazonRDS/latest/AuroraUserGuide/CHAP_Limits.html
https://dev.mysql.com/doc/refman/8.4/en/innodb-parameters.html</t>
        </r>
      </text>
    </comment>
    <comment ref="E12" authorId="0">
      <text>
        <r>
          <rPr>
            <sz val="9"/>
            <color indexed="81"/>
            <rFont val="Meiryo UI"/>
            <family val="2"/>
          </rPr>
          <t>https://docs.aws.amazon.com/AmazonRDS/latest/AuroraUserGuide/Aurora.Managing.Performance.html</t>
        </r>
      </text>
    </comment>
    <comment ref="E13" authorId="0">
      <text>
        <r>
          <rPr>
            <sz val="9"/>
            <color indexed="81"/>
            <rFont val="Meiryo UI"/>
            <family val="2"/>
          </rPr>
          <t>https://docs.aws.amazon.com/AmazonRDS/latest/AuroraUserGuide/Aurora.Managing.Performance.html</t>
        </r>
      </text>
    </comment>
    <comment ref="E14" authorId="0">
      <text>
        <r>
          <rPr>
            <sz val="9"/>
            <color indexed="81"/>
            <rFont val="Meiryo UI"/>
            <family val="2"/>
          </rPr>
          <t>https://docs.aws.amazon.com/AmazonRDS/latest/AuroraUserGuide/AuroraMySQL.Managing.Performance.html
https://docs.aws.amazon.com/AmazonRDS/latest/AuroraUserGuide/AuroraMySQL.Compare-v84-community.html</t>
        </r>
      </text>
    </comment>
    <comment ref="E15" authorId="0">
      <text>
        <r>
          <rPr>
            <sz val="9"/>
            <color indexed="81"/>
            <rFont val="Meiryo UI"/>
            <family val="2"/>
          </rPr>
          <t>https://docs.aws.amazon.com/AmazonRDS/latest/AuroraUserGuide/AuroraMySQL.Compare-v84-community.html
https://docs.aws.amazon.com/AmazonRDS/latest/AuroraUserGuide/AuroraMySQL.Managing.Performance.html</t>
        </r>
      </text>
    </comment>
    <comment ref="E16" authorId="0">
      <text>
        <r>
          <rPr>
            <sz val="9"/>
            <color indexed="81"/>
            <rFont val="Meiryo UI"/>
            <family val="2"/>
          </rPr>
          <t>https://dev.mysql.com/doc/refman/8.4/en/partitioning-limitations-partitioning-keys-unique-keys.html
https://dev.mysql.com/doc/refman/8.4/en/partitioning-limitations-storage-engines.html</t>
        </r>
      </text>
    </comment>
    <comment ref="E17" authorId="0">
      <text>
        <r>
          <rPr>
            <sz val="9"/>
            <color indexed="81"/>
            <rFont val="Meiryo UI"/>
            <family val="2"/>
          </rPr>
          <t>https://dev.mysql.com/doc/refman/8.4/en/partitioning-limitations-partitioning-keys-unique-keys.html</t>
        </r>
      </text>
    </comment>
    <comment ref="E18" authorId="0">
      <text>
        <r>
          <rPr>
            <sz val="9"/>
            <color indexed="81"/>
            <rFont val="Meiryo UI"/>
            <family val="2"/>
          </rPr>
          <t>https://dev.mysql.com/doc/refman/8.4/en/partitioning-limitations-storage-engines.html</t>
        </r>
      </text>
    </comment>
    <comment ref="E19" authorId="0">
      <text>
        <r>
          <rPr>
            <sz val="9"/>
            <color indexed="81"/>
            <rFont val="Meiryo UI"/>
            <family val="2"/>
          </rPr>
          <t>https://dev.mysql.com/doc/refman/8.4/en/partitioning-limitations-partitioning-keys-unique-keys.html</t>
        </r>
      </text>
    </comment>
    <comment ref="E20" authorId="0">
      <text>
        <r>
          <rPr>
            <sz val="9"/>
            <color indexed="81"/>
            <rFont val="Meiryo UI"/>
            <family val="2"/>
          </rPr>
          <t>https://docs.aws.amazon.com/AmazonRDS/latest/AuroraUserGuide/Aurora.Managing.Backups.html</t>
        </r>
      </text>
    </comment>
    <comment ref="E21" authorId="0">
      <text>
        <r>
          <rPr>
            <sz val="9"/>
            <color indexed="81"/>
            <rFont val="Meiryo UI"/>
            <family val="2"/>
          </rPr>
          <t>https://docs.aws.amazon.com/AmazonRDS/latest/AuroraUserGuide/Aurora.Managing.Backups.html
https://aws.amazon.com/blogs/database/understanding-how-backups-work-in-amazon-aurora/</t>
        </r>
      </text>
    </comment>
    <comment ref="E22" authorId="0">
      <text>
        <r>
          <rPr>
            <sz val="9"/>
            <color indexed="81"/>
            <rFont val="Meiryo UI"/>
            <family val="2"/>
          </rPr>
          <t>https://aws.amazon.com/blogs/database/understanding-how-backups-work-in-amazon-aurora/</t>
        </r>
      </text>
    </comment>
    <comment ref="E23" authorId="0">
      <text>
        <r>
          <rPr>
            <sz val="9"/>
            <color indexed="81"/>
            <rFont val="Meiryo UI"/>
            <family val="2"/>
          </rPr>
          <t>https://docs.aws.amazon.com/AmazonRDS/latest/AuroraUserGuide/Aurora.Managing.Backups.html</t>
        </r>
      </text>
    </comment>
  </commentList>
</comments>
</file>

<file path=xl/comments13.xml><?xml version="1.0" encoding="utf-8"?>
<comments xmlns="http://schemas.openxmlformats.org/spreadsheetml/2006/main">
  <authors>
    <author/>
  </authors>
  <commentList>
    <comment ref="E6" authorId="0">
      <text>
        <r>
          <rPr>
            <sz val="9"/>
            <color indexed="81"/>
            <rFont val="Meiryo UI"/>
            <family val="2"/>
          </rPr>
          <t>https://docs.aws.amazon.com/AmazonRDS/latest/AuroraUserGuide/rds-proxy-gdb.html
https://docs.aws.amazon.com/AmazonECS/latest/developerguide/secrets-envvar-ssm-paramstore.html</t>
        </r>
      </text>
    </comment>
    <comment ref="E7" authorId="0">
      <text>
        <r>
          <rPr>
            <sz val="9"/>
            <color indexed="81"/>
            <rFont val="Meiryo UI"/>
            <family val="2"/>
          </rPr>
          <t>https://docs.aws.amazon.com/AmazonRDS/latest/AuroraUserGuide/rds-proxy.html
https://dev.mysql.com/doc/connector-j/en/connector-j-reference-using-ssl.html</t>
        </r>
      </text>
    </comment>
    <comment ref="E8" authorId="0">
      <text>
        <r>
          <rPr>
            <sz val="9"/>
            <color indexed="81"/>
            <rFont val="Meiryo UI"/>
            <family val="2"/>
          </rPr>
          <t>https://docs.redhat.com/en/documentation/red_hat_jboss_enterprise_application_platform/8.1/html/configuration_guide/reference_material
https://dev.mysql.com/doc/connector-j/en/connector-j-connp-props-statements.html
https://dev.mysql.com/doc/refman/8.4/en/server-system-variables.html
https://dev.mysql.com/doc/refman/8.4/en/innodb-parameters.html</t>
        </r>
      </text>
    </comment>
    <comment ref="E9" authorId="0">
      <text>
        <r>
          <rPr>
            <sz val="9"/>
            <color indexed="81"/>
            <rFont val="Meiryo UI"/>
            <family val="2"/>
          </rPr>
          <t>https://docs.aws.amazon.com/AmazonRDS/latest/AuroraUserGuide/rds-proxy-connections.html
https://docs.aws.amazon.com/AmazonRDS/latest/AuroraUserGuide/aurora-serverless-v2.setting-capacity.html</t>
        </r>
      </text>
    </comment>
    <comment ref="E10" authorId="0">
      <text>
        <r>
          <rPr>
            <sz val="9"/>
            <color indexed="81"/>
            <rFont val="Meiryo UI"/>
            <family val="2"/>
          </rPr>
          <t>https://docs.aws.amazon.com/AmazonRDS/latest/AuroraUserGuide/rds-proxy-pinning.html
https://docs.aws.amazon.com/AmazonRDS/latest/AuroraUserGuide/rds-proxy.monitoring.html</t>
        </r>
      </text>
    </comment>
    <comment ref="E11" authorId="0">
      <text>
        <r>
          <rPr>
            <sz val="9"/>
            <color indexed="81"/>
            <rFont val="Meiryo UI"/>
            <family val="2"/>
          </rPr>
          <t>https://docs.aws.amazon.com/AmazonRDS/latest/AuroraUserGuide/rds-proxy.howitworks.html</t>
        </r>
      </text>
    </comment>
    <comment ref="E12" authorId="0">
      <text>
        <r>
          <rPr>
            <sz val="9"/>
            <color indexed="81"/>
            <rFont val="Meiryo UI"/>
            <family val="2"/>
          </rPr>
          <t>https://docs.aws.amazon.com/AmazonRDS/latest/AuroraUserGuide/aurora-global-database-disaster-recovery.html</t>
        </r>
      </text>
    </comment>
    <comment ref="E13" authorId="0">
      <text>
        <r>
          <rPr>
            <sz val="9"/>
            <color indexed="81"/>
            <rFont val="Meiryo UI"/>
            <family val="2"/>
          </rPr>
          <t>https://docs.aws.amazon.com/AmazonECS/latest/developerguide/secrets-envvar-ssm-paramstore.html
https://docs.aws.amazon.com/secretsmanager/latest/userguide/replicate-secrets.html
https://docs.aws.amazon.com/AmazonECR/latest/userguide/replication.html</t>
        </r>
      </text>
    </comment>
    <comment ref="E14" authorId="0">
      <text>
        <r>
          <rPr>
            <sz val="9"/>
            <color indexed="81"/>
            <rFont val="Meiryo UI"/>
            <family val="2"/>
          </rPr>
          <t>https://docs.aws.amazon.com/secretsmanager/latest/userguide/replicate-secrets.html</t>
        </r>
      </text>
    </comment>
    <comment ref="E16" authorId="0">
      <text>
        <r>
          <rPr>
            <sz val="9"/>
            <color indexed="81"/>
            <rFont val="Meiryo UI"/>
            <family val="2"/>
          </rPr>
          <t>https://docs.aws.amazon.com/AmazonRDS/latest/AuroraUserGuide/rds-proxy.html
https://docs.aws.amazon.com/AmazonRDS/latest/AuroraUserGuide/aurora-serverless-v2.setting-capacity.html</t>
        </r>
      </text>
    </comment>
    <comment ref="E17" authorId="0">
      <text>
        <r>
          <rPr>
            <sz val="9"/>
            <color indexed="81"/>
            <rFont val="Meiryo UI"/>
            <family val="2"/>
          </rPr>
          <t>https://docs.aws.amazon.com/AmazonRDS/latest/AuroraUserGuide/aurora-serverless-v2.setting-capacity.html
https://docs.aws.amazon.com/AmazonRDS/latest/AuroraUserGuide/USER_DatabaseInsights.html
https://docs.aws.amazon.com/AmazonRDS/latest/AuroraUserGuide/USER_PerfInsights.Enabling.html</t>
        </r>
      </text>
    </comment>
    <comment ref="E18" authorId="0">
      <text>
        <r>
          <rPr>
            <sz val="9"/>
            <color indexed="81"/>
            <rFont val="Meiryo UI"/>
            <family val="2"/>
          </rPr>
          <t>https://docs.aws.amazon.com/AmazonRDS/latest/AuroraUserGuide/rds-proxy.monitoring.html</t>
        </r>
      </text>
    </comment>
    <comment ref="E19" authorId="0">
      <text>
        <r>
          <rPr>
            <sz val="9"/>
            <color indexed="81"/>
            <rFont val="Meiryo UI"/>
            <family val="2"/>
          </rPr>
          <t>https://docs.aws.amazon.com/AmazonRDS/latest/AuroraUserGuide/Aurora.AuroraMonitoring.Metrics.html</t>
        </r>
      </text>
    </comment>
    <comment ref="E20" authorId="0">
      <text>
        <r>
          <rPr>
            <sz val="9"/>
            <color indexed="81"/>
            <rFont val="Meiryo UI"/>
            <family val="2"/>
          </rPr>
          <t>https://docs.aws.amazon.com/AmazonRDS/latest/AuroraUserGuide/rds-proxy-connections.html
https://aws.amazon.com/rds/proxy/pricing/</t>
        </r>
      </text>
    </comment>
  </commentList>
</comments>
</file>

<file path=xl/comments14.xml><?xml version="1.0" encoding="utf-8"?>
<comments xmlns="http://schemas.openxmlformats.org/spreadsheetml/2006/main">
  <authors>
    <author/>
  </authors>
  <commentList>
    <comment ref="E6" authorId="0">
      <text>
        <r>
          <rPr>
            <sz val="9"/>
            <color indexed="81"/>
            <rFont val="Meiryo UI"/>
            <family val="2"/>
          </rPr>
          <t>https://docs.aws.amazon.com/AmazonECS/latest/developerguide/secrets-envvar-ssm-paramstore.html</t>
        </r>
      </text>
    </comment>
    <comment ref="E7" authorId="0">
      <text>
        <r>
          <rPr>
            <sz val="9"/>
            <color indexed="81"/>
            <rFont val="Meiryo UI"/>
            <family val="2"/>
          </rPr>
          <t>https://docs.redhat.com/en/documentation/red_hat_jboss_enterprise_application_platform/8.1/html/configuration_guide/datasource_management
https://docs.redhat.com/en/documentation/red_hat_jboss_enterprise_application_platform/8.1/html/configuration_guide/reference_material</t>
        </r>
      </text>
    </comment>
    <comment ref="E8" authorId="0">
      <text>
        <r>
          <rPr>
            <sz val="9"/>
            <color indexed="81"/>
            <rFont val="Meiryo UI"/>
            <family val="2"/>
          </rPr>
          <t>https://dev.mysql.com/doc/connector-j/en/connector-j-reference-configuration-properties.html</t>
        </r>
      </text>
    </comment>
    <comment ref="E9" authorId="0">
      <text>
        <r>
          <rPr>
            <sz val="9"/>
            <color indexed="81"/>
            <rFont val="Meiryo UI"/>
            <family val="2"/>
          </rPr>
          <t>https://docs.aws.amazon.com/AmazonRDS/latest/AuroraUserGuide/AuroraMySQL.Reference.ParameterGroups.html</t>
        </r>
      </text>
    </comment>
    <comment ref="E10" authorId="0">
      <text>
        <r>
          <rPr>
            <sz val="9"/>
            <color indexed="81"/>
            <rFont val="Meiryo UI"/>
            <family val="2"/>
          </rPr>
          <t>https://dev.mysql.com/doc/refman/8.4/en/partitioning-limitations-partitioning-keys-unique-keys.html
https://dev.mysql.com/doc/refman/8.4/en/partitioning-limitations-storage-engines.html</t>
        </r>
      </text>
    </comment>
    <comment ref="E11" authorId="0">
      <text>
        <r>
          <rPr>
            <sz val="9"/>
            <color indexed="81"/>
            <rFont val="Meiryo UI"/>
            <family val="2"/>
          </rPr>
          <t>https://docs.aws.amazon.com/AmazonRDS/latest/APIReference/API_DescribeDBClusterParameters.html
https://docs.aws.amazon.com/AmazonRDS/latest/APIReference/API_DescribeDBParameters.html</t>
        </r>
      </text>
    </comment>
  </commentList>
</comments>
</file>

<file path=xl/comments15.xml><?xml version="1.0" encoding="utf-8"?>
<comments xmlns="http://schemas.openxmlformats.org/spreadsheetml/2006/main">
  <authors>
    <author/>
  </authors>
  <commentList>
    <comment ref="B6" authorId="0">
      <text>
        <r>
          <rPr>
            <sz val="9"/>
            <color indexed="81"/>
            <rFont val="Meiryo UI"/>
            <family val="2"/>
          </rPr>
          <t>APIメタデータ: {"ParameterName": "activate_all_roles_on_login", "ParameterValue": "0", "Description": "Automatically set all granted roles as active after the user has authenticated successfully.", "Source": "engine-default", "ApplyType": "dynamic", "DataType": "boolean", "AllowedValues": "0,1", "IsModifiable": true, "ApplyMethod": "pending-reboot", "SupportedEngineModes": ["provisioned"]}</t>
        </r>
      </text>
    </comment>
    <comment ref="E6" authorId="0">
      <text>
        <r>
          <rPr>
            <sz val="9"/>
            <color indexed="81"/>
            <rFont val="Meiryo UI"/>
            <family val="2"/>
          </rPr>
          <t>https://dev.mysql.com/doc/refman/8.4/en/server-system-variables.html#sysvar_activate_all_roles_on_login
Community参考値でありAurora実効値ではありません。</t>
        </r>
      </text>
    </comment>
    <comment ref="M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7" authorId="0">
      <text>
        <r>
          <rPr>
            <sz val="9"/>
            <color indexed="81"/>
            <rFont val="Meiryo UI"/>
            <family val="2"/>
          </rPr>
          <t>APIメタデータ: {"ParameterName": "allow-suspicious-udfs", "Description": "Controls whether user-defined functions that have only an xxx symbol for the main function can be loaded", "Source": "engine-default", "ApplyType": "static", "DataType": "boolean", "AllowedValues": "0,1", "IsModifiable": false, "ApplyMethod": "pending-reboot", "SupportedEngineModes": ["provisioned"]}</t>
        </r>
      </text>
    </comment>
    <comment ref="M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 authorId="0">
      <text>
        <r>
          <rPr>
            <sz val="9"/>
            <color indexed="81"/>
            <rFont val="Meiryo UI"/>
            <family val="2"/>
          </rPr>
          <t>APIメタデータ: {"ParameterName": "aurora_binlog_replication_max_yield_seconds", "Description": "Controls the number of seconds that binary log dump thread waits up to for the current binlog file to be filled by transactions. This wait period avoids contention that can arise from replicating each binlog event individually.", "Source": "engine-default", "ApplyType": "dynamic", "DataType": "integer", "AllowedValues": "0-36000", "IsModifiable": true, "ApplyMethod": "pending-reboot", "SupportedEngineModes": ["provisioned"]}</t>
        </r>
      </text>
    </comment>
    <comment ref="M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 authorId="0">
      <text>
        <r>
          <rPr>
            <sz val="9"/>
            <color indexed="81"/>
            <rFont val="Meiryo UI"/>
            <family val="2"/>
          </rPr>
          <t>APIメタデータ: {"ParameterName": "aurora_binlog_replication_sec_index_parallel_workers", "Description": "Sets the number of background threads used to apply DML changes to secondary indexes. This optimization can be used on binlog replicas to improve binary log replication performance for tables that contain a large number of secondary indexes. Setting this variable to 0 (the default) disables this feature.", "Source": "engine-default", "ApplyType": "dynamic", "DataType": "integer", "AllowedValues": "0-1024", "IsModifiable": true, "ApplyMethod": "pending-reboot", "SupportedEngineModes": ["provisioned"]}</t>
        </r>
      </text>
    </comment>
    <comment ref="M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0" authorId="0">
      <text>
        <r>
          <rPr>
            <sz val="9"/>
            <color indexed="81"/>
            <rFont val="Meiryo UI"/>
            <family val="2"/>
          </rPr>
          <t>APIメタデータ: {"ParameterName": "aurora_enable_memory_management", "Description": "Enable Aurora automatic memory management. When enabled, Aurora automatically manages memory to maximize availability by monitoring pressure and executing recovery actions as needed. When disabled, recovery actions are configured by aurora_oom_response.", "Source": "engine-default", "ApplyType": "dynamic", "DataType": "boolean", "AllowedValues": "0,1", "IsModifiable": true, "ApplyMethod": "pending-reboot", "SupportedEngineModes": ["provisioned"]}</t>
        </r>
      </text>
    </comment>
    <comment ref="M10"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11" authorId="0">
      <text>
        <r>
          <rPr>
            <sz val="9"/>
            <color indexed="81"/>
            <rFont val="Meiryo UI"/>
            <family val="2"/>
          </rPr>
          <t>APIメタデータ: {"ParameterName": "aurora_enable_staggered_replica_restart", "Description": "Allow Aurora replicas to follow a staggered restart schedule to increase cluster availability.", "Source": "system", "ApplyType": "dynamic", "DataType": "boolean", "AllowedValues": "0,1", "IsModifiable": true, "ApplyMethod": "pending-reboot", "SupportedEngineModes": ["provisioned"]}</t>
        </r>
      </text>
    </comment>
    <comment ref="M1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2" authorId="0">
      <text>
        <r>
          <rPr>
            <sz val="9"/>
            <color indexed="81"/>
            <rFont val="Meiryo UI"/>
            <family val="2"/>
          </rPr>
          <t>APIメタデータ: {"ParameterName": "aurora_enable_validate_password_component", "ParameterValue": "0", "Description": "This option toggles the validate_password component validations.", "Source": "system", "ApplyType": "dynamic", "DataType": "boolean", "AllowedValues": "0,1", "IsModifiable": true, "ApplyMethod": "pending-reboot", "SupportedEngineModes": ["provisioned"]}</t>
        </r>
      </text>
    </comment>
    <comment ref="M12" authorId="0">
      <text>
        <r>
          <rPr>
            <sz val="9"/>
            <color indexed="81"/>
            <rFont val="Meiryo UI"/>
            <family val="2"/>
          </rPr>
          <t>https://docs.aws.amazon.com/AmazonRDS/latest/APIReference/API_DescribeDBClusterParameters.html
https://docs.aws.amazon.com/AmazonRDS/latest/AuroraUserGuide/AuroraMySQL.Compare-v84-community.html</t>
        </r>
      </text>
    </comment>
    <comment ref="B13" authorId="0">
      <text>
        <r>
          <rPr>
            <sz val="9"/>
            <color indexed="81"/>
            <rFont val="Meiryo UI"/>
            <family val="2"/>
          </rPr>
          <t>APIメタデータ: {"ParameterName": "aurora_enhanced_binlog", "Description": "This parameter can be used to enable and disable Aurora Enhanced Binlog.", "Source": "system", "ApplyType": "static", "DataType": "boolean", "AllowedValues": "0,1", "IsModifiable": true, "ApplyMethod": "pending-reboot", "SupportedEngineModes": ["provisioned"]}</t>
        </r>
      </text>
    </comment>
    <comment ref="M1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4" authorId="0">
      <text>
        <r>
          <rPr>
            <sz val="9"/>
            <color indexed="81"/>
            <rFont val="Meiryo UI"/>
            <family val="2"/>
          </rPr>
          <t>APIメタデータ: {"ParameterName": "aurora_full_double_precision_in_json", "ParameterValue": "0", "Description": "Enable parsing of floating point numbers in JSON documents with full precision", "Source": "engine-default", "ApplyType": "dynamic", "DataType": "boolean", "AllowedValues": "0,1", "IsModifiable": true, "ApplyMethod": "pending-reboot", "SupportedEngineModes": ["provisioned"]}</t>
        </r>
      </text>
    </comment>
    <comment ref="M1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5" authorId="0">
      <text>
        <r>
          <rPr>
            <sz val="9"/>
            <color indexed="81"/>
            <rFont val="Meiryo UI"/>
            <family val="2"/>
          </rPr>
          <t>APIメタデータ: {"ParameterName": "aurora_fwd_writer_idle_timeout", "ParameterValue": "60", "Description": "The number of seconds the server waits for activity on a forwarded Replica connection before closing it.", "Source": "system", "ApplyType": "dynamic", "DataType": "integer", "AllowedValues": "1-86400", "IsModifiable": true, "ApplyMethod": "pending-reboot", "SupportedEngineModes": ["provisioned"]}</t>
        </r>
      </text>
    </comment>
    <comment ref="M15" authorId="0">
      <text>
        <r>
          <rPr>
            <sz val="9"/>
            <color indexed="81"/>
            <rFont val="Meiryo UI"/>
            <family val="2"/>
          </rPr>
          <t>https://docs.aws.amazon.com/AmazonRDS/latest/APIReference/API_DescribeDBClusterParameters.html
https://dev.mysql.com/doc/refman/8.4/en/server-system-variables.html
https://dev.mysql.com/doc/refman/8.4/en/innodb-parameters.html</t>
        </r>
      </text>
    </comment>
    <comment ref="B16" authorId="0">
      <text>
        <r>
          <rPr>
            <sz val="9"/>
            <color indexed="81"/>
            <rFont val="Meiryo UI"/>
            <family val="2"/>
          </rPr>
          <t>APIメタデータ: {"ParameterName": "aurora_fwd_writer_max_connections_pct", "ParameterValue": "10", "Description": "The percentage of max_connections that can be used for connections forwarded from Replicas.", "Source": "system", "ApplyType": "dynamic", "DataType": "integer", "AllowedValues": "0-90", "IsModifiable": true, "ApplyMethod": "pending-reboot", "SupportedEngineModes": ["provisioned"]}</t>
        </r>
      </text>
    </comment>
    <comment ref="M1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7" authorId="0">
      <text>
        <r>
          <rPr>
            <sz val="9"/>
            <color indexed="81"/>
            <rFont val="Meiryo UI"/>
            <family val="2"/>
          </rPr>
          <t>APIメタデータ: {"ParameterName": "aurora_in_memory_relaylog", "ParameterValue": "OFF", "Description": "Sets the Non-persistent Relay log mode. You can use this feature on binlog replicas to improve binary log replication performance. To turn this feature off, set the parameter to OFF. To turn this feature on, set the parameter to ON.", "Source": "engine-default", "ApplyType": "dynamic", "DataType": "string", "AllowedValues": "OFF,ON", "IsModifiable": true, "ApplyMethod": "pending-reboot", "SupportedEngineModes": ["provisioned"]}</t>
        </r>
      </text>
    </comment>
    <comment ref="M1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8" authorId="0">
      <text>
        <r>
          <rPr>
            <sz val="9"/>
            <color indexed="81"/>
            <rFont val="Meiryo UI"/>
            <family val="2"/>
          </rPr>
          <t>APIメタデータ: {"ParameterName": "aurora_jemalloc_background_thread", "Description": "By default, the memory purging is performed by the thread that is performing a memory operation. Using background threads can reduce tail latencies as cleanup is asynchronous", "Source": "engine-default", "ApplyType": "dynamic", "DataType": "boolean", "AllowedValues": "0,1", "IsModifiable": true, "ApplyMethod": "pending-reboot", "SupportedEngineModes": ["provisioned"]}</t>
        </r>
      </text>
    </comment>
    <comment ref="M1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9" authorId="0">
      <text>
        <r>
          <rPr>
            <sz val="9"/>
            <color indexed="81"/>
            <rFont val="Meiryo UI"/>
            <family val="2"/>
          </rPr>
          <t>APIメタデータ: {"ParameterName": "aurora_jemalloc_dirty_decay_ms", "Description": "Duration within which the memory allocator purges dirst pages back to the operating system", "Source": "engine-default", "ApplyType": "dynamic", "DataType": "integer", "AllowedValues": "0-18446744073709551615", "IsModifiable": true, "ApplyMethod": "pending-reboot", "SupportedEngineModes": ["provisioned"]}</t>
        </r>
      </text>
    </comment>
    <comment ref="M1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0" authorId="0">
      <text>
        <r>
          <rPr>
            <sz val="9"/>
            <color indexed="81"/>
            <rFont val="Meiryo UI"/>
            <family val="2"/>
          </rPr>
          <t>APIメタデータ: {"ParameterName": "aurora_jemalloc_tcache_enabled", "Description": "By default, memory allocator uses thread caches to avoid locking. However, if explicitly disabled, it will send all allocations to the global memory arenas", "Source": "engine-default", "ApplyType": "dynamic", "DataType": "boolean", "AllowedValues": "0,1", "IsModifiable": true, "ApplyMethod": "pending-reboot", "SupportedEngineModes": ["provisioned"]}</t>
        </r>
      </text>
    </comment>
    <comment ref="M20"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21" authorId="0">
      <text>
        <r>
          <rPr>
            <sz val="9"/>
            <color indexed="81"/>
            <rFont val="Meiryo UI"/>
            <family val="2"/>
          </rPr>
          <t>APIメタデータ: {"ParameterName": "aurora_lambda_request_timeout", "Description": "Aurora Lambda request timeout in milliseconds", "Source": "engine-default", "ApplyType": "dynamic", "DataType": "integer", "AllowedValues": "10000-900000", "IsModifiable": true, "ApplyMethod": "pending-reboot", "SupportedEngineModes": ["provisioned"]}</t>
        </r>
      </text>
    </comment>
    <comment ref="M21"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2" authorId="0">
      <text>
        <r>
          <rPr>
            <sz val="9"/>
            <color indexed="81"/>
            <rFont val="Meiryo UI"/>
            <family val="2"/>
          </rPr>
          <t>APIメタデータ: {"ParameterName": "aurora_ml_inference_timeout", "ParameterValue": "3000", "Description": "Sagemaker/Bedrock request timeout value in milliseconds.", "Source": "engine-default", "ApplyType": "dynamic", "DataType": "integer", "AllowedValues": "3000-30000", "IsModifiable": true, "ApplyMethod": "pending-reboot", "SupportedEngineModes": ["provisioned"]}</t>
        </r>
      </text>
    </comment>
    <comment ref="M22"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3" authorId="0">
      <text>
        <r>
          <rPr>
            <sz val="9"/>
            <color indexed="81"/>
            <rFont val="Meiryo UI"/>
            <family val="2"/>
          </rPr>
          <t>APIメタデータ: {"ParameterName": "aurora_oom_response", "Description": "Once the available memory on the instance is low, the list of actions separated by commas, taken by engine as a best-effort measure to avoid OOM. Valid actions include print, tune, decline, kill_query or any combination of these.", "Source": "engine-default", "ApplyType": "dynamic", "DataType": "string", "IsModifiable": true, "ApplyMethod": "pending-reboot", "SupportedEngineModes": ["provisioned"]}</t>
        </r>
      </text>
    </comment>
    <comment ref="M23"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4" authorId="0">
      <text>
        <r>
          <rPr>
            <sz val="9"/>
            <color indexed="81"/>
            <rFont val="Meiryo UI"/>
            <family val="2"/>
          </rPr>
          <t>APIメタデータ: {"ParameterName": "aurora_parallel_query", "Description": "This parameter can be used to enable and disable Aurora Parallel Query.", "Source": "engine-default", "ApplyType": "dynamic", "DataType": "boolean", "AllowedValues": "0,1", "IsModifiable": true, "ApplyMethod": "pending-reboot", "SupportedEngineModes": ["provisioned"]}</t>
        </r>
      </text>
    </comment>
    <comment ref="M24" authorId="0">
      <text>
        <r>
          <rPr>
            <sz val="9"/>
            <color indexed="81"/>
            <rFont val="Meiryo UI"/>
            <family val="2"/>
          </rPr>
          <t>https://docs.aws.amazon.com/AmazonRDS/latest/APIReference/API_DescribeDBClusterParameters.html
https://docs.aws.amazon.com/rds/latest/auroraextendedcontent/aurora-faq-performance.html</t>
        </r>
      </text>
    </comment>
    <comment ref="B25" authorId="0">
      <text>
        <r>
          <rPr>
            <sz val="9"/>
            <color indexed="81"/>
            <rFont val="Meiryo UI"/>
            <family val="2"/>
          </rPr>
          <t>APIメタデータ: {"ParameterName": "aurora_read_replica_read_committed", "ParameterValue": "OFF", "Description": "Enable support for ANSI SQL Read Committed isolation level on Aurora reader nodes", "Source": "engine-default", "ApplyType": "dynamic", "DataType": "string", "AllowedValues": "ON,OFF", "IsModifiable": true, "ApplyMethod": "pending-reboot", "SupportedEngineModes": ["provisioned"]}</t>
        </r>
      </text>
    </comment>
    <comment ref="M25"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6" authorId="0">
      <text>
        <r>
          <rPr>
            <sz val="9"/>
            <color indexed="81"/>
            <rFont val="Meiryo UI"/>
            <family val="2"/>
          </rPr>
          <t>APIメタデータ: {"ParameterName": "aurora_replica_read_consistency", "Description": "Control the degree of read consistency on a forwarding reader instance when using global write forwarding or in-Region write forwarding. Set aurora_replica_read_consistency to one of the allowed values to use write forwarding. For the definition of each allowed value, see the documentation on using write forwarding in an Amazon Aurora MySQL DB cluster.", "Source": "engine-default", "ApplyType": "dynamic", "DataType": "string", "AllowedValues": "GLOBAL,SESSION,EVENTUAL", "IsModifiable": true, "ApplyMethod": "pending-reboot", "SupportedEngineModes": ["provisioned"]}</t>
        </r>
      </text>
    </comment>
    <comment ref="M26" authorId="0">
      <text>
        <r>
          <rPr>
            <sz val="9"/>
            <color indexed="81"/>
            <rFont val="Meiryo UI"/>
            <family val="2"/>
          </rPr>
          <t>https://docs.aws.amazon.com/AmazonRDS/latest/APIReference/API_DescribeDBClusterParameters.html
https://docs.aws.amazon.com/AmazonRDS/latest/AuroraUserGuide/rds-proxy-gdb.html</t>
        </r>
      </text>
    </comment>
    <comment ref="B27" authorId="0">
      <text>
        <r>
          <rPr>
            <sz val="9"/>
            <color indexed="81"/>
            <rFont val="Meiryo UI"/>
            <family val="2"/>
          </rPr>
          <t>APIメタデータ: {"ParameterName": "aurora_tmptable_enable_per_table_limit", "Description": "When this variable is enabled, tmp_table_size defines the maximum size of individual in-memory internal temporary table created by the TempTable storage engine. The parameter applies to Aurora release 3.04 and later.", "Source": "engine-default", "ApplyType": "dynamic", "DataType": "boolean", "AllowedValues": "0,1", "IsModifiable": true, "ApplyMethod": "pending-reboot", "SupportedEngineModes": ["provisioned"]}</t>
        </r>
      </text>
    </comment>
    <comment ref="M2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8" authorId="0">
      <text>
        <r>
          <rPr>
            <sz val="9"/>
            <color indexed="81"/>
            <rFont val="Meiryo UI"/>
            <family val="2"/>
          </rPr>
          <t>APIメタデータ: {"ParameterName": "aurora_transaction_timeout", "Description": "The timeout in seconds after which the system will rollback an active transaction, or terminate connection for an idle transaction.", "Source": "engine-default", "ApplyType": "dynamic", "DataType": "integer", "AllowedValues": "0-604800", "IsModifiable": true, "MinimumEngineVersion": "8.4.mysql_aurora.8.4.8", "ApplyMethod": "pending-reboot", "SupportedEngineModes": ["provisioned"]}</t>
        </r>
      </text>
    </comment>
    <comment ref="M28" authorId="0">
      <text>
        <r>
          <rPr>
            <sz val="9"/>
            <color indexed="81"/>
            <rFont val="Meiryo UI"/>
            <family val="2"/>
          </rPr>
          <t>https://docs.aws.amazon.com/AmazonRDS/latest/APIReference/API_DescribeDBClusterParameters.html
https://docs.aws.amazon.com/AmazonRDS/latest/APIReference/API_DescribeDBClusterParameters.html
https://docs.aws.amazon.com/AmazonRDS/latest/APIReference/API_DescribeDBParameters.html</t>
        </r>
      </text>
    </comment>
    <comment ref="B29" authorId="0">
      <text>
        <r>
          <rPr>
            <sz val="9"/>
            <color indexed="81"/>
            <rFont val="Meiryo UI"/>
            <family val="2"/>
          </rPr>
          <t>APIメタデータ: {"ParameterName": "aurora_use_vector_instructions", "Description": "Enabling this value optimizes some internal operations with hardware vector instructions", "Source": "engine-default", "ApplyType": "dynamic", "DataType": "boolean", "AllowedValues": "0,1", "IsModifiable": true, "ApplyMethod": "pending-reboot", "SupportedEngineModes": ["provisioned"]}</t>
        </r>
      </text>
    </comment>
    <comment ref="M2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0" authorId="0">
      <text>
        <r>
          <rPr>
            <sz val="9"/>
            <color indexed="81"/>
            <rFont val="Meiryo UI"/>
            <family val="2"/>
          </rPr>
          <t>APIメタデータ: {"ParameterName": "authentication_policy", "ParameterValue": "*:caching_sha2_password", "Description": "This parameter controls the default authentication plugin used to authenticate users. We recommend that you do not use the mysql_native_password plugin because it is deprecated and will be removed in the next major release.", "Source": "system", "ApplyType": "dynamic", "DataType": "string", "AllowedValues": "*:caching_sha2_password,*:mysql_native_password", "IsModifiable": true, "ApplyMethod": "pending-reboot", "SupportedEngineModes": ["provisioned"]}</t>
        </r>
      </text>
    </comment>
    <comment ref="E30" authorId="0">
      <text>
        <r>
          <rPr>
            <sz val="9"/>
            <color indexed="81"/>
            <rFont val="Meiryo UI"/>
            <family val="2"/>
          </rPr>
          <t>https://dev.mysql.com/doc/refman/8.4/en/server-system-variables.html#sysvar_authentication_policy
Community参考値でありAurora実効値ではありません。</t>
        </r>
      </text>
    </comment>
    <comment ref="M30" authorId="0">
      <text>
        <r>
          <rPr>
            <sz val="9"/>
            <color indexed="81"/>
            <rFont val="Meiryo UI"/>
            <family val="2"/>
          </rPr>
          <t>https://docs.aws.amazon.com/AmazonRDS/latest/APIReference/API_DescribeDBClusterParameters.html
https://docs.aws.amazon.com/AmazonRDS/latest/AuroraUserGuide/AuroraMySQL.Upgrade-v3-v84-security.html</t>
        </r>
      </text>
    </comment>
    <comment ref="B31" authorId="0">
      <text>
        <r>
          <rPr>
            <sz val="9"/>
            <color indexed="81"/>
            <rFont val="Meiryo UI"/>
            <family val="2"/>
          </rPr>
          <t>APIメタデータ: {"ParameterName": "autocommit", "Description": "Sets the autocommit mode", "Source": "engine-default", "ApplyType": "dynamic", "DataType": "boolean", "AllowedValues": "0,1", "IsModifiable": true, "ApplyMethod": "pending-reboot", "SupportedEngineModes": ["provisioned"]}</t>
        </r>
      </text>
    </comment>
    <comment ref="E31" authorId="0">
      <text>
        <r>
          <rPr>
            <sz val="9"/>
            <color indexed="81"/>
            <rFont val="Meiryo UI"/>
            <family val="2"/>
          </rPr>
          <t>https://dev.mysql.com/doc/refman/8.4/en/server-system-variables.html#sysvar_autocommit
Community参考値でありAurora実効値ではありません。</t>
        </r>
      </text>
    </comment>
    <comment ref="M31" authorId="0">
      <text>
        <r>
          <rPr>
            <sz val="9"/>
            <color indexed="81"/>
            <rFont val="Meiryo UI"/>
            <family val="2"/>
          </rPr>
          <t>https://docs.aws.amazon.com/AmazonRDS/latest/APIReference/API_DescribeDBClusterParameters.html
https://docs.aws.amazon.com/AmazonRDS/latest/AuroraUserGuide/rds-proxy.howitworks.html</t>
        </r>
      </text>
    </comment>
    <comment ref="B32" authorId="0">
      <text>
        <r>
          <rPr>
            <sz val="9"/>
            <color indexed="81"/>
            <rFont val="Meiryo UI"/>
            <family val="2"/>
          </rPr>
          <t>APIメタデータ: {"ParameterName": "auto_increment_increment", "Description": "Intended for use with source-to-source replication, and can be used to control the operation of AUTO_INCREMENT columns", "Source": "engine-default", "ApplyType": "dynamic", "DataType": "integer", "AllowedValues": "1-65535", "IsModifiable": true, "ApplyMethod": "pending-reboot", "SupportedEngineModes": ["provisioned"]}</t>
        </r>
      </text>
    </comment>
    <comment ref="M3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3" authorId="0">
      <text>
        <r>
          <rPr>
            <sz val="9"/>
            <color indexed="81"/>
            <rFont val="Meiryo UI"/>
            <family val="2"/>
          </rPr>
          <t>APIメタデータ: {"ParameterName": "auto_increment_offset", "Description": "Determines the starting point for the AUTO_INCREMENT column value", "Source": "engine-default", "ApplyType": "dynamic", "DataType": "integer", "AllowedValues": "1-65535", "IsModifiable": true, "ApplyMethod": "pending-reboot", "SupportedEngineModes": ["provisioned"]}</t>
        </r>
      </text>
    </comment>
    <comment ref="M3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4" authorId="0">
      <text>
        <r>
          <rPr>
            <sz val="9"/>
            <color indexed="81"/>
            <rFont val="Meiryo UI"/>
            <family val="2"/>
          </rPr>
          <t>APIメタデータ: {"ParameterName": "automatic_sp_privileges", "Description": "When this variable has a value of 1 (the default), the server automatically grants the EXECUTE and ALTER ROUTINE privileges to the creator of a stored routine, if the user cannot already execute and alter or drop the routine.", "Source": "engine-default", "ApplyType": "dynamic", "DataType": "boolean", "AllowedValues": "0,1", "IsModifiable": true, "ApplyMethod": "pending-reboot", "SupportedEngineModes": ["provisioned"]}</t>
        </r>
      </text>
    </comment>
    <comment ref="E34" authorId="0">
      <text>
        <r>
          <rPr>
            <sz val="9"/>
            <color indexed="81"/>
            <rFont val="Meiryo UI"/>
            <family val="2"/>
          </rPr>
          <t>https://dev.mysql.com/doc/refman/8.4/en/server-system-variables.html#sysvar_automatic_sp_privileges
Community参考値でありAurora実効値ではありません。</t>
        </r>
      </text>
    </comment>
    <comment ref="M3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5" authorId="0">
      <text>
        <r>
          <rPr>
            <sz val="9"/>
            <color indexed="81"/>
            <rFont val="Meiryo UI"/>
            <family val="2"/>
          </rPr>
          <t>APIメタデータ: {"ParameterName": "aws_default_bedrock_role", "Description": "IAM role ARN used for integration with Amazon Bedrock.", "Source": "engine-default", "ApplyType": "dynamic", "DataType": "string", "IsModifiable": true, "ApplyMethod": "pending-reboot", "SupportedEngineModes": ["provisioned"]}</t>
        </r>
      </text>
    </comment>
    <comment ref="M35"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6" authorId="0">
      <text>
        <r>
          <rPr>
            <sz val="9"/>
            <color indexed="81"/>
            <rFont val="Meiryo UI"/>
            <family val="2"/>
          </rPr>
          <t>APIメタデータ: {"ParameterName": "aws_default_comprehend_role", "Description": "Default IAM role ARN used for integration with AWS Comprehend", "Source": "engine-default", "ApplyType": "dynamic", "DataType": "string", "IsModifiable": true, "ApplyMethod": "pending-reboot", "SupportedEngineModes": ["provisioned"]}</t>
        </r>
      </text>
    </comment>
    <comment ref="M36"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7" authorId="0">
      <text>
        <r>
          <rPr>
            <sz val="9"/>
            <color indexed="81"/>
            <rFont val="Meiryo UI"/>
            <family val="2"/>
          </rPr>
          <t>APIメタデータ: {"ParameterName": "aws_default_lambda_role", "Description": "aws_default_lambda_role", "Source": "engine-default", "ApplyType": "dynamic", "DataType": "string", "IsModifiable": true, "ApplyMethod": "pending-reboot", "SupportedEngineModes": ["provisioned"]}</t>
        </r>
      </text>
    </comment>
    <comment ref="M37"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8" authorId="0">
      <text>
        <r>
          <rPr>
            <sz val="9"/>
            <color indexed="81"/>
            <rFont val="Meiryo UI"/>
            <family val="2"/>
          </rPr>
          <t>APIメタデータ: {"ParameterName": "aws_default_logs_role", "Description": "Arn for the role used to upload data to CloudWatch Logs", "Source": "engine-default", "ApplyType": "dynamic", "DataType": "string", "IsModifiable": true, "ApplyMethod": "pending-reboot", "SupportedEngineModes": ["provisioned"]}</t>
        </r>
      </text>
    </comment>
    <comment ref="M38"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9" authorId="0">
      <text>
        <r>
          <rPr>
            <sz val="9"/>
            <color indexed="81"/>
            <rFont val="Meiryo UI"/>
            <family val="2"/>
          </rPr>
          <t>APIメタデータ: {"ParameterName": "aws_default_s3_role", "Description": "aws_default_s3_role", "Source": "engine-default", "ApplyType": "dynamic", "DataType": "string", "IsModifiable": true, "ApplyMethod": "pending-reboot", "SupportedEngineModes": ["provisioned"]}</t>
        </r>
      </text>
    </comment>
    <comment ref="M39"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40" authorId="0">
      <text>
        <r>
          <rPr>
            <sz val="9"/>
            <color indexed="81"/>
            <rFont val="Meiryo UI"/>
            <family val="2"/>
          </rPr>
          <t>APIメタデータ: {"ParameterName": "aws_default_sagemaker_role", "Description": "Default IAM role ARN used for integration with AWS SageMaker", "Source": "engine-default", "ApplyType": "dynamic", "DataType": "string", "IsModifiable": true, "ApplyMethod": "pending-reboot", "SupportedEngineModes": ["provisioned"]}</t>
        </r>
      </text>
    </comment>
    <comment ref="M40"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41" authorId="0">
      <text>
        <r>
          <rPr>
            <sz val="9"/>
            <color indexed="81"/>
            <rFont val="Meiryo UI"/>
            <family val="2"/>
          </rPr>
          <t>APIメタデータ: {"ParameterName": "back_log", "Description": "The number of outstanding connection requests MySQL can have", "Source": "engine-default", "ApplyType": "static", "DataType": "integer", "AllowedValues": "1-65535", "IsModifiable": true, "ApplyMethod": "pending-reboot", "SupportedEngineModes": ["provisioned"]}</t>
        </r>
      </text>
    </comment>
    <comment ref="E41" authorId="0">
      <text>
        <r>
          <rPr>
            <sz val="9"/>
            <color indexed="81"/>
            <rFont val="Meiryo UI"/>
            <family val="2"/>
          </rPr>
          <t>https://dev.mysql.com/doc/refman/8.4/en/server-system-variables.html#sysvar_back_log
Community参考値でありAurora実効値ではありません。</t>
        </r>
      </text>
    </comment>
    <comment ref="M4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2" authorId="0">
      <text>
        <r>
          <rPr>
            <sz val="9"/>
            <color indexed="81"/>
            <rFont val="Meiryo UI"/>
            <family val="2"/>
          </rPr>
          <t>APIメタデータ: {"ParameterName": "basedir", "ParameterValue": "/rdsdbbin/oscar", "Description": "The MySQL installation base directory.", "Source": "system", "ApplyType": "static", "DataType": "string", "IsModifiable": false, "ApplyMethod": "pending-reboot", "SupportedEngineModes": ["provisioned"]}</t>
        </r>
      </text>
    </comment>
    <comment ref="E42" authorId="0">
      <text>
        <r>
          <rPr>
            <sz val="9"/>
            <color indexed="81"/>
            <rFont val="Meiryo UI"/>
            <family val="2"/>
          </rPr>
          <t>https://dev.mysql.com/doc/refman/8.4/en/server-options.html#sysvar_basedir
Community参考値でありAurora実効値ではありません。</t>
        </r>
      </text>
    </comment>
    <comment ref="M4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3" authorId="0">
      <text>
        <r>
          <rPr>
            <sz val="9"/>
            <color indexed="81"/>
            <rFont val="Meiryo UI"/>
            <family val="2"/>
          </rPr>
          <t>APIメタデータ: {"ParameterName": "binlog_backup", "ParameterValue": "1", "Description": "This setting controls if binary log data will be backed up or not. This setting is only used with aurora_enhanced_binlog. It must be disabled when aurora_enhanced_binlog is enabled, and enabled when aurora_enhanced_binlog is disabled.", "Source": "system", "ApplyType": "static", "DataType": "boolean", "AllowedValues": "0,1", "IsModifiable": true, "ApplyMethod": "pending-reboot", "SupportedEngineModes": ["provisioned"]}</t>
        </r>
      </text>
    </comment>
    <comment ref="M43"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44" authorId="0">
      <text>
        <r>
          <rPr>
            <sz val="9"/>
            <color indexed="81"/>
            <rFont val="Meiryo UI"/>
            <family val="2"/>
          </rPr>
          <t>APIメタデータ: {"ParameterName": "binlog_cache_size", "ParameterValue": "32768", "Description": "The size of the cache to hold the SQL statements for the binary log during a transaction.", "Source": "system", "ApplyType": "dynamic", "DataType": "integer", "AllowedValues": "4096-18446744073709547520", "IsModifiable": true, "ApplyMethod": "pending-reboot", "SupportedEngineModes": ["provisioned"]}</t>
        </r>
      </text>
    </comment>
    <comment ref="E44" authorId="0">
      <text>
        <r>
          <rPr>
            <sz val="9"/>
            <color indexed="81"/>
            <rFont val="Meiryo UI"/>
            <family val="2"/>
          </rPr>
          <t>https://dev.mysql.com/doc/refman/8.4/en/replication-options-binary-log.html#sysvar_binlog_cache_size
Community参考値でありAurora実効値ではありません。</t>
        </r>
      </text>
    </comment>
    <comment ref="M44"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45" authorId="0">
      <text>
        <r>
          <rPr>
            <sz val="9"/>
            <color indexed="81"/>
            <rFont val="Meiryo UI"/>
            <family val="2"/>
          </rPr>
          <t>APIメタデータ: {"ParameterName": "binlog_checksum", "Description": "When enabled, this variable causes the source to write a checksum for each event in the binary log.", "Source": "engine-default", "ApplyType": "dynamic", "DataType": "string", "AllowedValues": "NONE,CRC32", "IsModifiable": true, "ApplyMethod": "pending-reboot", "SupportedEngineModes": ["provisioned"]}</t>
        </r>
      </text>
    </comment>
    <comment ref="E45" authorId="0">
      <text>
        <r>
          <rPr>
            <sz val="9"/>
            <color indexed="81"/>
            <rFont val="Meiryo UI"/>
            <family val="2"/>
          </rPr>
          <t>https://dev.mysql.com/doc/refman/8.4/en/replication-options-binary-log.html#sysvar_binlog_checksum
Community参考値でありAurora実効値ではありません。</t>
        </r>
      </text>
    </comment>
    <comment ref="M45"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46" authorId="0">
      <text>
        <r>
          <rPr>
            <sz val="9"/>
            <color indexed="81"/>
            <rFont val="Meiryo UI"/>
            <family val="2"/>
          </rPr>
          <t>APIメタデータ: {"ParameterName": "binlog-do-db", "Description": "Creates a replication filter using the name of a database", "Source": "engine-default", "ApplyType": "static", "DataType": "list", "IsModifiable": true, "ApplyMethod": "pending-reboot", "SupportedEngineModes": ["provisioned"]}</t>
        </r>
      </text>
    </comment>
    <comment ref="M46"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47" authorId="0">
      <text>
        <r>
          <rPr>
            <sz val="9"/>
            <color indexed="81"/>
            <rFont val="Meiryo UI"/>
            <family val="2"/>
          </rPr>
          <t>APIメタデータ: {"ParameterName": "binlog_error_action", "Description": "Controls what happens when the server cannot write to the binary log.", "Source": "engine-default", "ApplyType": "dynamic", "DataType": "string", "AllowedValues": "IGNORE_ERROR,ABORT_SERVER", "IsModifiable": true, "ApplyMethod": "pending-reboot", "SupportedEngineModes": ["provisioned"]}</t>
        </r>
      </text>
    </comment>
    <comment ref="E47" authorId="0">
      <text>
        <r>
          <rPr>
            <sz val="9"/>
            <color indexed="81"/>
            <rFont val="Meiryo UI"/>
            <family val="2"/>
          </rPr>
          <t>https://dev.mysql.com/doc/refman/8.4/en/replication-options-binary-log.html#sysvar_binlog_error_action
Community参考値でありAurora実効値ではありません。</t>
        </r>
      </text>
    </comment>
    <comment ref="M47"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48" authorId="0">
      <text>
        <r>
          <rPr>
            <sz val="9"/>
            <color indexed="81"/>
            <rFont val="Meiryo UI"/>
            <family val="2"/>
          </rPr>
          <t>APIメタデータ: {"ParameterName": "binlog_format", "ParameterValue": "OFF", "Description": "Binary logging format for replication", "Source": "system", "ApplyType": "static", "DataType": "string", "AllowedValues": "ROW,STATEMENT,MIXED,OFF", "IsModifiable": true, "ApplyMethod": "pending-reboot", "SupportedEngineModes": ["provisioned"]}</t>
        </r>
      </text>
    </comment>
    <comment ref="E48" authorId="0">
      <text>
        <r>
          <rPr>
            <sz val="9"/>
            <color indexed="81"/>
            <rFont val="Meiryo UI"/>
            <family val="2"/>
          </rPr>
          <t>https://dev.mysql.com/doc/refman/8.4/en/replication-options-binary-log.html#sysvar_binlog_format
Community参考値でありAurora実効値ではありません。</t>
        </r>
      </text>
    </comment>
    <comment ref="M48" authorId="0">
      <text>
        <r>
          <rPr>
            <sz val="9"/>
            <color indexed="81"/>
            <rFont val="Meiryo UI"/>
            <family val="2"/>
          </rPr>
          <t>https://docs.aws.amazon.com/AmazonRDS/latest/APIReference/API_DescribeDBClusterParameters.html
https://docs.aws.amazon.com/AmazonRDS/latest/AuroraUserGuide/aurora-global-database.html
https://docs.aws.amazon.com/AmazonRDS/latest/AuroraUserGuide/AuroraMySQL.Reference.ParameterGroups.html</t>
        </r>
      </text>
    </comment>
    <comment ref="B49" authorId="0">
      <text>
        <r>
          <rPr>
            <sz val="9"/>
            <color indexed="81"/>
            <rFont val="Meiryo UI"/>
            <family val="2"/>
          </rPr>
          <t>APIメタデータ: {"ParameterName": "binlog_group_commit_sync_delay", "Description": "Controls how many microseconds the binary log commit waits before synchronizing the binary log file to storage. Setting binlog_group_commit_sync_delay can increase the number of parallel committing transactions on any server that has (or might have after a failover) a replica, and therefore can increase parallel execution on the replicas.", "Source": "engine-default", "ApplyType": "dynamic", "DataType": "integer", "AllowedValues": "0-1000000", "IsModifiable": true, "ApplyMethod": "pending-reboot", "SupportedEngineModes": ["provisioned"]}</t>
        </r>
      </text>
    </comment>
    <comment ref="E49" authorId="0">
      <text>
        <r>
          <rPr>
            <sz val="9"/>
            <color indexed="81"/>
            <rFont val="Meiryo UI"/>
            <family val="2"/>
          </rPr>
          <t>https://dev.mysql.com/doc/refman/8.4/en/replication-options-binary-log.html#sysvar_binlog_group_commit_sync_delay
Community参考値でありAurora実効値ではありません。</t>
        </r>
      </text>
    </comment>
    <comment ref="M49"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0" authorId="0">
      <text>
        <r>
          <rPr>
            <sz val="9"/>
            <color indexed="81"/>
            <rFont val="Meiryo UI"/>
            <family val="2"/>
          </rPr>
          <t>APIメタデータ: {"ParameterName": "binlog_group_commit_sync_no_delay_count", "Description": "The maximum number of transactions to wait for before aborting the current delay as specified by binlog_group_commit_sync_delay.", "Source": "engine-default", "ApplyType": "dynamic", "DataType": "integer", "AllowedValues": "0-100000", "IsModifiable": true, "ApplyMethod": "pending-reboot", "SupportedEngineModes": ["provisioned"]}</t>
        </r>
      </text>
    </comment>
    <comment ref="E50" authorId="0">
      <text>
        <r>
          <rPr>
            <sz val="9"/>
            <color indexed="81"/>
            <rFont val="Meiryo UI"/>
            <family val="2"/>
          </rPr>
          <t>https://dev.mysql.com/doc/refman/8.4/en/replication-options-binary-log.html#sysvar_binlog_group_commit_sync_no_delay_count
Community参考値でありAurora実効値ではありません。</t>
        </r>
      </text>
    </comment>
    <comment ref="M50"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1" authorId="0">
      <text>
        <r>
          <rPr>
            <sz val="9"/>
            <color indexed="81"/>
            <rFont val="Meiryo UI"/>
            <family val="2"/>
          </rPr>
          <t>APIメタデータ: {"ParameterName": "binlog-ignore-db", "Description": "Creates a replication ignore filter using the name of a database", "Source": "engine-default", "ApplyType": "static", "DataType": "list", "IsModifiable": true, "ApplyMethod": "pending-reboot", "SupportedEngineModes": ["provisioned"]}</t>
        </r>
      </text>
    </comment>
    <comment ref="M51"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2" authorId="0">
      <text>
        <r>
          <rPr>
            <sz val="9"/>
            <color indexed="81"/>
            <rFont val="Meiryo UI"/>
            <family val="2"/>
          </rPr>
          <t>APIメタデータ: {"ParameterName": "binlog_max_flush_queue_time", "Description": "How long in microseconds to keep reading transactions from the flush queue before proceeding with the group commit (and syncing the log to disk, if sync_binlog is greater than 0). If the value is 0 (the default), there is no timeout and the server keeps reading new transactions until the queue is empty.", "Source": "engine-default", "ApplyType": "dynamic", "DataType": "integer", "AllowedValues": "0-100000", "IsModifiable": true, "ApplyMethod": "pending-reboot", "SupportedEngineModes": ["provisioned"]}</t>
        </r>
      </text>
    </comment>
    <comment ref="E52" authorId="0">
      <text>
        <r>
          <rPr>
            <sz val="9"/>
            <color indexed="81"/>
            <rFont val="Meiryo UI"/>
            <family val="2"/>
          </rPr>
          <t>https://dev.mysql.com/doc/refman/8.4/en/replication-options-binary-log.html#sysvar_binlog_max_flush_queue_time
Community参考値でありAurora実効値ではありません。</t>
        </r>
      </text>
    </comment>
    <comment ref="M52"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3" authorId="0">
      <text>
        <r>
          <rPr>
            <sz val="9"/>
            <color indexed="81"/>
            <rFont val="Meiryo UI"/>
            <family val="2"/>
          </rPr>
          <t>APIメタデータ: {"ParameterName": "binlog_order_commits", "Description": "If this variable is enabled (the default), transactions are committed in the same order they are written to the binary log. If disabled, transactions may be committed in parallel.", "Source": "engine-default", "ApplyType": "dynamic", "DataType": "boolean", "AllowedValues": "0,1", "IsModifiable": true, "ApplyMethod": "pending-reboot", "SupportedEngineModes": ["provisioned"]}</t>
        </r>
      </text>
    </comment>
    <comment ref="E53" authorId="0">
      <text>
        <r>
          <rPr>
            <sz val="9"/>
            <color indexed="81"/>
            <rFont val="Meiryo UI"/>
            <family val="2"/>
          </rPr>
          <t>https://dev.mysql.com/doc/refman/8.4/en/replication-options-binary-log.html#sysvar_binlog_order_commits
Community参考値でありAurora実効値ではありません。</t>
        </r>
      </text>
    </comment>
    <comment ref="M53"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4" authorId="0">
      <text>
        <r>
          <rPr>
            <sz val="9"/>
            <color indexed="81"/>
            <rFont val="Meiryo UI"/>
            <family val="2"/>
          </rPr>
          <t>APIメタデータ: {"ParameterName": "binlog_replication_globaldb", "ParameterValue": "1", "Description": "This setting controls if binary log data will be replicated to global database secondary clusters. This setting is only used with aurora_enhanced_binlog.  It must be disabled when aurora_enhanced_binlog is enabled, and enabled when aurora_enhanced_binlog is disabled.", "Source": "system", "ApplyType": "static", "DataType": "boolean", "AllowedValues": "0,1", "IsModifiable": true, "ApplyMethod": "pending-reboot", "SupportedEngineModes": ["provisioned"]}</t>
        </r>
      </text>
    </comment>
    <comment ref="M54"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5" authorId="0">
      <text>
        <r>
          <rPr>
            <sz val="9"/>
            <color indexed="81"/>
            <rFont val="Meiryo UI"/>
            <family val="2"/>
          </rPr>
          <t>APIメタデータ: {"ParameterName": "binlog_row_image", "Description": "Whether the server logs full or minimal rows with row-based replication.", "Source": "engine-default", "ApplyType": "dynamic", "DataType": "string", "AllowedValues": "full,minimal,noblob", "IsModifiable": true, "ApplyMethod": "pending-reboot", "SupportedEngineModes": ["provisioned"]}</t>
        </r>
      </text>
    </comment>
    <comment ref="E55" authorId="0">
      <text>
        <r>
          <rPr>
            <sz val="9"/>
            <color indexed="81"/>
            <rFont val="Meiryo UI"/>
            <family val="2"/>
          </rPr>
          <t>https://dev.mysql.com/doc/refman/8.4/en/replication-options-binary-log.html#sysvar_binlog_row_image
Community参考値でありAurora実効値ではありません。</t>
        </r>
      </text>
    </comment>
    <comment ref="M55"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6" authorId="0">
      <text>
        <r>
          <rPr>
            <sz val="9"/>
            <color indexed="81"/>
            <rFont val="Meiryo UI"/>
            <family val="2"/>
          </rPr>
          <t>APIメタデータ: {"ParameterName": "binlog_row_metadata", "Description": "Configures the amount of table metadata added to the binary log when using row-based logging.", "Source": "engine-default", "ApplyType": "dynamic", "DataType": "string", "AllowedValues": "full,minimal", "IsModifiable": true, "ApplyMethod": "pending-reboot", "SupportedEngineModes": ["provisioned"]}</t>
        </r>
      </text>
    </comment>
    <comment ref="E56" authorId="0">
      <text>
        <r>
          <rPr>
            <sz val="9"/>
            <color indexed="81"/>
            <rFont val="Meiryo UI"/>
            <family val="2"/>
          </rPr>
          <t>https://dev.mysql.com/doc/refman/8.4/en/replication-options-binary-log.html#sysvar_binlog_row_metadata
Community参考値でありAurora実効値ではありません。</t>
        </r>
      </text>
    </comment>
    <comment ref="M56"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7" authorId="0">
      <text>
        <r>
          <rPr>
            <sz val="9"/>
            <color indexed="81"/>
            <rFont val="Meiryo UI"/>
            <family val="2"/>
          </rPr>
          <t>APIメタデータ: {"ParameterName": "binlog_rows_query_log_events", "Description": "When enabled, it causes a MySQL 5.6.2 or later server to write informational log events such as row query log events into its binary log.", "Source": "engine-default", "ApplyType": "dynamic", "DataType": "boolean", "AllowedValues": "0,1", "IsModifiable": true, "ApplyMethod": "pending-reboot", "SupportedEngineModes": ["provisioned"]}</t>
        </r>
      </text>
    </comment>
    <comment ref="E57" authorId="0">
      <text>
        <r>
          <rPr>
            <sz val="9"/>
            <color indexed="81"/>
            <rFont val="Meiryo UI"/>
            <family val="2"/>
          </rPr>
          <t>https://dev.mysql.com/doc/refman/8.4/en/replication-options-binary-log.html#sysvar_binlog_rows_query_log_events
Community参考値でありAurora実効値ではありません。</t>
        </r>
      </text>
    </comment>
    <comment ref="M57"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8" authorId="0">
      <text>
        <r>
          <rPr>
            <sz val="9"/>
            <color indexed="81"/>
            <rFont val="Meiryo UI"/>
            <family val="2"/>
          </rPr>
          <t>APIメタデータ: {"ParameterName": "binlog_row_value_options", "Description": "When set to PARTIAL_JSON, this option enables a space-efficient row-based binary log format for UPDATE statements that modify a JSON value using only the functions JSON_SET, JSON_REPLACE, and JSON_REMOVE. For such updates, only the modified parts of the JSON document are included in the binary log, so small changes of big documents may need significantly less space.", "Source": "engine-default", "ApplyType": "dynamic", "DataType": "string", "AllowedValues": "PARTIAL_JSON, ", "IsModifiable": true, "ApplyMethod": "pending-reboot", "SupportedEngineModes": ["provisioned"]}</t>
        </r>
      </text>
    </comment>
    <comment ref="E58" authorId="0">
      <text>
        <r>
          <rPr>
            <sz val="9"/>
            <color indexed="81"/>
            <rFont val="Meiryo UI"/>
            <family val="2"/>
          </rPr>
          <t>https://dev.mysql.com/doc/refman/8.4/en/replication-options-binary-log.html#sysvar_binlog_row_value_options
Community参考値でありAurora実効値ではありません。</t>
        </r>
      </text>
    </comment>
    <comment ref="M58"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59" authorId="0">
      <text>
        <r>
          <rPr>
            <sz val="9"/>
            <color indexed="81"/>
            <rFont val="Meiryo UI"/>
            <family val="2"/>
          </rPr>
          <t>APIメタデータ: {"ParameterName": "binlog_stmt_cache_size", "Description": "This variable determines the size of the cache for the binary log to hold nontransactional statements issued during a transaction.", "Source": "engine-default", "ApplyType": "dynamic", "DataType": "integer", "AllowedValues": "4096-18446744073709547520", "IsModifiable": true, "ApplyMethod": "pending-reboot", "SupportedEngineModes": ["provisioned"]}</t>
        </r>
      </text>
    </comment>
    <comment ref="E59" authorId="0">
      <text>
        <r>
          <rPr>
            <sz val="9"/>
            <color indexed="81"/>
            <rFont val="Meiryo UI"/>
            <family val="2"/>
          </rPr>
          <t>https://dev.mysql.com/doc/refman/8.4/en/replication-options-binary-log.html#sysvar_binlog_stmt_cache_size
Community参考値でありAurora実効値ではありません。</t>
        </r>
      </text>
    </comment>
    <comment ref="M59"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60" authorId="0">
      <text>
        <r>
          <rPr>
            <sz val="9"/>
            <color indexed="81"/>
            <rFont val="Meiryo UI"/>
            <family val="2"/>
          </rPr>
          <t>APIメタデータ: {"ParameterName": "binlog_transaction_compression", "Description": "Enables compression for transactions that are written to binary log files on this server", "Source": "engine-default", "ApplyType": "dynamic", "DataType": "string", "AllowedValues": "ON,OFF", "IsModifiable": true, "ApplyMethod": "pending-reboot", "SupportedEngineModes": ["provisioned"]}</t>
        </r>
      </text>
    </comment>
    <comment ref="E60" authorId="0">
      <text>
        <r>
          <rPr>
            <sz val="9"/>
            <color indexed="81"/>
            <rFont val="Meiryo UI"/>
            <family val="2"/>
          </rPr>
          <t>https://dev.mysql.com/doc/refman/8.4/en/replication-options-binary-log.html#sysvar_binlog_transaction_compression
Community参考値でありAurora実効値ではありません。</t>
        </r>
      </text>
    </comment>
    <comment ref="M60"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61" authorId="0">
      <text>
        <r>
          <rPr>
            <sz val="9"/>
            <color indexed="81"/>
            <rFont val="Meiryo UI"/>
            <family val="2"/>
          </rPr>
          <t>APIメタデータ: {"ParameterName": "binlog_transaction_compression_level_zstd", "Description": "Sets the compression level for binary log transaction compression on this server, which is enabled by the binlog_transaction_compression system variable.", "Source": "engine-default", "ApplyType": "dynamic", "DataType": "integer", "AllowedValues": "1-22", "IsModifiable": true, "ApplyMethod": "pending-reboot", "SupportedEngineModes": ["provisioned"]}</t>
        </r>
      </text>
    </comment>
    <comment ref="E61" authorId="0">
      <text>
        <r>
          <rPr>
            <sz val="9"/>
            <color indexed="81"/>
            <rFont val="Meiryo UI"/>
            <family val="2"/>
          </rPr>
          <t>https://dev.mysql.com/doc/refman/8.4/en/replication-options-binary-log.html#sysvar_binlog_transaction_compression_level_zstd
Community参考値でありAurora実効値ではありません。</t>
        </r>
      </text>
    </comment>
    <comment ref="M61"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62" authorId="0">
      <text>
        <r>
          <rPr>
            <sz val="9"/>
            <color indexed="81"/>
            <rFont val="Meiryo UI"/>
            <family val="2"/>
          </rPr>
          <t>APIメタデータ: {"ParameterName": "binlog_transaction_dependency_history_size", "Description": "The limit on the number of row hashes kept in memory to track the last transaction that modified a given row", "Source": "engine-default", "ApplyType": "dynamic", "DataType": "integer", "AllowedValues": "1-1000000", "IsModifiable": true, "ApplyMethod": "pending-reboot", "SupportedEngineModes": ["provisioned"]}</t>
        </r>
      </text>
    </comment>
    <comment ref="E62" authorId="0">
      <text>
        <r>
          <rPr>
            <sz val="9"/>
            <color indexed="81"/>
            <rFont val="Meiryo UI"/>
            <family val="2"/>
          </rPr>
          <t>https://dev.mysql.com/doc/refman/8.4/en/replication-options-binary-log.html#sysvar_binlog_transaction_dependency_history_size
Community参考値でありAurora実効値ではありません。</t>
        </r>
      </text>
    </comment>
    <comment ref="M62"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63" authorId="0">
      <text>
        <r>
          <rPr>
            <sz val="9"/>
            <color indexed="81"/>
            <rFont val="Meiryo UI"/>
            <family val="2"/>
          </rPr>
          <t>APIメタデータ: {"ParameterName": "bulk_insert_buffer_size", "Description": "Limits the size of the MyISAM cache tree in bytes per thread.", "Source": "engine-default", "ApplyType": "dynamic", "DataType": "integer", "AllowedValues": "0-18446744073709547520", "IsModifiable": true, "ApplyMethod": "pending-reboot", "SupportedEngineModes": ["provisioned"]}</t>
        </r>
      </text>
    </comment>
    <comment ref="E63" authorId="0">
      <text>
        <r>
          <rPr>
            <sz val="9"/>
            <color indexed="81"/>
            <rFont val="Meiryo UI"/>
            <family val="2"/>
          </rPr>
          <t>https://dev.mysql.com/doc/refman/8.4/en/server-system-variables.html#sysvar_bulk_insert_buffer_size
Community参考値でありAurora実効値ではありません。</t>
        </r>
      </text>
    </comment>
    <comment ref="M6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64" authorId="0">
      <text>
        <r>
          <rPr>
            <sz val="9"/>
            <color indexed="81"/>
            <rFont val="Meiryo UI"/>
            <family val="2"/>
          </rPr>
          <t>APIメタデータ: {"ParameterName": "character_set_client", "Description": "The character set for statements that arrive from the client.", "Source": "engine-default", "ApplyType": "dynamic", "DataType": "string", "AllowedValues": "big5,dec8,cp850,hp8,koi8r,latin1,latin2,swe7,ascii,ujis,sjis,hebrew,tis620,euckr,koi8u,gb2312,greek,cp1250,gbk,latin5,armscii8,utf8,cp866,keybcs2,macce,macroman,cp852,latin7,utf8mb4,cp1251,cp1256,cp1257,binary,geostd8,cp932,eucjpms", "IsModifiable": true, "ApplyMethod": "pending-reboot", "SupportedEngineModes": ["provisioned"]}</t>
        </r>
      </text>
    </comment>
    <comment ref="E64" authorId="0">
      <text>
        <r>
          <rPr>
            <sz val="9"/>
            <color indexed="81"/>
            <rFont val="Meiryo UI"/>
            <family val="2"/>
          </rPr>
          <t>https://dev.mysql.com/doc/refman/8.4/en/server-system-variables.html#sysvar_character_set_client
Community参考値でありAurora実効値ではありません。</t>
        </r>
      </text>
    </comment>
    <comment ref="M64" authorId="0">
      <text>
        <r>
          <rPr>
            <sz val="9"/>
            <color indexed="81"/>
            <rFont val="Meiryo UI"/>
            <family val="2"/>
          </rPr>
          <t>https://docs.aws.amazon.com/AmazonRDS/latest/APIReference/API_DescribeDBClusterParameters.html
https://dev.mysql.com/doc/connector-j/en/connector-j-reference-configuration-properties.html</t>
        </r>
      </text>
    </comment>
    <comment ref="B65" authorId="0">
      <text>
        <r>
          <rPr>
            <sz val="9"/>
            <color indexed="81"/>
            <rFont val="Meiryo UI"/>
            <family val="2"/>
          </rPr>
          <t>APIメタデータ: {"ParameterName": "character_set_connection", "Description": "The character set used for literals that do not have a character set introducer and for number-to-string conversion.", "Source": "engine-default", "ApplyType": "dynamic", "DataType": "string", "AllowedValues": "big5,dec8,cp850,hp8,koi8r,latin1,latin2,swe7,ascii,ujis,sjis,hebrew,tis620,euckr,koi8u,gb2312,greek,cp1250,gbk,latin5,armscii8,utf8,ucs2,cp866,keybcs2,macce,macroman,cp852,latin7,utf8mb4,cp1251,utf16,cp1256,cp1257,utf32,binary,geostd8,cp932,eucjpms", "IsModifiable": true, "ApplyMethod": "pending-reboot", "SupportedEngineModes": ["provisioned"]}</t>
        </r>
      </text>
    </comment>
    <comment ref="E65" authorId="0">
      <text>
        <r>
          <rPr>
            <sz val="9"/>
            <color indexed="81"/>
            <rFont val="Meiryo UI"/>
            <family val="2"/>
          </rPr>
          <t>https://dev.mysql.com/doc/refman/8.4/en/server-system-variables.html#sysvar_character_set_connection
Community参考値でありAurora実効値ではありません。</t>
        </r>
      </text>
    </comment>
    <comment ref="M65" authorId="0">
      <text>
        <r>
          <rPr>
            <sz val="9"/>
            <color indexed="81"/>
            <rFont val="Meiryo UI"/>
            <family val="2"/>
          </rPr>
          <t>https://docs.aws.amazon.com/AmazonRDS/latest/APIReference/API_DescribeDBClusterParameters.html
https://dev.mysql.com/doc/connector-j/en/connector-j-reference-configuration-properties.html</t>
        </r>
      </text>
    </comment>
    <comment ref="B66" authorId="0">
      <text>
        <r>
          <rPr>
            <sz val="9"/>
            <color indexed="81"/>
            <rFont val="Meiryo UI"/>
            <family val="2"/>
          </rPr>
          <t>APIメタデータ: {"ParameterName": "character_set_database", "Description": "The character set used by the default database.", "Source": "engine-default", "ApplyType": "dynamic", "DataType": "string", "AllowedValues": "big5,dec8,cp850,hp8,koi8r,latin1,latin2,swe7,ascii,ujis,sjis,hebrew,tis620,euckr,koi8u,gb2312,greek,cp1250,gbk,latin5,armscii8,utf8,ucs2,cp866,keybcs2,macce,macroman,cp852,latin7,utf8mb4,cp1251,utf16,cp1256,cp1257,utf32,binary,geostd8,cp932,eucjpms", "IsModifiable": true, "ApplyMethod": "pending-reboot", "SupportedEngineModes": ["provisioned"]}</t>
        </r>
      </text>
    </comment>
    <comment ref="E66" authorId="0">
      <text>
        <r>
          <rPr>
            <sz val="9"/>
            <color indexed="81"/>
            <rFont val="Meiryo UI"/>
            <family val="2"/>
          </rPr>
          <t>https://dev.mysql.com/doc/refman/8.4/en/server-system-variables.html#sysvar_character_set_database
Community参考値でありAurora実効値ではありません。</t>
        </r>
      </text>
    </comment>
    <comment ref="M66" authorId="0">
      <text>
        <r>
          <rPr>
            <sz val="9"/>
            <color indexed="81"/>
            <rFont val="Meiryo UI"/>
            <family val="2"/>
          </rPr>
          <t>https://docs.aws.amazon.com/AmazonRDS/latest/APIReference/API_DescribeDBClusterParameters.html
https://dev.mysql.com/doc/refman/8.4/en/server-system-variables.html</t>
        </r>
      </text>
    </comment>
    <comment ref="B67" authorId="0">
      <text>
        <r>
          <rPr>
            <sz val="9"/>
            <color indexed="81"/>
            <rFont val="Meiryo UI"/>
            <family val="2"/>
          </rPr>
          <t>APIメタデータ: {"ParameterName": "character_set_filesystem", "Description": "The file system character set.", "Source": "engine-default", "ApplyType": "dynamic", "DataType": "string", "AllowedValues": "big5,dec8,cp850,hp8,koi8r,latin1,latin2,swe7,ascii,ujis,sjis,hebrew,tis620,euckr,koi8u,gb2312,greek,cp1250,gbk,latin5,armscii8,utf8,ucs2,cp866,keybcs2,macce,macroman,cp852,latin7,utf8mb4,cp1251,utf16,cp1256,cp1257,utf32,binary,geostd8,cp932,eucjpms", "IsModifiable": true, "ApplyMethod": "pending-reboot", "SupportedEngineModes": ["provisioned"]}</t>
        </r>
      </text>
    </comment>
    <comment ref="E67" authorId="0">
      <text>
        <r>
          <rPr>
            <sz val="9"/>
            <color indexed="81"/>
            <rFont val="Meiryo UI"/>
            <family val="2"/>
          </rPr>
          <t>https://dev.mysql.com/doc/refman/8.4/en/server-system-variables.html#sysvar_character_set_filesystem
Community参考値でありAurora実効値ではありません。</t>
        </r>
      </text>
    </comment>
    <comment ref="M6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68" authorId="0">
      <text>
        <r>
          <rPr>
            <sz val="9"/>
            <color indexed="81"/>
            <rFont val="Meiryo UI"/>
            <family val="2"/>
          </rPr>
          <t>APIメタデータ: {"ParameterName": "character_set_results", "Description": "The character set used for returning query results to the client.", "Source": "engine-default", "ApplyType": "dynamic", "DataType": "string", "AllowedValues": "big5,dec8,cp850,hp8,koi8r,latin1,latin2,swe7,ascii,ujis,sjis,hebrew,tis620,euckr,koi8u,gb2312,greek,cp1250,gbk,latin5,armscii8,utf8,ucs2,cp866,keybcs2,macce,macroman,cp852,latin7,utf8mb4,cp1251,utf16,cp1256,cp1257,utf32,binary,geostd8,cp932,eucjpms", "IsModifiable": true, "ApplyMethod": "pending-reboot", "SupportedEngineModes": ["provisioned"]}</t>
        </r>
      </text>
    </comment>
    <comment ref="E68" authorId="0">
      <text>
        <r>
          <rPr>
            <sz val="9"/>
            <color indexed="81"/>
            <rFont val="Meiryo UI"/>
            <family val="2"/>
          </rPr>
          <t>https://dev.mysql.com/doc/refman/8.4/en/server-system-variables.html#sysvar_character_set_results
Community参考値でありAurora実効値ではありません。</t>
        </r>
      </text>
    </comment>
    <comment ref="M68" authorId="0">
      <text>
        <r>
          <rPr>
            <sz val="9"/>
            <color indexed="81"/>
            <rFont val="Meiryo UI"/>
            <family val="2"/>
          </rPr>
          <t>https://docs.aws.amazon.com/AmazonRDS/latest/APIReference/API_DescribeDBClusterParameters.html
https://dev.mysql.com/doc/connector-j/en/connector-j-reference-configuration-properties.html</t>
        </r>
      </text>
    </comment>
    <comment ref="B69" authorId="0">
      <text>
        <r>
          <rPr>
            <sz val="9"/>
            <color indexed="81"/>
            <rFont val="Meiryo UI"/>
            <family val="2"/>
          </rPr>
          <t>APIメタデータ: {"ParameterName": "character_set_server", "Description": "The server's default character set.", "Source": "engine-default", "ApplyType": "dynamic", "DataType": "string", "AllowedValues": "big5,dec8,cp850,hp8,koi8r,latin1,latin2,swe7,ascii,ujis,sjis,hebrew,tis620,euckr,koi8u,gb2312,greek,cp1250,gbk,latin5,armscii8,utf8,ucs2,cp866,keybcs2,macce,macroman,cp852,latin7,utf8mb4,cp1251,utf16,cp1256,cp1257,utf32,binary,geostd8,cp932,eucjpms", "IsModifiable": true, "ApplyMethod": "pending-reboot", "SupportedEngineModes": ["provisioned"]}</t>
        </r>
      </text>
    </comment>
    <comment ref="E69" authorId="0">
      <text>
        <r>
          <rPr>
            <sz val="9"/>
            <color indexed="81"/>
            <rFont val="Meiryo UI"/>
            <family val="2"/>
          </rPr>
          <t>https://dev.mysql.com/doc/refman/8.4/en/server-system-variables.html#sysvar_character_set_server
Community参考値でありAurora実効値ではありません。</t>
        </r>
      </text>
    </comment>
    <comment ref="M69" authorId="0">
      <text>
        <r>
          <rPr>
            <sz val="9"/>
            <color indexed="81"/>
            <rFont val="Meiryo UI"/>
            <family val="2"/>
          </rPr>
          <t>https://docs.aws.amazon.com/AmazonRDS/latest/APIReference/API_DescribeDBClusterParameters.html
https://dev.mysql.com/doc/refman/8.4/en/server-system-variables.html</t>
        </r>
      </text>
    </comment>
    <comment ref="B70" authorId="0">
      <text>
        <r>
          <rPr>
            <sz val="9"/>
            <color indexed="81"/>
            <rFont val="Meiryo UI"/>
            <family val="2"/>
          </rPr>
          <t>APIメタデータ: {"ParameterName": "check_proxy_users", "Description": "Controls whether the mysql_native_password and sha256_password built-in authentication plugins support proxy users.", "Source": "engine-default", "ApplyType": "dynamic", "DataType": "boolean", "AllowedValues": "0,1", "IsModifiable": true, "ApplyMethod": "pending-reboot", "SupportedEngineModes": ["provisioned"]}</t>
        </r>
      </text>
    </comment>
    <comment ref="E70" authorId="0">
      <text>
        <r>
          <rPr>
            <sz val="9"/>
            <color indexed="81"/>
            <rFont val="Meiryo UI"/>
            <family val="2"/>
          </rPr>
          <t>https://dev.mysql.com/doc/refman/8.4/en/server-system-variables.html#sysvar_check_proxy_users
Community参考値でありAurora実効値ではありません。</t>
        </r>
      </text>
    </comment>
    <comment ref="M7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71" authorId="0">
      <text>
        <r>
          <rPr>
            <sz val="9"/>
            <color indexed="81"/>
            <rFont val="Meiryo UI"/>
            <family val="2"/>
          </rPr>
          <t>APIメタデータ: {"ParameterName": "collation_connection", "Description": "The collation of the connection character set.", "Source": "engine-default", "ApplyType": "dynamic", "DataType": "string", "AllowedValues": "big5_chinese_ci,big5_bin,dec8_swedish_ci,dec8_bin,cp850_general_ci,cp850_bin,hp8_english_ci,hp8_bin,koi8r_general_ci,koi8r_bin,latin1_german1_ci,latin1_swedish_ci,latin1_danish_ci,latin1_german2_ci,latin1_bin,latin1_general_ci,latin1_general_cs,latin1_spanish_ci,latin2_czech_cs,latin2_general_ci,latin2_hungarian_ci,latin2_croatian_ci,latin2_bin,swe7_swedish_ci,swe7_bin,ascii_general_ci,ascii_bin,ujis_japanese_ci,ujis_bin,sjis_japanese_ci,sjis_bin,hebrew_general_ci,hebrew_bin,tis620_thai_ci,tis620_bin,euckr_korean_ci,euckr_bin,koi8u_general_ci,koi8u_bin,gb2312_chinese_ci,gb2312_bin,greek_general_ci,greek_bin,cp1250_general_ci,cp1250_czech_cs,cp1250_croatian_ci,cp1250_bin,cp1250_polish_ci,gbk_chinese_ci,gbk_bin,latin5_turkish_ci,latin5_bin,armscii8_general_ci,armscii8_bin,utf8_general_ci,utf8_bin,utf8_unicode_ci,utf8_icelandic_ci,utf8_latvian_ci,utf8_romanian_ci,utf8_slovenian_ci,utf8_polish_ci,utf8_estonian_ci,utf8_spanish_ci,utf8_swedish_ci,utf8_turkish_ci,utf8_czech_ci,utf8_danish_ci,utf8_lithuanian_ci,utf8_slovak_ci,utf8_spanish2_ci,utf8_roman_ci,utf8_persian_ci,utf8_esperanto_ci,utf8_hungarian_ci,utf8_sinhala_ci,ucs2_general_ci,ucs2_bin,ucs2_unicode_ci,ucs2_icelandic_ci,ucs2_latvian_ci,ucs2_romanian_ci,ucs2_slovenian_ci,ucs2_polish_ci,ucs2_estonian_ci,ucs2_spanish_ci,ucs2_swedish_ci,ucs2_turkish_ci,ucs2_czech_ci,ucs2_danish_ci,ucs2_lithuanian_ci,ucs2_slovak_ci,ucs2_spanish2_ci,ucs2_roman_ci,ucs2_persian_ci,ucs2_esperanto_ci,ucs2_hungarian_ci,ucs2_sinhala_ci,cp866_general_ci,cp866_bin,keybcs2_general_ci,keybcs2_bin,macce_general_ci,macce_bin,macroman_general_ci,macroman_bin,cp852_general_ci,cp852_bin,latin7_estonian_cs,latin7_general_ci,latin7_general_cs,latin7_bin,utf8mb4_general_ci,utf8mb4_bin,utf8mb4_unicode_ci,utf8mb4_icelandic_ci,utf8mb4_latvian_ci,utf8mb4_romanian_ci,utf8mb4_slovenian_ci,utf8mb4_polish_ci,utf8mb4_estonian_ci,utf8mb4_spanish_ci,utf8mb4_swedish_ci,utf8mb4_turkish_ci,utf8mb4_czech_ci,utf8mb4_danish_ci,utf8mb4_lithuanian_ci,utf8mb4_slovak_ci,utf8mb4_spanish2_ci,utf8mb4_roman_ci,utf8mb4_persian_ci,utf8mb4_esperanto_ci,utf8mb4_hungarian_ci,utf8mb4_sinhala_ci,cp1251_bulgarian_ci,cp1251_ukrainian_ci,cp1251_bin,cp1251_general_ci,cp1251_general_cs,utf16_general_ci,utf16_bin,utf16_unicode_ci,utf16_icelandic_ci,utf16_latvian_ci,utf16_romanian_ci,utf16_slovenian_ci,utf16_polish_ci,utf16_estonian_ci,utf16_spanish_ci,utf16_swedish_ci,utf16_turkish_ci,utf16_czech_ci,utf16_danish_ci,utf16_lithuanian_ci,utf16_slovak_ci,utf16_spanish2_ci,utf16_roman_ci,utf16_persian_ci,utf16_esperanto_ci,utf16_hungarian_ci,utf16_sinhala_ci,cp1256_general_ci,cp1256_bin,cp1257_lithuanian_ci,cp1257_bin,cp1257_general_ci,utf32_general_ci,utf32_bin,utf32_unicode_ci,utf32_icelandic_ci,utf32_latvian_ci,utf32_romanian_ci,utf32_slovenian_ci,utf32_polish_ci,utf32_estonian_ci,utf32_spanish_ci,utf32_swedish_ci,utf32_turkish_ci,utf32_czech_ci,utf32_danish_ci,utf32_lithuanian_ci,utf32_slovak_ci,utf32_spanish2_ci,utf32_roman_ci,utf32_persian_ci,utf32_esperanto_ci,utf32_hungarian_ci,utf32_sinhala_ci,binary,geostd8_general_ci,geostd8_bin,cp932_japanese_ci,cp932_bin,eucjpms_japanese_ci,eucjpms_bin,utf8mb4_0900_ai_ci,utf8mb4_0900_as_ci,utf8mb4_0900_as_cs,utf8mb4_0900_bin", "IsModifiable": true, "ApplyMethod": "pending-reboot", "SupportedEngineModes": ["provisioned"]}</t>
        </r>
      </text>
    </comment>
    <comment ref="M71" authorId="0">
      <text>
        <r>
          <rPr>
            <sz val="9"/>
            <color indexed="81"/>
            <rFont val="Meiryo UI"/>
            <family val="2"/>
          </rPr>
          <t>https://docs.aws.amazon.com/AmazonRDS/latest/APIReference/API_DescribeDBClusterParameters.html
https://dev.mysql.com/doc/connector-j/en/connector-j-reference-configuration-properties.html
https://dev.mysql.com/doc/refman/8.4/en/server-system-variables.html</t>
        </r>
      </text>
    </comment>
    <comment ref="B72" authorId="0">
      <text>
        <r>
          <rPr>
            <sz val="9"/>
            <color indexed="81"/>
            <rFont val="Meiryo UI"/>
            <family val="2"/>
          </rPr>
          <t>APIメタデータ: {"ParameterName": "collation_server", "Description": "The server's default collation.", "Source": "engine-default", "ApplyType": "dynamic", "DataType": "string", "AllowedValues": "big5_chinese_ci,big5_bin,dec8_swedish_ci,dec8_bin,cp850_general_ci,cp850_bin,hp8_english_ci,hp8_bin,koi8r_general_ci,koi8r_bin,latin1_german1_ci,latin1_swedish_ci,latin1_danish_ci,latin1_german2_ci,latin1_bin,latin1_general_ci,latin1_general_cs,latin1_spanish_ci,latin2_czech_cs,latin2_general_ci,latin2_hungarian_ci,latin2_croatian_ci,latin2_bin,swe7_swedish_ci,swe7_bin,ascii_general_ci,ascii_bin,ujis_japanese_ci,ujis_bin,sjis_japanese_ci,sjis_bin,hebrew_general_ci,hebrew_bin,tis620_thai_ci,tis620_bin,euckr_korean_ci,euckr_bin,koi8u_general_ci,koi8u_bin,gb2312_chinese_ci,gb2312_bin,greek_general_ci,greek_bin,cp1250_general_ci,cp1250_czech_cs,cp1250_croatian_ci,cp1250_bin,cp1250_polish_ci,gbk_chinese_ci,gbk_bin,latin5_turkish_ci,latin5_bin,armscii8_general_ci,armscii8_bin,utf8_general_ci,utf8_bin,utf8_unicode_ci,utf8_icelandic_ci,utf8_latvian_ci,utf8_romanian_ci,utf8_slovenian_ci,utf8_polish_ci,utf8_estonian_ci,utf8_spanish_ci,utf8_swedish_ci,utf8_turkish_ci,utf8_czech_ci,utf8_danish_ci,utf8_lithuanian_ci,utf8_slovak_ci,utf8_spanish2_ci,utf8_roman_ci,utf8_persian_ci,utf8_esperanto_ci,utf8_hungarian_ci,utf8_sinhala_ci,ucs2_general_ci,ucs2_bin,ucs2_unicode_ci,ucs2_icelandic_ci,ucs2_latvian_ci,ucs2_romanian_ci,ucs2_slovenian_ci,ucs2_polish_ci,ucs2_estonian_ci,ucs2_spanish_ci,ucs2_swedish_ci,ucs2_turkish_ci,ucs2_czech_ci,ucs2_danish_ci,ucs2_lithuanian_ci,ucs2_slovak_ci,ucs2_spanish2_ci,ucs2_roman_ci,ucs2_persian_ci,ucs2_esperanto_ci,ucs2_hungarian_ci,ucs2_sinhala_ci,cp866_general_ci,cp866_bin,keybcs2_general_ci,keybcs2_bin,macce_general_ci,macce_bin,macroman_general_ci,macroman_bin,cp852_general_ci,cp852_bin,latin7_estonian_cs,latin7_general_ci,latin7_general_cs,latin7_bin,utf8mb4_general_ci,utf8mb4_bin,utf8mb4_unicode_ci,utf8mb4_icelandic_ci,utf8mb4_latvian_ci,utf8mb4_romanian_ci,utf8mb4_slovenian_ci,utf8mb4_polish_ci,utf8mb4_estonian_ci,utf8mb4_spanish_ci,utf8mb4_swedish_ci,utf8mb4_turkish_ci,utf8mb4_czech_ci,utf8mb4_danish_ci,utf8mb4_lithuanian_ci,utf8mb4_slovak_ci,utf8mb4_spanish2_ci,utf8mb4_roman_ci,utf8mb4_persian_ci,utf8mb4_esperanto_ci,utf8mb4_hungarian_ci,utf8mb4_sinhala_ci,cp1251_bulgarian_ci,cp1251_ukrainian_ci,cp1251_bin,cp1251_general_ci,cp1251_general_cs,utf16_general_ci,utf16_bin,utf16_unicode_ci,utf16_icelandic_ci,utf16_latvian_ci,utf16_romanian_ci,utf16_slovenian_ci,utf16_polish_ci,utf16_estonian_ci,utf16_spanish_ci,utf16_swedish_ci,utf16_turkish_ci,utf16_czech_ci,utf16_danish_ci,utf16_lithuanian_ci,utf16_slovak_ci,utf16_spanish2_ci,utf16_roman_ci,utf16_persian_ci,utf16_esperanto_ci,utf16_hungarian_ci,utf16_sinhala_ci,cp1256_general_ci,cp1256_bin,cp1257_lithuanian_ci,cp1257_bin,cp1257_general_ci,utf32_general_ci,utf32_bin,utf32_unicode_ci,utf32_icelandic_ci,utf32_latvian_ci,utf32_romanian_ci,utf32_slovenian_ci,utf32_polish_ci,utf32_estonian_ci,utf32_spanish_ci,utf32_swedish_ci,utf32_turkish_ci,utf32_czech_ci,utf32_danish_ci,utf32_lithuanian_ci,utf32_slovak_ci,utf32_spanish2_ci,utf32_roman_ci,utf32_persian_ci,utf32_esperanto_ci,utf32_hungarian_ci,utf32_sinhala_ci,binary,geostd8_general_ci,geostd8_bin,cp932_japanese_ci,cp932_bin,eucjpms_japanese_ci,eucjpms_bin,utf8mb4_0900_ai_ci,utf8mb4_0900_as_ci,utf8mb4_0900_as_cs,utf8mb4_0900_bin", "IsModifiable": true, "ApplyMethod": "pending-reboot", "SupportedEngineModes": ["provisioned"]}</t>
        </r>
      </text>
    </comment>
    <comment ref="E72" authorId="0">
      <text>
        <r>
          <rPr>
            <sz val="9"/>
            <color indexed="81"/>
            <rFont val="Meiryo UI"/>
            <family val="2"/>
          </rPr>
          <t>https://dev.mysql.com/doc/refman/8.4/en/server-system-variables.html#sysvar_collation_server
Community参考値でありAurora実効値ではありません。</t>
        </r>
      </text>
    </comment>
    <comment ref="M72" authorId="0">
      <text>
        <r>
          <rPr>
            <sz val="9"/>
            <color indexed="81"/>
            <rFont val="Meiryo UI"/>
            <family val="2"/>
          </rPr>
          <t>https://docs.aws.amazon.com/AmazonRDS/latest/APIReference/API_DescribeDBClusterParameters.html
https://dev.mysql.com/doc/refman/8.4/en/server-system-variables.html</t>
        </r>
      </text>
    </comment>
    <comment ref="B73" authorId="0">
      <text>
        <r>
          <rPr>
            <sz val="9"/>
            <color indexed="81"/>
            <rFont val="Meiryo UI"/>
            <family val="2"/>
          </rPr>
          <t>APIメタデータ: {"ParameterName": "completion_type", "Description": "The transaction completion type (0 - default, 1 - chain, 2 - release)", "Source": "engine-default", "ApplyType": "dynamic", "DataType": "integer", "AllowedValues": "0-2", "IsModifiable": true, "ApplyMethod": "pending-reboot", "SupportedEngineModes": ["provisioned"]}</t>
        </r>
      </text>
    </comment>
    <comment ref="E73" authorId="0">
      <text>
        <r>
          <rPr>
            <sz val="9"/>
            <color indexed="81"/>
            <rFont val="Meiryo UI"/>
            <family val="2"/>
          </rPr>
          <t>https://dev.mysql.com/doc/refman/8.4/en/server-system-variables.html#sysvar_completion_type
Community参考値でありAurora実効値ではありません。</t>
        </r>
      </text>
    </comment>
    <comment ref="M7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74" authorId="0">
      <text>
        <r>
          <rPr>
            <sz val="9"/>
            <color indexed="81"/>
            <rFont val="Meiryo UI"/>
            <family val="2"/>
          </rPr>
          <t>APIメタデータ: {"ParameterName": "concurrent_insert", "Description": "Allows INSERT and SELECT statements to run concurrently for MyISAM tables that have no free blocks in the middle of the data file.", "Source": "engine-default", "ApplyType": "dynamic", "DataType": "integer", "AllowedValues": "0-2", "IsModifiable": true, "ApplyMethod": "pending-reboot", "SupportedEngineModes": ["provisioned"]}</t>
        </r>
      </text>
    </comment>
    <comment ref="E74" authorId="0">
      <text>
        <r>
          <rPr>
            <sz val="9"/>
            <color indexed="81"/>
            <rFont val="Meiryo UI"/>
            <family val="2"/>
          </rPr>
          <t>https://dev.mysql.com/doc/refman/8.4/en/server-system-variables.html#sysvar_concurrent_insert
Community参考値でありAurora実効値ではありません。</t>
        </r>
      </text>
    </comment>
    <comment ref="M7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75" authorId="0">
      <text>
        <r>
          <rPr>
            <sz val="9"/>
            <color indexed="81"/>
            <rFont val="Meiryo UI"/>
            <family val="2"/>
          </rPr>
          <t>APIメタデータ: {"ParameterName": "connect_timeout", "Description": "The number of seconds that the MySQLd  server waits for a connect packet before responding with Bad handshake.", "Source": "engine-default", "ApplyType": "dynamic", "DataType": "integer", "AllowedValues": "2-31536000", "IsModifiable": true, "ApplyMethod": "pending-reboot", "SupportedEngineModes": ["provisioned"]}</t>
        </r>
      </text>
    </comment>
    <comment ref="E75" authorId="0">
      <text>
        <r>
          <rPr>
            <sz val="9"/>
            <color indexed="81"/>
            <rFont val="Meiryo UI"/>
            <family val="2"/>
          </rPr>
          <t>https://dev.mysql.com/doc/refman/8.4/en/server-system-variables.html#sysvar_connect_timeout
Community参考値でありAurora実効値ではありません。</t>
        </r>
      </text>
    </comment>
    <comment ref="M75" authorId="0">
      <text>
        <r>
          <rPr>
            <sz val="9"/>
            <color indexed="81"/>
            <rFont val="Meiryo UI"/>
            <family val="2"/>
          </rPr>
          <t>https://docs.aws.amazon.com/AmazonRDS/latest/APIReference/API_DescribeDBClusterParameters.html
https://dev.mysql.com/doc/refman/8.4/en/server-system-variables.html</t>
        </r>
      </text>
    </comment>
    <comment ref="B76" authorId="0">
      <text>
        <r>
          <rPr>
            <sz val="9"/>
            <color indexed="81"/>
            <rFont val="Meiryo UI"/>
            <family val="2"/>
          </rPr>
          <t>APIメタデータ: {"ParameterName": "core-file", "Description": "Write a core file if mysqld dies.", "Source": "engine-default", "ApplyType": "static", "DataType": "boolean", "AllowedValues": "0,1", "IsModifiable": false, "ApplyMethod": "pending-reboot", "SupportedEngineModes": ["provisioned"]}</t>
        </r>
      </text>
    </comment>
    <comment ref="E76" authorId="0">
      <text>
        <r>
          <rPr>
            <sz val="9"/>
            <color indexed="81"/>
            <rFont val="Meiryo UI"/>
            <family val="2"/>
          </rPr>
          <t>https://dev.mysql.com/doc/refman/8.4/en/server-system-variables.html#sysvar_core_file
Community参考値でありAurora実効値ではありません。</t>
        </r>
      </text>
    </comment>
    <comment ref="M7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77" authorId="0">
      <text>
        <r>
          <rPr>
            <sz val="9"/>
            <color indexed="81"/>
            <rFont val="Meiryo UI"/>
            <family val="2"/>
          </rPr>
          <t>APIメタデータ: {"ParameterName": "cte_max_recursion_depth", "Description": "Abort a recursive common table expression if it does more than this number of iterations.", "Source": "engine-default", "ApplyType": "dynamic", "DataType": "integer", "AllowedValues": "0-4294967295", "IsModifiable": true, "ApplyMethod": "pending-reboot", "SupportedEngineModes": ["provisioned"]}</t>
        </r>
      </text>
    </comment>
    <comment ref="E77" authorId="0">
      <text>
        <r>
          <rPr>
            <sz val="9"/>
            <color indexed="81"/>
            <rFont val="Meiryo UI"/>
            <family val="2"/>
          </rPr>
          <t>https://dev.mysql.com/doc/refman/8.4/en/server-system-variables.html#sysvar_cte_max_recursion_depth
Community参考値でありAurora実効値ではありません。</t>
        </r>
      </text>
    </comment>
    <comment ref="M77" authorId="0">
      <text>
        <r>
          <rPr>
            <sz val="9"/>
            <color indexed="81"/>
            <rFont val="Meiryo UI"/>
            <family val="2"/>
          </rPr>
          <t>https://docs.aws.amazon.com/AmazonRDS/latest/APIReference/API_DescribeDBClusterParameters.html
https://dev.mysql.com/doc/refman/8.4/en/server-system-variables.html</t>
        </r>
      </text>
    </comment>
    <comment ref="B78" authorId="0">
      <text>
        <r>
          <rPr>
            <sz val="9"/>
            <color indexed="81"/>
            <rFont val="Meiryo UI"/>
            <family val="2"/>
          </rPr>
          <t>APIメタデータ: {"ParameterName": "datadir", "ParameterValue": "/rdsdbdata/db/", "Description": "MySQL data directory", "Source": "system", "ApplyType": "static", "DataType": "string", "IsModifiable": false, "ApplyMethod": "pending-reboot", "SupportedEngineModes": ["provisioned"]}</t>
        </r>
      </text>
    </comment>
    <comment ref="M7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79" authorId="0">
      <text>
        <r>
          <rPr>
            <sz val="9"/>
            <color indexed="81"/>
            <rFont val="Meiryo UI"/>
            <family val="2"/>
          </rPr>
          <t>APIメタデータ: {"ParameterName": "default_password_lifetime", "ParameterValue": "0", "Description": "Defines the global automatic password expiration policy.", "Source": "system", "ApplyType": "dynamic", "DataType": "integer", "AllowedValues": "0-65535", "IsModifiable": true, "ApplyMethod": "pending-reboot", "SupportedEngineModes": ["provisioned"]}</t>
        </r>
      </text>
    </comment>
    <comment ref="E79" authorId="0">
      <text>
        <r>
          <rPr>
            <sz val="9"/>
            <color indexed="81"/>
            <rFont val="Meiryo UI"/>
            <family val="2"/>
          </rPr>
          <t>https://dev.mysql.com/doc/refman/8.4/en/server-system-variables.html#sysvar_default_password_lifetime
Community参考値でありAurora実効値ではありません。</t>
        </r>
      </text>
    </comment>
    <comment ref="M79" authorId="0">
      <text>
        <r>
          <rPr>
            <sz val="9"/>
            <color indexed="81"/>
            <rFont val="Meiryo UI"/>
            <family val="2"/>
          </rPr>
          <t>https://docs.aws.amazon.com/AmazonRDS/latest/APIReference/API_DescribeDBClusterParameters.html
https://docs.aws.amazon.com/AmazonRDS/latest/AuroraUserGuide/AuroraMySQL.Upgrade-v3-v84-security.html
https://docs.aws.amazon.com/secretsmanager/latest/userguide/replicate-secrets.html</t>
        </r>
      </text>
    </comment>
    <comment ref="B80" authorId="0">
      <text>
        <r>
          <rPr>
            <sz val="9"/>
            <color indexed="81"/>
            <rFont val="Meiryo UI"/>
            <family val="2"/>
          </rPr>
          <t>APIメタデータ: {"ParameterName": "default_storage_engine", "ParameterValue": "InnoDB", "Description": "The default storage engine (table type).", "Source": "system", "ApplyType": "dynamic", "DataType": "string", "AllowedValues": "InnoDB,MRG_MYISAM,BLACKHOLE,CSV,MEMORY,FEDERATED,ARCHIVE,MyISAM", "IsModifiable": false, "ApplyMethod": "pending-reboot", "SupportedEngineModes": ["provisioned"]}</t>
        </r>
      </text>
    </comment>
    <comment ref="E80" authorId="0">
      <text>
        <r>
          <rPr>
            <sz val="9"/>
            <color indexed="81"/>
            <rFont val="Meiryo UI"/>
            <family val="2"/>
          </rPr>
          <t>https://dev.mysql.com/doc/refman/8.4/en/server-system-variables.html#sysvar_default_storage_engine
Community参考値でありAurora実効値ではありません。</t>
        </r>
      </text>
    </comment>
    <comment ref="M8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1" authorId="0">
      <text>
        <r>
          <rPr>
            <sz val="9"/>
            <color indexed="81"/>
            <rFont val="Meiryo UI"/>
            <family val="2"/>
          </rPr>
          <t>APIメタデータ: {"ParameterName": "default_time_zone", "Description": "Server current time zone", "Source": "engine-default", "ApplyType": "static", "DataType": "string", "IsModifiable": false, "ApplyMethod": "pending-reboot", "SupportedEngineModes": ["provisioned"]}</t>
        </r>
      </text>
    </comment>
    <comment ref="M8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2" authorId="0">
      <text>
        <r>
          <rPr>
            <sz val="9"/>
            <color indexed="81"/>
            <rFont val="Meiryo UI"/>
            <family val="2"/>
          </rPr>
          <t>APIメタデータ: {"ParameterName": "default_tmp_storage_engine", "ParameterValue": "InnoDB", "Description": "The default storage engine for TEMPORARY tables.", "Source": "system", "ApplyType": "static", "DataType": "string", "AllowedValues": "InnoDB,MyISAM", "IsModifiable": true, "ApplyMethod": "pending-reboot", "SupportedEngineModes": ["provisioned"]}</t>
        </r>
      </text>
    </comment>
    <comment ref="E82" authorId="0">
      <text>
        <r>
          <rPr>
            <sz val="9"/>
            <color indexed="81"/>
            <rFont val="Meiryo UI"/>
            <family val="2"/>
          </rPr>
          <t>https://dev.mysql.com/doc/refman/8.4/en/server-system-variables.html#sysvar_default_tmp_storage_engine
Community参考値でありAurora実効値ではありません。</t>
        </r>
      </text>
    </comment>
    <comment ref="M8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3" authorId="0">
      <text>
        <r>
          <rPr>
            <sz val="9"/>
            <color indexed="81"/>
            <rFont val="Meiryo UI"/>
            <family val="2"/>
          </rPr>
          <t>APIメタデータ: {"ParameterName": "default_week_format", "Description": "The default mode value to use for the WEEK() function.", "Source": "engine-default", "ApplyType": "dynamic", "DataType": "integer", "AllowedValues": "0-7", "IsModifiable": true, "ApplyMethod": "pending-reboot", "SupportedEngineModes": ["provisioned"]}</t>
        </r>
      </text>
    </comment>
    <comment ref="E83" authorId="0">
      <text>
        <r>
          <rPr>
            <sz val="9"/>
            <color indexed="81"/>
            <rFont val="Meiryo UI"/>
            <family val="2"/>
          </rPr>
          <t>https://dev.mysql.com/doc/refman/8.4/en/server-system-variables.html#sysvar_default_week_format
Community参考値でありAurora実効値ではありません。</t>
        </r>
      </text>
    </comment>
    <comment ref="M8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4" authorId="0">
      <text>
        <r>
          <rPr>
            <sz val="9"/>
            <color indexed="81"/>
            <rFont val="Meiryo UI"/>
            <family val="2"/>
          </rPr>
          <t>APIメタデータ: {"ParameterName": "delayed_insert_limit", "Description": "After inserting delayed_insert_limit delayed rows, the INSERT DELAYED handler thread checks whether there are any SELECT statements pending. If so, it allows them to execute before continuing to insert delayed rows.", "Source": "engine-default", "ApplyType": "dynamic", "DataType": "integer", "AllowedValues": "1-9223372036854775807", "IsModifiable": true, "ApplyMethod": "pending-reboot", "SupportedEngineModes": ["provisioned"]}</t>
        </r>
      </text>
    </comment>
    <comment ref="E84" authorId="0">
      <text>
        <r>
          <rPr>
            <sz val="9"/>
            <color indexed="81"/>
            <rFont val="Meiryo UI"/>
            <family val="2"/>
          </rPr>
          <t>https://dev.mysql.com/doc/refman/8.4/en/server-system-variables.html#sysvar_delayed_insert_limit
Community参考値でありAurora実効値ではありません。</t>
        </r>
      </text>
    </comment>
    <comment ref="M8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5" authorId="0">
      <text>
        <r>
          <rPr>
            <sz val="9"/>
            <color indexed="81"/>
            <rFont val="Meiryo UI"/>
            <family val="2"/>
          </rPr>
          <t>APIメタデータ: {"ParameterName": "delayed_insert_timeout", "Description": "How many seconds an INSERT DELAYED handler thread should wait for INSERT statements before terminating.", "Source": "engine-default", "ApplyType": "dynamic", "DataType": "integer", "AllowedValues": "1-31536000", "IsModifiable": true, "ApplyMethod": "pending-reboot", "SupportedEngineModes": ["provisioned"]}</t>
        </r>
      </text>
    </comment>
    <comment ref="E85" authorId="0">
      <text>
        <r>
          <rPr>
            <sz val="9"/>
            <color indexed="81"/>
            <rFont val="Meiryo UI"/>
            <family val="2"/>
          </rPr>
          <t>https://dev.mysql.com/doc/refman/8.4/en/server-system-variables.html#sysvar_delayed_insert_timeout
Community参考値でありAurora実効値ではありません。</t>
        </r>
      </text>
    </comment>
    <comment ref="M8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6" authorId="0">
      <text>
        <r>
          <rPr>
            <sz val="9"/>
            <color indexed="81"/>
            <rFont val="Meiryo UI"/>
            <family val="2"/>
          </rPr>
          <t>APIメタデータ: {"ParameterName": "delayed_queue_size", "Description": "If the queue becomes full, any client that issues an INSERT DELAYED statement waits until there is room in the queue again.", "Source": "engine-default", "ApplyType": "dynamic", "DataType": "integer", "AllowedValues": "1-9223372036854775807", "IsModifiable": true, "ApplyMethod": "pending-reboot", "SupportedEngineModes": ["provisioned"]}</t>
        </r>
      </text>
    </comment>
    <comment ref="E86" authorId="0">
      <text>
        <r>
          <rPr>
            <sz val="9"/>
            <color indexed="81"/>
            <rFont val="Meiryo UI"/>
            <family val="2"/>
          </rPr>
          <t>https://dev.mysql.com/doc/refman/8.4/en/server-system-variables.html#sysvar_delayed_queue_size
Community参考値でありAurora実効値ではありません。</t>
        </r>
      </text>
    </comment>
    <comment ref="M8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7" authorId="0">
      <text>
        <r>
          <rPr>
            <sz val="9"/>
            <color indexed="81"/>
            <rFont val="Meiryo UI"/>
            <family val="2"/>
          </rPr>
          <t>APIメタデータ: {"ParameterName": "delay_key_write", "Description": "Determines when keys are flushed for MyISAM tables", "Source": "engine-default", "ApplyType": "dynamic", "DataType": "string", "AllowedValues": "OFF,ON,ALL", "IsModifiable": true, "ApplyMethod": "pending-reboot", "SupportedEngineModes": ["provisioned"]}</t>
        </r>
      </text>
    </comment>
    <comment ref="E87" authorId="0">
      <text>
        <r>
          <rPr>
            <sz val="9"/>
            <color indexed="81"/>
            <rFont val="Meiryo UI"/>
            <family val="2"/>
          </rPr>
          <t>https://dev.mysql.com/doc/refman/8.4/en/server-system-variables.html#sysvar_delay_key_write
Community参考値でありAurora実効値ではありません。</t>
        </r>
      </text>
    </comment>
    <comment ref="M8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8" authorId="0">
      <text>
        <r>
          <rPr>
            <sz val="9"/>
            <color indexed="81"/>
            <rFont val="Meiryo UI"/>
            <family val="2"/>
          </rPr>
          <t>APIメタデータ: {"ParameterName": "disconnect_on_expired_password", "Description": "Controls how the server handles clients with expired passwords:", "Source": "engine-default", "ApplyType": "static", "DataType": "boolean", "AllowedValues": "0,1", "IsModifiable": true, "ApplyMethod": "pending-reboot", "SupportedEngineModes": ["provisioned"]}</t>
        </r>
      </text>
    </comment>
    <comment ref="E88" authorId="0">
      <text>
        <r>
          <rPr>
            <sz val="9"/>
            <color indexed="81"/>
            <rFont val="Meiryo UI"/>
            <family val="2"/>
          </rPr>
          <t>https://dev.mysql.com/doc/refman/8.4/en/server-system-variables.html#sysvar_disconnect_on_expired_password
Community参考値でありAurora実効値ではありません。</t>
        </r>
      </text>
    </comment>
    <comment ref="M8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89" authorId="0">
      <text>
        <r>
          <rPr>
            <sz val="9"/>
            <color indexed="81"/>
            <rFont val="Meiryo UI"/>
            <family val="2"/>
          </rPr>
          <t>APIメタデータ: {"ParameterName": "div_precision_increment", "Description": "Number of digits by which to increase the scale of the result of division operations.", "Source": "engine-default", "ApplyType": "dynamic", "DataType": "integer", "AllowedValues": "0-30", "IsModifiable": true, "ApplyMethod": "pending-reboot", "SupportedEngineModes": ["provisioned"]}</t>
        </r>
      </text>
    </comment>
    <comment ref="E89" authorId="0">
      <text>
        <r>
          <rPr>
            <sz val="9"/>
            <color indexed="81"/>
            <rFont val="Meiryo UI"/>
            <family val="2"/>
          </rPr>
          <t>https://dev.mysql.com/doc/refman/8.4/en/server-system-variables.html#sysvar_div_precision_increment
Community参考値でありAurora実効値ではありません。</t>
        </r>
      </text>
    </comment>
    <comment ref="M8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0" authorId="0">
      <text>
        <r>
          <rPr>
            <sz val="9"/>
            <color indexed="81"/>
            <rFont val="Meiryo UI"/>
            <family val="2"/>
          </rPr>
          <t>APIメタデータ: {"ParameterName": "end_markers_in_json", "Description": "Whether optimizer JSON output should add end markers.", "Source": "engine-default", "ApplyType": "dynamic", "DataType": "boolean", "AllowedValues": "0,1", "IsModifiable": true, "ApplyMethod": "pending-reboot", "SupportedEngineModes": ["provisioned"]}</t>
        </r>
      </text>
    </comment>
    <comment ref="E90" authorId="0">
      <text>
        <r>
          <rPr>
            <sz val="9"/>
            <color indexed="81"/>
            <rFont val="Meiryo UI"/>
            <family val="2"/>
          </rPr>
          <t>https://dev.mysql.com/doc/refman/8.4/en/server-system-variables.html#sysvar_end_markers_in_json
Community参考値でありAurora実効値ではありません。</t>
        </r>
      </text>
    </comment>
    <comment ref="M9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1" authorId="0">
      <text>
        <r>
          <rPr>
            <sz val="9"/>
            <color indexed="81"/>
            <rFont val="Meiryo UI"/>
            <family val="2"/>
          </rPr>
          <t>APIメタデータ: {"ParameterName": "enforce_gtid_consistency", "Description": "Prevents execution of statements that cannot be logged in a transactionally safe manner", "Source": "engine-default", "ApplyType": "static", "DataType": "string", "AllowedValues": "OFF,WARN,ON", "IsModifiable": true, "ApplyMethod": "pending-reboot", "SupportedEngineModes": ["provisioned"]}</t>
        </r>
      </text>
    </comment>
    <comment ref="E91" authorId="0">
      <text>
        <r>
          <rPr>
            <sz val="9"/>
            <color indexed="81"/>
            <rFont val="Meiryo UI"/>
            <family val="2"/>
          </rPr>
          <t>https://dev.mysql.com/doc/refman/8.4/en/replication-options-gtids.html#sysvar_enforce_gtid_consistency
Community参考値でありAurora実効値ではありません。</t>
        </r>
      </text>
    </comment>
    <comment ref="M9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2" authorId="0">
      <text>
        <r>
          <rPr>
            <sz val="9"/>
            <color indexed="81"/>
            <rFont val="Meiryo UI"/>
            <family val="2"/>
          </rPr>
          <t>APIメタデータ: {"ParameterName": "eq_range_index_dive_limit", "Description": "Number of equality ranges when the optimizer should switch from using index dives to index statistics.", "Source": "engine-default", "ApplyType": "dynamic", "DataType": "integer", "AllowedValues": "0-4294967295", "IsModifiable": true, "ApplyMethod": "pending-reboot", "SupportedEngineModes": ["provisioned"]}</t>
        </r>
      </text>
    </comment>
    <comment ref="E92" authorId="0">
      <text>
        <r>
          <rPr>
            <sz val="9"/>
            <color indexed="81"/>
            <rFont val="Meiryo UI"/>
            <family val="2"/>
          </rPr>
          <t>https://dev.mysql.com/doc/refman/8.4/en/server-system-variables.html#sysvar_eq_range_index_dive_limit
Community参考値でありAurora実効値ではありません。</t>
        </r>
      </text>
    </comment>
    <comment ref="M92" authorId="0">
      <text>
        <r>
          <rPr>
            <sz val="9"/>
            <color indexed="81"/>
            <rFont val="Meiryo UI"/>
            <family val="2"/>
          </rPr>
          <t>https://docs.aws.amazon.com/AmazonRDS/latest/APIReference/API_DescribeDBClusterParameters.html
https://dev.mysql.com/doc/refman/8.4/en/server-system-variables.html</t>
        </r>
      </text>
    </comment>
    <comment ref="B93" authorId="0">
      <text>
        <r>
          <rPr>
            <sz val="9"/>
            <color indexed="81"/>
            <rFont val="Meiryo UI"/>
            <family val="2"/>
          </rPr>
          <t>APIメタデータ: {"ParameterName": "event_scheduler", "Description": "Indicates the status of the Event Scheduler", "Source": "engine-default", "ApplyType": "dynamic", "DataType": "string", "AllowedValues": "ON,OFF", "IsModifiable": true, "ApplyMethod": "pending-reboot", "SupportedEngineModes": ["provisioned"]}</t>
        </r>
      </text>
    </comment>
    <comment ref="E93" authorId="0">
      <text>
        <r>
          <rPr>
            <sz val="9"/>
            <color indexed="81"/>
            <rFont val="Meiryo UI"/>
            <family val="2"/>
          </rPr>
          <t>https://dev.mysql.com/doc/refman/8.4/en/server-system-variables.html#sysvar_event_scheduler
Community参考値でありAurora実効値ではありません。</t>
        </r>
      </text>
    </comment>
    <comment ref="M93" authorId="0">
      <text>
        <r>
          <rPr>
            <sz val="9"/>
            <color indexed="81"/>
            <rFont val="Meiryo UI"/>
            <family val="2"/>
          </rPr>
          <t>https://docs.aws.amazon.com/AmazonRDS/latest/APIReference/API_DescribeDBClusterParameters.html
https://dev.mysql.com/doc/refman/8.4/en/server-system-variables.html</t>
        </r>
      </text>
    </comment>
    <comment ref="B94" authorId="0">
      <text>
        <r>
          <rPr>
            <sz val="9"/>
            <color indexed="81"/>
            <rFont val="Meiryo UI"/>
            <family val="2"/>
          </rPr>
          <t>APIメタデータ: {"ParameterName": "explain_format", "Description": "Determines the default output format used by EXPLAIN in the absence of a FORMAT option when displaying a query execution plan.", "Source": "engine-default", "ApplyType": "dynamic", "DataType": "string", "AllowedValues": "TRADITIONAL,JSON,TREE", "IsModifiable": true, "ApplyMethod": "pending-reboot", "SupportedEngineModes": ["provisioned"]}</t>
        </r>
      </text>
    </comment>
    <comment ref="E94" authorId="0">
      <text>
        <r>
          <rPr>
            <sz val="9"/>
            <color indexed="81"/>
            <rFont val="Meiryo UI"/>
            <family val="2"/>
          </rPr>
          <t>https://dev.mysql.com/doc/refman/8.4/en/server-system-variables.html#sysvar_explain_format
Community参考値でありAurora実効値ではありません。</t>
        </r>
      </text>
    </comment>
    <comment ref="M9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5" authorId="0">
      <text>
        <r>
          <rPr>
            <sz val="9"/>
            <color indexed="81"/>
            <rFont val="Meiryo UI"/>
            <family val="2"/>
          </rPr>
          <t>APIメタデータ: {"ParameterName": "explicit_defaults_for_timestamp", "ParameterValue": "1", "Description": "Needed for 5.6.7", "Source": "system", "ApplyType": "static", "DataType": "boolean", "AllowedValues": "0,1", "IsModifiable": true, "ApplyMethod": "pending-reboot", "SupportedEngineModes": ["provisioned"]}</t>
        </r>
      </text>
    </comment>
    <comment ref="E95" authorId="0">
      <text>
        <r>
          <rPr>
            <sz val="9"/>
            <color indexed="81"/>
            <rFont val="Meiryo UI"/>
            <family val="2"/>
          </rPr>
          <t>https://dev.mysql.com/doc/refman/8.4/en/server-system-variables.html#sysvar_explicit_defaults_for_timestamp
Community参考値でありAurora実効値ではありません。</t>
        </r>
      </text>
    </comment>
    <comment ref="M9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6" authorId="0">
      <text>
        <r>
          <rPr>
            <sz val="9"/>
            <color indexed="81"/>
            <rFont val="Meiryo UI"/>
            <family val="2"/>
          </rPr>
          <t>APIメタデータ: {"ParameterName": "flush", "Description": "If ON, the server flushes all changes to disk after each SQL statement.", "Source": "engine-default", "ApplyType": "dynamic", "DataType": "boolean", "AllowedValues": "0,1", "IsModifiable": false, "ApplyMethod": "pending-reboot", "SupportedEngineModes": ["provisioned"]}</t>
        </r>
      </text>
    </comment>
    <comment ref="E96" authorId="0">
      <text>
        <r>
          <rPr>
            <sz val="9"/>
            <color indexed="81"/>
            <rFont val="Meiryo UI"/>
            <family val="2"/>
          </rPr>
          <t>https://dev.mysql.com/doc/refman/8.4/en/server-options.html#sysvar_flush
Community参考値でありAurora実効値ではありません。</t>
        </r>
      </text>
    </comment>
    <comment ref="M9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7" authorId="0">
      <text>
        <r>
          <rPr>
            <sz val="9"/>
            <color indexed="81"/>
            <rFont val="Meiryo UI"/>
            <family val="2"/>
          </rPr>
          <t>APIメタデータ: {"ParameterName": "flush_time", "Description": "Frees up resources and synchronize unflushed data to disk. Recommended only on systems with minimal resources.", "Source": "engine-default", "ApplyType": "dynamic", "DataType": "integer", "AllowedValues": "0-31536000", "IsModifiable": true, "ApplyMethod": "pending-reboot", "SupportedEngineModes": ["provisioned"]}</t>
        </r>
      </text>
    </comment>
    <comment ref="E97" authorId="0">
      <text>
        <r>
          <rPr>
            <sz val="9"/>
            <color indexed="81"/>
            <rFont val="Meiryo UI"/>
            <family val="2"/>
          </rPr>
          <t>https://dev.mysql.com/doc/refman/8.4/en/server-system-variables.html#sysvar_flush_time
Community参考値でありAurora実効値ではありません。</t>
        </r>
      </text>
    </comment>
    <comment ref="M9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8" authorId="0">
      <text>
        <r>
          <rPr>
            <sz val="9"/>
            <color indexed="81"/>
            <rFont val="Meiryo UI"/>
            <family val="2"/>
          </rPr>
          <t>APIメタデータ: {"ParameterName": "ft_boolean_syntax", "Description": "The list of operators supported by boolean full-text searches", "Source": "engine-default", "ApplyType": "dynamic", "DataType": "string", "IsModifiable": false, "ApplyMethod": "pending-reboot", "SupportedEngineModes": ["provisioned"]}</t>
        </r>
      </text>
    </comment>
    <comment ref="E98" authorId="0">
      <text>
        <r>
          <rPr>
            <sz val="9"/>
            <color indexed="81"/>
            <rFont val="Meiryo UI"/>
            <family val="2"/>
          </rPr>
          <t>https://dev.mysql.com/doc/refman/8.4/en/server-system-variables.html#sysvar_ft_boolean_syntax
Community参考値でありAurora実効値ではありません。</t>
        </r>
      </text>
    </comment>
    <comment ref="M9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99" authorId="0">
      <text>
        <r>
          <rPr>
            <sz val="9"/>
            <color indexed="81"/>
            <rFont val="Meiryo UI"/>
            <family val="2"/>
          </rPr>
          <t>APIメタデータ: {"ParameterName": "ft_max_word_len", "Description": "Maximum length of the word to be included in a FULLTEXT index.", "Source": "engine-default", "ApplyType": "static", "DataType": "integer", "AllowedValues": "10-84", "IsModifiable": true, "ApplyMethod": "pending-reboot", "SupportedEngineModes": ["provisioned"]}</t>
        </r>
      </text>
    </comment>
    <comment ref="E99" authorId="0">
      <text>
        <r>
          <rPr>
            <sz val="9"/>
            <color indexed="81"/>
            <rFont val="Meiryo UI"/>
            <family val="2"/>
          </rPr>
          <t>https://dev.mysql.com/doc/refman/8.4/en/server-system-variables.html#sysvar_ft_max_word_len
Community参考値でありAurora実効値ではありません。</t>
        </r>
      </text>
    </comment>
    <comment ref="M9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00" authorId="0">
      <text>
        <r>
          <rPr>
            <sz val="9"/>
            <color indexed="81"/>
            <rFont val="Meiryo UI"/>
            <family val="2"/>
          </rPr>
          <t>APIメタデータ: {"ParameterName": "ft_min_word_len", "Description": "Minimum length of the word to be included in a FULLTEXT index.", "Source": "engine-default", "ApplyType": "static", "DataType": "integer", "AllowedValues": "1-84", "IsModifiable": true, "ApplyMethod": "pending-reboot", "SupportedEngineModes": ["provisioned"]}</t>
        </r>
      </text>
    </comment>
    <comment ref="E100" authorId="0">
      <text>
        <r>
          <rPr>
            <sz val="9"/>
            <color indexed="81"/>
            <rFont val="Meiryo UI"/>
            <family val="2"/>
          </rPr>
          <t>https://dev.mysql.com/doc/refman/8.4/en/server-system-variables.html#sysvar_ft_min_word_len
Community参考値でありAurora実効値ではありません。</t>
        </r>
      </text>
    </comment>
    <comment ref="M10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01" authorId="0">
      <text>
        <r>
          <rPr>
            <sz val="9"/>
            <color indexed="81"/>
            <rFont val="Meiryo UI"/>
            <family val="2"/>
          </rPr>
          <t>APIメタデータ: {"ParameterName": "ft_query_expansion_limit", "Description": "Number of top matches to use for full-text searches performed using WITH QUERY EXPANSION.", "Source": "engine-default", "ApplyType": "static", "DataType": "integer", "AllowedValues": "0-1000", "IsModifiable": true, "ApplyMethod": "pending-reboot", "SupportedEngineModes": ["provisioned"]}</t>
        </r>
      </text>
    </comment>
    <comment ref="E101" authorId="0">
      <text>
        <r>
          <rPr>
            <sz val="9"/>
            <color indexed="81"/>
            <rFont val="Meiryo UI"/>
            <family val="2"/>
          </rPr>
          <t>https://dev.mysql.com/doc/refman/8.4/en/server-system-variables.html#sysvar_ft_query_expansion_limit
Community参考値でありAurora実効値ではありません。</t>
        </r>
      </text>
    </comment>
    <comment ref="M10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02" authorId="0">
      <text>
        <r>
          <rPr>
            <sz val="9"/>
            <color indexed="81"/>
            <rFont val="Meiryo UI"/>
            <family val="2"/>
          </rPr>
          <t>APIメタデータ: {"ParameterName": "ft_stopword_file", "Description": "File for Full Search Stop Words. NULL uses Default, /dev/null to disable Stop Words", "Source": "engine-default", "ApplyType": "static", "DataType": "string", "AllowedValues": "/dev/null", "IsModifiable": true, "ApplyMethod": "pending-reboot", "SupportedEngineModes": ["provisioned"]}</t>
        </r>
      </text>
    </comment>
    <comment ref="M10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03" authorId="0">
      <text>
        <r>
          <rPr>
            <sz val="9"/>
            <color indexed="81"/>
            <rFont val="Meiryo UI"/>
            <family val="2"/>
          </rPr>
          <t>APIメタデータ: {"ParameterName": "general_log", "Description": "Whether the general query log is enabled", "Source": "engine-default", "ApplyType": "dynamic", "DataType": "boolean", "AllowedValues": "0,1", "IsModifiable": true, "ApplyMethod": "pending-reboot", "SupportedEngineModes": ["provisioned"]}</t>
        </r>
      </text>
    </comment>
    <comment ref="E103" authorId="0">
      <text>
        <r>
          <rPr>
            <sz val="9"/>
            <color indexed="81"/>
            <rFont val="Meiryo UI"/>
            <family val="2"/>
          </rPr>
          <t>https://dev.mysql.com/doc/refman/8.4/en/server-system-variables.html#sysvar_general_log
Community参考値でありAurora実効値ではありません。</t>
        </r>
      </text>
    </comment>
    <comment ref="M103"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104" authorId="0">
      <text>
        <r>
          <rPr>
            <sz val="9"/>
            <color indexed="81"/>
            <rFont val="Meiryo UI"/>
            <family val="2"/>
          </rPr>
          <t>APIメタデータ: {"ParameterName": "general_log_file", "ParameterValue": "/rdsdbdata/log/general/mysql-general.log", "Description": "Location of mysql general log.", "Source": "system", "ApplyType": "dynamic", "DataType": "string", "IsModifiable": false, "ApplyMethod": "pending-reboot", "SupportedEngineModes": ["provisioned"]}</t>
        </r>
      </text>
    </comment>
    <comment ref="E104" authorId="0">
      <text>
        <r>
          <rPr>
            <sz val="9"/>
            <color indexed="81"/>
            <rFont val="Meiryo UI"/>
            <family val="2"/>
          </rPr>
          <t>https://dev.mysql.com/doc/refman/8.4/en/server-system-variables.html#sysvar_general_log_file
Community参考値でありAurora実効値ではありません。</t>
        </r>
      </text>
    </comment>
    <comment ref="M104"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105" authorId="0">
      <text>
        <r>
          <rPr>
            <sz val="9"/>
            <color indexed="81"/>
            <rFont val="Meiryo UI"/>
            <family val="2"/>
          </rPr>
          <t>APIメタデータ: {"ParameterName": "generated_random_password_length", "ParameterValue": "20", "Description": "generated_random_password_length", "Source": "engine-default", "ApplyType": "dynamic", "DataType": "integer", "AllowedValues": "5-255", "IsModifiable": true, "ApplyMethod": "pending-reboot", "SupportedEngineModes": ["provisioned"]}</t>
        </r>
      </text>
    </comment>
    <comment ref="E105" authorId="0">
      <text>
        <r>
          <rPr>
            <sz val="9"/>
            <color indexed="81"/>
            <rFont val="Meiryo UI"/>
            <family val="2"/>
          </rPr>
          <t>https://dev.mysql.com/doc/refman/8.4/en/server-system-variables.html#sysvar_generated_random_password_length
Community参考値でありAurora実効値ではありません。</t>
        </r>
      </text>
    </comment>
    <comment ref="M105" authorId="0">
      <text>
        <r>
          <rPr>
            <sz val="9"/>
            <color indexed="81"/>
            <rFont val="Meiryo UI"/>
            <family val="2"/>
          </rPr>
          <t>https://docs.aws.amazon.com/AmazonRDS/latest/APIReference/API_DescribeDBClusterParameters.html
https://docs.aws.amazon.com/AmazonRDS/latest/AuroraUserGuide/AuroraMySQL.Compare-v84-community.html</t>
        </r>
      </text>
    </comment>
    <comment ref="B106" authorId="0">
      <text>
        <r>
          <rPr>
            <sz val="9"/>
            <color indexed="81"/>
            <rFont val="Meiryo UI"/>
            <family val="2"/>
          </rPr>
          <t>APIメタデータ: {"ParameterName": "group_concat_max_len", "Description": "Maximum allowed result length in bytes for the GROUP_CONCAT().", "Source": "engine-default", "ApplyType": "dynamic", "DataType": "integer", "AllowedValues": "4-18446744073709547520", "IsModifiable": true, "ApplyMethod": "pending-reboot", "SupportedEngineModes": ["provisioned"]}</t>
        </r>
      </text>
    </comment>
    <comment ref="E106" authorId="0">
      <text>
        <r>
          <rPr>
            <sz val="9"/>
            <color indexed="81"/>
            <rFont val="Meiryo UI"/>
            <family val="2"/>
          </rPr>
          <t>https://dev.mysql.com/doc/refman/8.4/en/server-system-variables.html#sysvar_group_concat_max_len
Community参考値でありAurora実効値ではありません。</t>
        </r>
      </text>
    </comment>
    <comment ref="M10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07" authorId="0">
      <text>
        <r>
          <rPr>
            <sz val="9"/>
            <color indexed="81"/>
            <rFont val="Meiryo UI"/>
            <family val="2"/>
          </rPr>
          <t>APIメタデータ: {"ParameterName": "gtid_executed_compression_period", "Description": "Compress the mysql.gtid_executed table each time this many transactions have taken place", "Source": "engine-default", "ApplyType": "dynamic", "DataType": "integer", "AllowedValues": "0-4294967295", "IsModifiable": true, "ApplyMethod": "pending-reboot", "SupportedEngineModes": ["provisioned"]}</t>
        </r>
      </text>
    </comment>
    <comment ref="E107" authorId="0">
      <text>
        <r>
          <rPr>
            <sz val="9"/>
            <color indexed="81"/>
            <rFont val="Meiryo UI"/>
            <family val="2"/>
          </rPr>
          <t>https://dev.mysql.com/doc/refman/8.4/en/replication-options-gtids.html#sysvar_gtid_executed_compression_period
Community参考値でありAurora実効値ではありません。</t>
        </r>
      </text>
    </comment>
    <comment ref="M107"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108" authorId="0">
      <text>
        <r>
          <rPr>
            <sz val="9"/>
            <color indexed="81"/>
            <rFont val="Meiryo UI"/>
            <family val="2"/>
          </rPr>
          <t>APIメタデータ: {"ParameterName": "gtid-mode", "ParameterValue": "OFF_PERMISSIVE", "Description": "Controls whether GTID based logging is enabled and what type of transactions the logs can contain", "Source": "system", "ApplyType": "static", "DataType": "string", "AllowedValues": "OFF,OFF_PERMISSIVE,ON_PERMISSIVE,ON", "IsModifiable": true, "ApplyMethod": "pending-reboot", "SupportedEngineModes": ["provisioned"]}</t>
        </r>
      </text>
    </comment>
    <comment ref="E108" authorId="0">
      <text>
        <r>
          <rPr>
            <sz val="9"/>
            <color indexed="81"/>
            <rFont val="Meiryo UI"/>
            <family val="2"/>
          </rPr>
          <t>https://dev.mysql.com/doc/refman/8.4/en/replication-options-gtids.html#sysvar_gtid_mode
Community参考値でありAurora実効値ではありません。</t>
        </r>
      </text>
    </comment>
    <comment ref="M108"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109" authorId="0">
      <text>
        <r>
          <rPr>
            <sz val="9"/>
            <color indexed="81"/>
            <rFont val="Meiryo UI"/>
            <family val="2"/>
          </rPr>
          <t>APIメタデータ: {"ParameterName": "gtid_purged", "Description": "The set of all GTIDs that have been purged from the binary log", "Source": "engine-default", "ApplyType": "dynamic", "DataType": "string", "IsModifiable": false, "ApplyMethod": "pending-reboot", "SupportedEngineModes": ["provisioned"]}</t>
        </r>
      </text>
    </comment>
    <comment ref="M109"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110" authorId="0">
      <text>
        <r>
          <rPr>
            <sz val="9"/>
            <color indexed="81"/>
            <rFont val="Meiryo UI"/>
            <family val="2"/>
          </rPr>
          <t>APIメタデータ: {"ParameterName": "histogram_generation_max_mem_size", "Description": "The maximum amount of memory available for generating histogram statistics.", "Source": "engine-default", "ApplyType": "dynamic", "DataType": "integer", "AllowedValues": "1000000-18446744073709551615", "IsModifiable": true, "ApplyMethod": "pending-reboot", "SupportedEngineModes": ["provisioned"]}</t>
        </r>
      </text>
    </comment>
    <comment ref="E110" authorId="0">
      <text>
        <r>
          <rPr>
            <sz val="9"/>
            <color indexed="81"/>
            <rFont val="Meiryo UI"/>
            <family val="2"/>
          </rPr>
          <t>https://dev.mysql.com/doc/refman/8.4/en/server-system-variables.html#sysvar_histogram_generation_max_mem_size
Community参考値でありAurora実効値ではありません。</t>
        </r>
      </text>
    </comment>
    <comment ref="M110" authorId="0">
      <text>
        <r>
          <rPr>
            <sz val="9"/>
            <color indexed="81"/>
            <rFont val="Meiryo UI"/>
            <family val="2"/>
          </rPr>
          <t>https://docs.aws.amazon.com/AmazonRDS/latest/APIReference/API_DescribeDBClusterParameters.html
https://dev.mysql.com/doc/refman/8.4/en/server-system-variables.html</t>
        </r>
      </text>
    </comment>
    <comment ref="B111" authorId="0">
      <text>
        <r>
          <rPr>
            <sz val="9"/>
            <color indexed="81"/>
            <rFont val="Meiryo UI"/>
            <family val="2"/>
          </rPr>
          <t>APIメタデータ: {"ParameterName": "host_cache_size", "Description": "The size of the internal host cache.", "Source": "engine-default", "ApplyType": "dynamic", "DataType": "integer", "AllowedValues": "0-65536", "IsModifiable": true, "ApplyMethod": "pending-reboot", "SupportedEngineModes": ["provisioned"]}</t>
        </r>
      </text>
    </comment>
    <comment ref="E111" authorId="0">
      <text>
        <r>
          <rPr>
            <sz val="9"/>
            <color indexed="81"/>
            <rFont val="Meiryo UI"/>
            <family val="2"/>
          </rPr>
          <t>https://dev.mysql.com/doc/refman/8.4/en/server-system-variables.html#sysvar_host_cache_size
Community参考値でありAurora実効値ではありません。</t>
        </r>
      </text>
    </comment>
    <comment ref="M111"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12" authorId="0">
      <text>
        <r>
          <rPr>
            <sz val="9"/>
            <color indexed="81"/>
            <rFont val="Meiryo UI"/>
            <family val="2"/>
          </rPr>
          <t>APIメタデータ: {"ParameterName": "information_schema_stats_expiry", "Description": "The number of seconds after which mysqld server will fetch data from storage engine and replace the data in cache", "Source": "engine-default", "ApplyType": "dynamic", "DataType": "integer", "AllowedValues": "0-31536000", "IsModifiable": true, "ApplyMethod": "pending-reboot", "SupportedEngineModes": ["provisioned"]}</t>
        </r>
      </text>
    </comment>
    <comment ref="E112" authorId="0">
      <text>
        <r>
          <rPr>
            <sz val="9"/>
            <color indexed="81"/>
            <rFont val="Meiryo UI"/>
            <family val="2"/>
          </rPr>
          <t>https://dev.mysql.com/doc/refman/8.4/en/server-system-variables.html#sysvar_information_schema_stats_expiry
Community参考値でありAurora実効値ではありません。</t>
        </r>
      </text>
    </comment>
    <comment ref="M11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113" authorId="0">
      <text>
        <r>
          <rPr>
            <sz val="9"/>
            <color indexed="81"/>
            <rFont val="Meiryo UI"/>
            <family val="2"/>
          </rPr>
          <t>APIメタデータ: {"ParameterName": "init_connect", "Description": "String to be executed by the server for each client that connects.", "Source": "engine-default", "ApplyType": "dynamic", "DataType": "string", "IsModifiable": true, "ApplyMethod": "pending-reboot", "SupportedEngineModes": ["provisioned"]}</t>
        </r>
      </text>
    </comment>
    <comment ref="M113" authorId="0">
      <text>
        <r>
          <rPr>
            <sz val="9"/>
            <color indexed="81"/>
            <rFont val="Meiryo UI"/>
            <family val="2"/>
          </rPr>
          <t>https://docs.aws.amazon.com/AmazonRDS/latest/APIReference/API_DescribeDBClusterParameters.html
https://docs.aws.amazon.com/AmazonRDS/latest/AuroraUserGuide/rds-proxy.html</t>
        </r>
      </text>
    </comment>
    <comment ref="B114" authorId="0">
      <text>
        <r>
          <rPr>
            <sz val="9"/>
            <color indexed="81"/>
            <rFont val="Meiryo UI"/>
            <family val="2"/>
          </rPr>
          <t>APIメタデータ: {"ParameterName": "innodb_adaptive_flushing", "Description": "Enables InnoDB Adaptive Flushing (default=on for RDS)", "Source": "engine-default", "ApplyType": "dynamic", "DataType": "boolean", "AllowedValues": "0,1", "IsModifiable": true, "ApplyMethod": "pending-reboot", "SupportedEngineModes": ["provisioned"]}</t>
        </r>
      </text>
    </comment>
    <comment ref="E114" authorId="0">
      <text>
        <r>
          <rPr>
            <sz val="9"/>
            <color indexed="81"/>
            <rFont val="Meiryo UI"/>
            <family val="2"/>
          </rPr>
          <t>https://dev.mysql.com/doc/refman/8.4/en/innodb-parameters.html#sysvar_innodb_adaptive_flushing
Community参考値でありAurora実効値ではありません。</t>
        </r>
      </text>
    </comment>
    <comment ref="M114"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15" authorId="0">
      <text>
        <r>
          <rPr>
            <sz val="9"/>
            <color indexed="81"/>
            <rFont val="Meiryo UI"/>
            <family val="2"/>
          </rPr>
          <t>APIメタデータ: {"ParameterName": "innodb_adaptive_hash_index", "ParameterValue": "0", "Description": "Whether innodb adaptive hash indexes are enabled or disabled", "Source": "system", "ApplyType": "dynamic", "DataType": "boolean", "AllowedValues": "0,1", "IsModifiable": true, "ApplyMethod": "pending-reboot", "SupportedEngineModes": ["provisioned"]}</t>
        </r>
      </text>
    </comment>
    <comment ref="E115" authorId="0">
      <text>
        <r>
          <rPr>
            <sz val="9"/>
            <color indexed="81"/>
            <rFont val="Meiryo UI"/>
            <family val="2"/>
          </rPr>
          <t>https://dev.mysql.com/doc/refman/8.4/en/innodb-parameters.html#sysvar_innodb_adaptive_hash_index
Community参考値でありAurora実効値ではありません。</t>
        </r>
      </text>
    </comment>
    <comment ref="M115"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16" authorId="0">
      <text>
        <r>
          <rPr>
            <sz val="9"/>
            <color indexed="81"/>
            <rFont val="Meiryo UI"/>
            <family val="2"/>
          </rPr>
          <t>APIメタデータ: {"ParameterName": "innodb_adaptive_hash_index_parts", "Description": "Partitions the adaptive hash index search system.", "Source": "engine-default", "ApplyType": "static", "DataType": "integer", "AllowedValues": "1-512", "IsModifiable": true, "ApplyMethod": "pending-reboot", "SupportedEngineModes": ["provisioned"]}</t>
        </r>
      </text>
    </comment>
    <comment ref="E116" authorId="0">
      <text>
        <r>
          <rPr>
            <sz val="9"/>
            <color indexed="81"/>
            <rFont val="Meiryo UI"/>
            <family val="2"/>
          </rPr>
          <t>https://dev.mysql.com/doc/refman/8.4/en/innodb-parameters.html#sysvar_innodb_adaptive_hash_index_parts
Community参考値でありAurora実効値ではありません。</t>
        </r>
      </text>
    </comment>
    <comment ref="M116"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17" authorId="0">
      <text>
        <r>
          <rPr>
            <sz val="9"/>
            <color indexed="81"/>
            <rFont val="Meiryo UI"/>
            <family val="2"/>
          </rPr>
          <t>APIメタデータ: {"ParameterName": "innodb_adaptive_max_sleep_delay", "Description": "Allows InnoDB to automatically adjust the value of innodb_thread_concurrency up or down according to the current workload.", "Source": "engine-default", "ApplyType": "dynamic", "DataType": "integer", "AllowedValues": "0-1000000", "IsModifiable": true, "ApplyMethod": "pending-reboot", "SupportedEngineModes": ["provisioned"]}</t>
        </r>
      </text>
    </comment>
    <comment ref="E117" authorId="0">
      <text>
        <r>
          <rPr>
            <sz val="9"/>
            <color indexed="81"/>
            <rFont val="Meiryo UI"/>
            <family val="2"/>
          </rPr>
          <t>https://dev.mysql.com/doc/refman/8.4/en/innodb-parameters.html#sysvar_innodb_adaptive_max_sleep_delay
Community参考値でありAurora実効値ではありません。</t>
        </r>
      </text>
    </comment>
    <comment ref="M117"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18" authorId="0">
      <text>
        <r>
          <rPr>
            <sz val="9"/>
            <color indexed="81"/>
            <rFont val="Meiryo UI"/>
            <family val="2"/>
          </rPr>
          <t>APIメタデータ: {"ParameterName": "innodb_aurora_instant_alter_column_allowed", "Description": "Controls whether the INSTANT algorithm can be used for ALTER COLUMN operations at the global level.", "Source": "engine-default", "ApplyType": "dynamic", "DataType": "boolean", "AllowedValues": "0,1", "IsModifiable": true, "ApplyMethod": "pending-reboot", "SupportedEngineModes": ["provisioned"]}</t>
        </r>
      </text>
    </comment>
    <comment ref="M118"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19" authorId="0">
      <text>
        <r>
          <rPr>
            <sz val="9"/>
            <color indexed="81"/>
            <rFont val="Meiryo UI"/>
            <family val="2"/>
          </rPr>
          <t>APIメタデータ: {"ParameterName": "innodb_aurora_max_partitions_for_range", "ParameterValue": "0", "Description": "Max number of partitions to check during range estimation.", "Source": "engine-default", "ApplyType": "dynamic", "DataType": "integer", "AllowedValues": "0-8192", "IsModifiable": true, "ApplyMethod": "pending-reboot", "SupportedEngineModes": ["provisioned"]}</t>
        </r>
      </text>
    </comment>
    <comment ref="M119"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20" authorId="0">
      <text>
        <r>
          <rPr>
            <sz val="9"/>
            <color indexed="81"/>
            <rFont val="Meiryo UI"/>
            <family val="2"/>
          </rPr>
          <t>APIメタデータ: {"ParameterName": "innodb_autoextend_increment", "Description": "The increment size (in MB) for extending the size of an auto-extending tablespace file when it becomes full", "Source": "engine-default", "ApplyType": "dynamic", "DataType": "integer", "AllowedValues": "1-1000", "IsModifiable": true, "ApplyMethod": "pending-reboot", "SupportedEngineModes": ["provisioned"]}</t>
        </r>
      </text>
    </comment>
    <comment ref="E120" authorId="0">
      <text>
        <r>
          <rPr>
            <sz val="9"/>
            <color indexed="81"/>
            <rFont val="Meiryo UI"/>
            <family val="2"/>
          </rPr>
          <t>https://dev.mysql.com/doc/refman/8.4/en/innodb-parameters.html#sysvar_innodb_autoextend_increment
Community参考値でありAurora実効値ではありません。</t>
        </r>
      </text>
    </comment>
    <comment ref="M120"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21" authorId="0">
      <text>
        <r>
          <rPr>
            <sz val="9"/>
            <color indexed="81"/>
            <rFont val="Meiryo UI"/>
            <family val="2"/>
          </rPr>
          <t>APIメタデータ: {"ParameterName": "innodb_autoinc_lock_mode", "Description": "The locking mode to use for generating auto-increment values", "Source": "engine-default", "ApplyType": "static", "DataType": "integer", "AllowedValues": "0-2", "IsModifiable": true, "ApplyMethod": "pending-reboot", "SupportedEngineModes": ["provisioned"]}</t>
        </r>
      </text>
    </comment>
    <comment ref="E121" authorId="0">
      <text>
        <r>
          <rPr>
            <sz val="9"/>
            <color indexed="81"/>
            <rFont val="Meiryo UI"/>
            <family val="2"/>
          </rPr>
          <t>https://dev.mysql.com/doc/refman/8.4/en/innodb-parameters.html#sysvar_innodb_autoinc_lock_mode
Community参考値でありAurora実効値ではありません。</t>
        </r>
      </text>
    </comment>
    <comment ref="M121"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22" authorId="0">
      <text>
        <r>
          <rPr>
            <sz val="9"/>
            <color indexed="81"/>
            <rFont val="Meiryo UI"/>
            <family val="2"/>
          </rPr>
          <t>APIメタデータ: {"ParameterName": "innodb_buffer_pool_dump_at_shutdown", "ParameterValue": "0", "Description": "Specifies whether to record the pages cached in the InnoDB buffer pool when the MySQL server is shut down.", "Source": "engine-default", "ApplyType": "dynamic", "DataType": "boolean", "AllowedValues": "0,1", "IsModifiable": false, "ApplyMethod": "pending-reboot", "SupportedEngineModes": ["provisioned"]}</t>
        </r>
      </text>
    </comment>
    <comment ref="E122" authorId="0">
      <text>
        <r>
          <rPr>
            <sz val="9"/>
            <color indexed="81"/>
            <rFont val="Meiryo UI"/>
            <family val="2"/>
          </rPr>
          <t>https://dev.mysql.com/doc/refman/8.4/en/innodb-parameters.html#sysvar_innodb_buffer_pool_dump_at_shutdown
Community参考値でありAurora実効値ではありません。</t>
        </r>
      </text>
    </comment>
    <comment ref="M122"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23" authorId="0">
      <text>
        <r>
          <rPr>
            <sz val="9"/>
            <color indexed="81"/>
            <rFont val="Meiryo UI"/>
            <family val="2"/>
          </rPr>
          <t>APIメタデータ: {"ParameterName": "innodb_buffer_pool_dump_now", "Description": "Immediately records the pages cached in the InnoDB buffer pool.", "Source": "engine-default", "ApplyType": "dynamic", "DataType": "boolean", "AllowedValues": "0,1", "IsModifiable": false, "ApplyMethod": "pending-reboot", "SupportedEngineModes": ["provisioned"]}</t>
        </r>
      </text>
    </comment>
    <comment ref="E123" authorId="0">
      <text>
        <r>
          <rPr>
            <sz val="9"/>
            <color indexed="81"/>
            <rFont val="Meiryo UI"/>
            <family val="2"/>
          </rPr>
          <t>https://dev.mysql.com/doc/refman/8.4/en/innodb-parameters.html#sysvar_innodb_buffer_pool_dump_now
Community参考値でありAurora実効値ではありません。</t>
        </r>
      </text>
    </comment>
    <comment ref="M123"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24" authorId="0">
      <text>
        <r>
          <rPr>
            <sz val="9"/>
            <color indexed="81"/>
            <rFont val="Meiryo UI"/>
            <family val="2"/>
          </rPr>
          <t>APIメタデータ: {"ParameterName": "innodb_buffer_pool_filename", "Description": "Specifies the file that holds the list of page numbers produced by innodb_buffer_pool_dump_at_shutdown or innodb_buffer_pool_dump_now.", "Source": "engine-default", "ApplyType": "dynamic", "DataType": "string", "IsModifiable": false, "ApplyMethod": "pending-reboot", "SupportedEngineModes": ["provisioned"]}</t>
        </r>
      </text>
    </comment>
    <comment ref="E124" authorId="0">
      <text>
        <r>
          <rPr>
            <sz val="9"/>
            <color indexed="81"/>
            <rFont val="Meiryo UI"/>
            <family val="2"/>
          </rPr>
          <t>https://dev.mysql.com/doc/refman/8.4/en/innodb-parameters.html#sysvar_innodb_buffer_pool_filename
Community参考値でありAurora実効値ではありません。</t>
        </r>
      </text>
    </comment>
    <comment ref="M124"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25" authorId="0">
      <text>
        <r>
          <rPr>
            <sz val="9"/>
            <color indexed="81"/>
            <rFont val="Meiryo UI"/>
            <family val="2"/>
          </rPr>
          <t>APIメタデータ: {"ParameterName": "innodb_buffer_pool_load_abort", "Description": "Interrupts the process of restoring InnoDB buffer pool contents triggered by innodb_buffer_pool_load_at_startup or innodb_buffer_pool_load_now.", "Source": "engine-default", "ApplyType": "dynamic", "DataType": "boolean", "AllowedValues": "0,1", "IsModifiable": false, "ApplyMethod": "pending-reboot", "SupportedEngineModes": ["provisioned"]}</t>
        </r>
      </text>
    </comment>
    <comment ref="E125" authorId="0">
      <text>
        <r>
          <rPr>
            <sz val="9"/>
            <color indexed="81"/>
            <rFont val="Meiryo UI"/>
            <family val="2"/>
          </rPr>
          <t>https://dev.mysql.com/doc/refman/8.4/en/innodb-parameters.html#sysvar_innodb_buffer_pool_load_abort
Community参考値でありAurora実効値ではありません。</t>
        </r>
      </text>
    </comment>
    <comment ref="M125"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26" authorId="0">
      <text>
        <r>
          <rPr>
            <sz val="9"/>
            <color indexed="81"/>
            <rFont val="Meiryo UI"/>
            <family val="2"/>
          </rPr>
          <t>APIメタデータ: {"ParameterName": "innodb_buffer_pool_load_at_startup", "ParameterValue": "0", "Description": "Specifies that, on MySQL server startup, the InnoDB buffer pool is automatically warmed up by loading the same pages it held at an earlier time.", "Source": "engine-default", "ApplyType": "static", "DataType": "boolean", "AllowedValues": "0,1", "IsModifiable": false, "ApplyMethod": "pending-reboot", "SupportedEngineModes": ["provisioned"]}</t>
        </r>
      </text>
    </comment>
    <comment ref="E126" authorId="0">
      <text>
        <r>
          <rPr>
            <sz val="9"/>
            <color indexed="81"/>
            <rFont val="Meiryo UI"/>
            <family val="2"/>
          </rPr>
          <t>https://dev.mysql.com/doc/refman/8.4/en/innodb-parameters.html#sysvar_innodb_buffer_pool_load_at_startup
Community参考値でありAurora実効値ではありません。</t>
        </r>
      </text>
    </comment>
    <comment ref="M126"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27" authorId="0">
      <text>
        <r>
          <rPr>
            <sz val="9"/>
            <color indexed="81"/>
            <rFont val="Meiryo UI"/>
            <family val="2"/>
          </rPr>
          <t>APIメタデータ: {"ParameterName": "innodb_buffer_pool_load_now", "Description": "Immediately warms up the InnoDB buffer pool by loading a set of data pages, without waiting for a server restart. ", "Source": "engine-default", "ApplyType": "dynamic", "DataType": "boolean", "AllowedValues": "0,1", "IsModifiable": false, "ApplyMethod": "pending-reboot", "SupportedEngineModes": ["provisioned"]}</t>
        </r>
      </text>
    </comment>
    <comment ref="E127" authorId="0">
      <text>
        <r>
          <rPr>
            <sz val="9"/>
            <color indexed="81"/>
            <rFont val="Meiryo UI"/>
            <family val="2"/>
          </rPr>
          <t>https://dev.mysql.com/doc/refman/8.4/en/innodb-parameters.html#sysvar_innodb_buffer_pool_load_now
Community参考値でありAurora実効値ではありません。</t>
        </r>
      </text>
    </comment>
    <comment ref="M127"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28" authorId="0">
      <text>
        <r>
          <rPr>
            <sz val="9"/>
            <color indexed="81"/>
            <rFont val="Meiryo UI"/>
            <family val="2"/>
          </rPr>
          <t>APIメタデータ: {"ParameterName": "innodb_buffer_pool_size", "ParameterValue": "{DBInstanceClassMemory*3/4}", "Description": "The size in bytes of the memory buffer innodb uses to cache data and indexes of its tables", "Source": "system", "ApplyType": "static", "DataType": "integer", "AllowedValues": "335544320-9223372036854775807", "IsModifiable": true, "ApplyMethod": "pending-reboot", "SupportedEngineModes": ["provisioned"]}</t>
        </r>
      </text>
    </comment>
    <comment ref="E128" authorId="0">
      <text>
        <r>
          <rPr>
            <sz val="9"/>
            <color indexed="81"/>
            <rFont val="Meiryo UI"/>
            <family val="2"/>
          </rPr>
          <t>https://dev.mysql.com/doc/refman/8.4/en/innodb-parameters.html#sysvar_innodb_buffer_pool_size
Community参考値でありAurora実効値ではありません。</t>
        </r>
      </text>
    </comment>
    <comment ref="M128" authorId="0">
      <text>
        <r>
          <rPr>
            <sz val="9"/>
            <color indexed="81"/>
            <rFont val="Meiryo UI"/>
            <family val="2"/>
          </rPr>
          <t>https://docs.aws.amazon.com/AmazonRDS/latest/APIReference/API_DescribeDBClusterParameters.html
https://docs.aws.amazon.com/AmazonRDS/latest/AuroraUserGuide/aurora-serverless-v2.setting-capacity.html</t>
        </r>
      </text>
    </comment>
    <comment ref="B129" authorId="0">
      <text>
        <r>
          <rPr>
            <sz val="9"/>
            <color indexed="81"/>
            <rFont val="Meiryo UI"/>
            <family val="2"/>
          </rPr>
          <t>APIメタデータ: {"ParameterName": "innodb_change_buffer_max_size", "Description": "Maximum size for the InnoDB change buffer, as a percentage of the total size of the buffer pool.", "Source": "engine-default", "ApplyType": "dynamic", "DataType": "integer", "AllowedValues": "0-50", "IsModifiable": false, "ApplyMethod": "pending-reboot", "SupportedEngineModes": ["provisioned"]}</t>
        </r>
      </text>
    </comment>
    <comment ref="E129" authorId="0">
      <text>
        <r>
          <rPr>
            <sz val="9"/>
            <color indexed="81"/>
            <rFont val="Meiryo UI"/>
            <family val="2"/>
          </rPr>
          <t>https://dev.mysql.com/doc/refman/8.4/en/innodb-parameters.html#sysvar_innodb_change_buffer_max_size
Community参考値でありAurora実効値ではありません。</t>
        </r>
      </text>
    </comment>
    <comment ref="M129"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30" authorId="0">
      <text>
        <r>
          <rPr>
            <sz val="9"/>
            <color indexed="81"/>
            <rFont val="Meiryo UI"/>
            <family val="2"/>
          </rPr>
          <t>APIメタデータ: {"ParameterName": "innodb_checksum_algorithm", "ParameterValue": "none", "Description": "Specifies how to generate and verify the checksum stored in each disk block of each InnoDB tablespace.", "Source": "system", "ApplyType": "dynamic", "DataType": "string", "AllowedValues": "crc32,innodb,none,strict_crc32,strict_innodb,strict_none", "IsModifiable": false, "ApplyMethod": "pending-reboot", "SupportedEngineModes": ["provisioned"]}</t>
        </r>
      </text>
    </comment>
    <comment ref="E130" authorId="0">
      <text>
        <r>
          <rPr>
            <sz val="9"/>
            <color indexed="81"/>
            <rFont val="Meiryo UI"/>
            <family val="2"/>
          </rPr>
          <t>https://dev.mysql.com/doc/refman/8.4/en/innodb-parameters.html#sysvar_innodb_checksum_algorithm
Community参考値でありAurora実効値ではありません。</t>
        </r>
      </text>
    </comment>
    <comment ref="M130"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31" authorId="0">
      <text>
        <r>
          <rPr>
            <sz val="9"/>
            <color indexed="81"/>
            <rFont val="Meiryo UI"/>
            <family val="2"/>
          </rPr>
          <t>APIメタデータ: {"ParameterName": "innodb_commit_concurrency", "Description": "The number of threads that can commit at the same time.", "Source": "engine-default", "ApplyType": "static", "DataType": "integer", "AllowedValues": "0-1000", "IsModifiable": true, "ApplyMethod": "pending-reboot", "SupportedEngineModes": ["provisioned"]}</t>
        </r>
      </text>
    </comment>
    <comment ref="E131" authorId="0">
      <text>
        <r>
          <rPr>
            <sz val="9"/>
            <color indexed="81"/>
            <rFont val="Meiryo UI"/>
            <family val="2"/>
          </rPr>
          <t>https://dev.mysql.com/doc/refman/8.4/en/innodb-parameters.html#sysvar_innodb_commit_concurrency
Community参考値でありAurora実効値ではありません。</t>
        </r>
      </text>
    </comment>
    <comment ref="M131"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32" authorId="0">
      <text>
        <r>
          <rPr>
            <sz val="9"/>
            <color indexed="81"/>
            <rFont val="Meiryo UI"/>
            <family val="2"/>
          </rPr>
          <t>APIメタデータ: {"ParameterName": "innodb_concurrency_tickets", "Description": "Number of times a thread can enter and leave Innodb before it is subject to innodb-thread-concurrency", "Source": "engine-default", "ApplyType": "dynamic", "DataType": "integer", "AllowedValues": "1-4294967295", "IsModifiable": true, "ApplyMethod": "pending-reboot", "SupportedEngineModes": ["provisioned"]}</t>
        </r>
      </text>
    </comment>
    <comment ref="E132" authorId="0">
      <text>
        <r>
          <rPr>
            <sz val="9"/>
            <color indexed="81"/>
            <rFont val="Meiryo UI"/>
            <family val="2"/>
          </rPr>
          <t>https://dev.mysql.com/doc/refman/8.4/en/innodb-parameters.html#sysvar_innodb_concurrency_tickets
Community参考値でありAurora実効値ではありません。</t>
        </r>
      </text>
    </comment>
    <comment ref="M132"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33" authorId="0">
      <text>
        <r>
          <rPr>
            <sz val="9"/>
            <color indexed="81"/>
            <rFont val="Meiryo UI"/>
            <family val="2"/>
          </rPr>
          <t>APIメタデータ: {"ParameterName": "innodb_data_home_dir", "Description": "Directory where innodb files are stored", "Source": "system", "ApplyType": "static", "DataType": "string", "IsModifiable": false, "ApplyMethod": "pending-reboot", "SupportedEngineModes": ["provisioned"]}</t>
        </r>
      </text>
    </comment>
    <comment ref="M133"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34" authorId="0">
      <text>
        <r>
          <rPr>
            <sz val="9"/>
            <color indexed="81"/>
            <rFont val="Meiryo UI"/>
            <family val="2"/>
          </rPr>
          <t>APIメタデータ: {"ParameterName": "innodb_deadlock_detect", "ParameterValue": "ON", "Description": "Enable/disable InnoDB deadlock detector (default ON).", "Source": "engine-default", "ApplyType": "dynamic", "DataType": "string", "AllowedValues": "ON,OFF", "IsModifiable": true, "ApplyMethod": "pending-reboot", "SupportedEngineModes": ["provisioned"]}</t>
        </r>
      </text>
    </comment>
    <comment ref="E134" authorId="0">
      <text>
        <r>
          <rPr>
            <sz val="9"/>
            <color indexed="81"/>
            <rFont val="Meiryo UI"/>
            <family val="2"/>
          </rPr>
          <t>https://dev.mysql.com/doc/refman/8.4/en/innodb-parameters.html#sysvar_innodb_deadlock_detect
Community参考値でありAurora実効値ではありません。</t>
        </r>
      </text>
    </comment>
    <comment ref="M134" authorId="0">
      <text>
        <r>
          <rPr>
            <sz val="9"/>
            <color indexed="81"/>
            <rFont val="Meiryo UI"/>
            <family val="2"/>
          </rPr>
          <t>https://docs.aws.amazon.com/AmazonRDS/latest/APIReference/API_DescribeDBClusterParameters.html
https://dev.mysql.com/doc/refman/8.4/en/innodb-parameters.html</t>
        </r>
      </text>
    </comment>
    <comment ref="B135" authorId="0">
      <text>
        <r>
          <rPr>
            <sz val="9"/>
            <color indexed="81"/>
            <rFont val="Meiryo UI"/>
            <family val="2"/>
          </rPr>
          <t>APIメタデータ: {"ParameterName": "innodb_default_row_format", "Description": "Defines the default row format for InnoDB tables (including user-created InnoDB temporary tables).", "Source": "engine-default", "ApplyType": "dynamic", "DataType": "string", "AllowedValues": "DYNAMIC,COMPACT,REDUNDANT", "IsModifiable": true, "ApplyMethod": "pending-reboot", "SupportedEngineModes": ["provisioned"]}</t>
        </r>
      </text>
    </comment>
    <comment ref="E135" authorId="0">
      <text>
        <r>
          <rPr>
            <sz val="9"/>
            <color indexed="81"/>
            <rFont val="Meiryo UI"/>
            <family val="2"/>
          </rPr>
          <t>https://dev.mysql.com/doc/refman/8.4/en/innodb-parameters.html#sysvar_innodb_default_row_format
Community参考値でありAurora実効値ではありません。</t>
        </r>
      </text>
    </comment>
    <comment ref="M135" authorId="0">
      <text>
        <r>
          <rPr>
            <sz val="9"/>
            <color indexed="81"/>
            <rFont val="Meiryo UI"/>
            <family val="2"/>
          </rPr>
          <t>https://docs.aws.amazon.com/AmazonRDS/latest/APIReference/API_DescribeDBClusterParameters.html
https://dev.mysql.com/doc/refman/8.4/en/innodb-parameters.html</t>
        </r>
      </text>
    </comment>
    <comment ref="B136" authorId="0">
      <text>
        <r>
          <rPr>
            <sz val="9"/>
            <color indexed="81"/>
            <rFont val="Meiryo UI"/>
            <family val="2"/>
          </rPr>
          <t>APIメタデータ: {"ParameterName": "innodb_doublewrite", "ParameterValue": "0", "Description": "InnoDB doublewrite must be disabled in Oscar", "Source": "system", "ApplyType": "static", "DataType": "boolean", "AllowedValues": "0", "IsModifiable": false, "ApplyMethod": "pending-reboot", "SupportedEngineModes": ["provisioned"]}</t>
        </r>
      </text>
    </comment>
    <comment ref="E136" authorId="0">
      <text>
        <r>
          <rPr>
            <sz val="9"/>
            <color indexed="81"/>
            <rFont val="Meiryo UI"/>
            <family val="2"/>
          </rPr>
          <t>https://dev.mysql.com/doc/refman/8.4/en/innodb-parameters.html#sysvar_innodb_doublewrite
Community参考値でありAurora実効値ではありません。</t>
        </r>
      </text>
    </comment>
    <comment ref="M136"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37" authorId="0">
      <text>
        <r>
          <rPr>
            <sz val="9"/>
            <color indexed="81"/>
            <rFont val="Meiryo UI"/>
            <family val="2"/>
          </rPr>
          <t>APIメタデータ: {"ParameterName": "innodb_file_per_table", "Description": "Use tablespaces or files for Innodb.", "Source": "engine-default", "ApplyType": "static", "DataType": "boolean", "AllowedValues": "0,1", "IsModifiable": true, "ApplyMethod": "pending-reboot", "SupportedEngineModes": ["provisioned"]}</t>
        </r>
      </text>
    </comment>
    <comment ref="E137" authorId="0">
      <text>
        <r>
          <rPr>
            <sz val="9"/>
            <color indexed="81"/>
            <rFont val="Meiryo UI"/>
            <family val="2"/>
          </rPr>
          <t>https://dev.mysql.com/doc/refman/8.4/en/innodb-parameters.html#sysvar_innodb_file_per_table
Community参考値でありAurora実効値ではありません。</t>
        </r>
      </text>
    </comment>
    <comment ref="M137" authorId="0">
      <text>
        <r>
          <rPr>
            <sz val="9"/>
            <color indexed="81"/>
            <rFont val="Meiryo UI"/>
            <family val="2"/>
          </rPr>
          <t>https://docs.aws.amazon.com/AmazonRDS/latest/APIReference/API_DescribeDBClusterParameters.html
https://docs.aws.amazon.com/AmazonRDS/latest/AuroraUserGuide/Aurora.Managing.Performance.html</t>
        </r>
      </text>
    </comment>
    <comment ref="B138" authorId="0">
      <text>
        <r>
          <rPr>
            <sz val="9"/>
            <color indexed="81"/>
            <rFont val="Meiryo UI"/>
            <family val="2"/>
          </rPr>
          <t>APIメタデータ: {"ParameterName": "innodb_fill_factor", "Description": "Defines the percentage of space on each B-tree page that is filled during a sorted index build, with the remaining space reserved for future index growth.", "Source": "engine-default", "ApplyType": "dynamic", "DataType": "integer", "AllowedValues": "10-100", "IsModifiable": true, "ApplyMethod": "pending-reboot", "SupportedEngineModes": ["provisioned"]}</t>
        </r>
      </text>
    </comment>
    <comment ref="E138" authorId="0">
      <text>
        <r>
          <rPr>
            <sz val="9"/>
            <color indexed="81"/>
            <rFont val="Meiryo UI"/>
            <family val="2"/>
          </rPr>
          <t>https://dev.mysql.com/doc/refman/8.4/en/innodb-parameters.html#sysvar_innodb_fill_factor
Community参考値でありAurora実効値ではありません。</t>
        </r>
      </text>
    </comment>
    <comment ref="M138"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39" authorId="0">
      <text>
        <r>
          <rPr>
            <sz val="9"/>
            <color indexed="81"/>
            <rFont val="Meiryo UI"/>
            <family val="2"/>
          </rPr>
          <t>APIメタデータ: {"ParameterName": "innodb_flushing_avg_loops", "Description": "Number of iterations for which InnoDB keeps the previously calculated snapshot of the flushing state, controlling how quickly adaptive flushing responds to changing workloads.", "Source": "engine-default", "ApplyType": "dynamic", "DataType": "integer", "AllowedValues": "1-1000", "IsModifiable": false, "ApplyMethod": "pending-reboot", "SupportedEngineModes": ["provisioned"]}</t>
        </r>
      </text>
    </comment>
    <comment ref="E139" authorId="0">
      <text>
        <r>
          <rPr>
            <sz val="9"/>
            <color indexed="81"/>
            <rFont val="Meiryo UI"/>
            <family val="2"/>
          </rPr>
          <t>https://dev.mysql.com/doc/refman/8.4/en/innodb-parameters.html#sysvar_innodb_flushing_avg_loops
Community参考値でありAurora実効値ではありません。</t>
        </r>
      </text>
    </comment>
    <comment ref="M139"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40" authorId="0">
      <text>
        <r>
          <rPr>
            <sz val="9"/>
            <color indexed="81"/>
            <rFont val="Meiryo UI"/>
            <family val="2"/>
          </rPr>
          <t>APIメタデータ: {"ParameterName": "innodb_flush_log_at_timeout", "Description": "Write and flush the logs every N seconds. This setting has an effect only when innodb_flush_log_at_trx_commit has a value of 2.", "Source": "engine-default", "ApplyType": "dynamic", "DataType": "integer", "AllowedValues": "0-2700", "IsModifiable": false, "ApplyMethod": "pending-reboot", "SupportedEngineModes": ["provisioned"]}</t>
        </r>
      </text>
    </comment>
    <comment ref="E140" authorId="0">
      <text>
        <r>
          <rPr>
            <sz val="9"/>
            <color indexed="81"/>
            <rFont val="Meiryo UI"/>
            <family val="2"/>
          </rPr>
          <t>https://dev.mysql.com/doc/refman/8.4/en/innodb-parameters.html#sysvar_innodb_flush_log_at_timeout
Community参考値でありAurora実効値ではありません。</t>
        </r>
      </text>
    </comment>
    <comment ref="M140" authorId="0">
      <text>
        <r>
          <rPr>
            <sz val="9"/>
            <color indexed="81"/>
            <rFont val="Meiryo UI"/>
            <family val="2"/>
          </rPr>
          <t>https://docs.aws.amazon.com/AmazonRDS/latest/APIReference/API_DescribeDBClusterParameters.html
https://dev.mysql.com/doc/refman/8.4/en/server-system-variables.html
https://dev.mysql.com/doc/refman/8.4/en/innodb-parameters.html</t>
        </r>
      </text>
    </comment>
    <comment ref="B141" authorId="0">
      <text>
        <r>
          <rPr>
            <sz val="9"/>
            <color indexed="81"/>
            <rFont val="Meiryo UI"/>
            <family val="2"/>
          </rPr>
          <t>APIメタデータ: {"ParameterName": "innodb_flush_log_at_trx_commit", "Description": "Determines Innodb transaction durability", "Source": "engine-default", "ApplyType": "dynamic", "DataType": "integer", "AllowedValues": "0-2", "IsModifiable": true, "ApplyMethod": "pending-reboot", "SupportedEngineModes": ["provisioned"]}</t>
        </r>
      </text>
    </comment>
    <comment ref="E141" authorId="0">
      <text>
        <r>
          <rPr>
            <sz val="9"/>
            <color indexed="81"/>
            <rFont val="Meiryo UI"/>
            <family val="2"/>
          </rPr>
          <t>https://dev.mysql.com/doc/refman/8.4/en/innodb-parameters.html#sysvar_innodb_flush_log_at_trx_commit
Community参考値でありAurora実効値ではありません。</t>
        </r>
      </text>
    </comment>
    <comment ref="M141"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142" authorId="0">
      <text>
        <r>
          <rPr>
            <sz val="9"/>
            <color indexed="81"/>
            <rFont val="Meiryo UI"/>
            <family val="2"/>
          </rPr>
          <t>APIメタデータ: {"ParameterName": "innodb_flush_method", "ParameterValue": "O_DIRECT", "Description": "Determines Innodb flush method", "Source": "system", "ApplyType": "static", "DataType": "string", "AllowedValues": "O_DIRECT", "IsModifiable": false, "ApplyMethod": "pending-reboot", "SupportedEngineModes": ["provisioned"]}</t>
        </r>
      </text>
    </comment>
    <comment ref="E142" authorId="0">
      <text>
        <r>
          <rPr>
            <sz val="9"/>
            <color indexed="81"/>
            <rFont val="Meiryo UI"/>
            <family val="2"/>
          </rPr>
          <t>https://dev.mysql.com/doc/refman/8.4/en/innodb-parameters.html#sysvar_innodb_flush_method
Community参考値でありAurora実効値ではありません。</t>
        </r>
      </text>
    </comment>
    <comment ref="M142"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43" authorId="0">
      <text>
        <r>
          <rPr>
            <sz val="9"/>
            <color indexed="81"/>
            <rFont val="Meiryo UI"/>
            <family val="2"/>
          </rPr>
          <t>APIメタデータ: {"ParameterName": "innodb_flush_neighbors", "Description": "Specifies whether flushing a page from the InnoDB buffer pool also flushes other dirty pages in the same extent.", "Source": "engine-default", "ApplyType": "dynamic", "DataType": "integer", "AllowedValues": "0-2", "IsModifiable": false, "ApplyMethod": "pending-reboot", "SupportedEngineModes": ["provisioned"]}</t>
        </r>
      </text>
    </comment>
    <comment ref="E143" authorId="0">
      <text>
        <r>
          <rPr>
            <sz val="9"/>
            <color indexed="81"/>
            <rFont val="Meiryo UI"/>
            <family val="2"/>
          </rPr>
          <t>https://dev.mysql.com/doc/refman/8.4/en/innodb-parameters.html#sysvar_innodb_flush_neighbors
Community参考値でありAurora実効値ではありません。</t>
        </r>
      </text>
    </comment>
    <comment ref="M143"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44" authorId="0">
      <text>
        <r>
          <rPr>
            <sz val="9"/>
            <color indexed="81"/>
            <rFont val="Meiryo UI"/>
            <family val="2"/>
          </rPr>
          <t>APIメタデータ: {"ParameterName": "innodb_force_load_corrupted", "Description": "Lets InnoDB load tables at startup that are marked as corrupted", "Source": "engine-default", "ApplyType": "static", "DataType": "boolean", "AllowedValues": "0,1", "IsModifiable": false, "ApplyMethod": "pending-reboot", "SupportedEngineModes": ["provisioned"]}</t>
        </r>
      </text>
    </comment>
    <comment ref="E144" authorId="0">
      <text>
        <r>
          <rPr>
            <sz val="9"/>
            <color indexed="81"/>
            <rFont val="Meiryo UI"/>
            <family val="2"/>
          </rPr>
          <t>https://dev.mysql.com/doc/refman/8.4/en/innodb-parameters.html#sysvar_innodb_force_load_corrupted
Community参考値でありAurora実効値ではありません。</t>
        </r>
      </text>
    </comment>
    <comment ref="M144"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45" authorId="0">
      <text>
        <r>
          <rPr>
            <sz val="9"/>
            <color indexed="81"/>
            <rFont val="Meiryo UI"/>
            <family val="2"/>
          </rPr>
          <t>APIメタデータ: {"ParameterName": "innodb_ft_aux_table", "Description": "Specifies the qualified name of an InnoDB table containing a FULLTEXT index.", "Source": "engine-default", "ApplyType": "dynamic", "DataType": "string", "IsModifiable": true, "ApplyMethod": "pending-reboot", "SupportedEngineModes": ["provisioned"]}</t>
        </r>
      </text>
    </comment>
    <comment ref="M145" authorId="0">
      <text>
        <r>
          <rPr>
            <sz val="9"/>
            <color indexed="81"/>
            <rFont val="Meiryo UI"/>
            <family val="2"/>
          </rPr>
          <t>https://docs.aws.amazon.com/AmazonRDS/latest/APIReference/API_DescribeDBClusterParameters.html
https://dev.mysql.com/doc/refman/8.4/en/innodb-parameters.html</t>
        </r>
      </text>
    </comment>
    <comment ref="B146" authorId="0">
      <text>
        <r>
          <rPr>
            <sz val="9"/>
            <color indexed="81"/>
            <rFont val="Meiryo UI"/>
            <family val="2"/>
          </rPr>
          <t>APIメタデータ: {"ParameterName": "innodb_ft_cache_size", "Description": "Size of the cache that holds a parsed document in memory while creating an InnoDB FULLTEXT index.", "Source": "engine-default", "ApplyType": "static", "DataType": "integer", "AllowedValues": "0-4294967295", "IsModifiable": true, "ApplyMethod": "pending-reboot", "SupportedEngineModes": ["provisioned"]}</t>
        </r>
      </text>
    </comment>
    <comment ref="E146" authorId="0">
      <text>
        <r>
          <rPr>
            <sz val="9"/>
            <color indexed="81"/>
            <rFont val="Meiryo UI"/>
            <family val="2"/>
          </rPr>
          <t>https://dev.mysql.com/doc/refman/8.4/en/innodb-parameters.html#sysvar_innodb_ft_cache_size
Community参考値でありAurora実効値ではありません。</t>
        </r>
      </text>
    </comment>
    <comment ref="M146" authorId="0">
      <text>
        <r>
          <rPr>
            <sz val="9"/>
            <color indexed="81"/>
            <rFont val="Meiryo UI"/>
            <family val="2"/>
          </rPr>
          <t>https://docs.aws.amazon.com/AmazonRDS/latest/APIReference/API_DescribeDBClusterParameters.html
https://dev.mysql.com/doc/refman/8.4/en/innodb-parameters.html</t>
        </r>
      </text>
    </comment>
    <comment ref="B147" authorId="0">
      <text>
        <r>
          <rPr>
            <sz val="9"/>
            <color indexed="81"/>
            <rFont val="Meiryo UI"/>
            <family val="2"/>
          </rPr>
          <t>APIメタデータ: {"ParameterName": "innodb_ft_enable_stopword", "Description": "Specifies that a set of stopwords is associated with an InnoDB FULLTEXT index at the time the index is created.", "Source": "engine-default", "ApplyType": "dynamic", "DataType": "boolean", "AllowedValues": "0,1", "IsModifiable": true, "ApplyMethod": "pending-reboot", "SupportedEngineModes": ["provisioned"]}</t>
        </r>
      </text>
    </comment>
    <comment ref="E147" authorId="0">
      <text>
        <r>
          <rPr>
            <sz val="9"/>
            <color indexed="81"/>
            <rFont val="Meiryo UI"/>
            <family val="2"/>
          </rPr>
          <t>https://dev.mysql.com/doc/refman/8.4/en/innodb-parameters.html#sysvar_innodb_ft_enable_stopword
Community参考値でありAurora実効値ではありません。</t>
        </r>
      </text>
    </comment>
    <comment ref="M147" authorId="0">
      <text>
        <r>
          <rPr>
            <sz val="9"/>
            <color indexed="81"/>
            <rFont val="Meiryo UI"/>
            <family val="2"/>
          </rPr>
          <t>https://docs.aws.amazon.com/AmazonRDS/latest/APIReference/API_DescribeDBClusterParameters.html
https://dev.mysql.com/doc/refman/8.4/en/innodb-parameters.html</t>
        </r>
      </text>
    </comment>
    <comment ref="B148" authorId="0">
      <text>
        <r>
          <rPr>
            <sz val="9"/>
            <color indexed="81"/>
            <rFont val="Meiryo UI"/>
            <family val="2"/>
          </rPr>
          <t>APIメタデータ: {"ParameterName": "innodb_ft_max_token_size", "Description": "Maximum length of words that are stored in an InnoDB FULLTEXT index.", "Source": "engine-default", "ApplyType": "static", "DataType": "integer", "AllowedValues": "10-252", "IsModifiable": true, "ApplyMethod": "pending-reboot", "SupportedEngineModes": ["provisioned"]}</t>
        </r>
      </text>
    </comment>
    <comment ref="E148" authorId="0">
      <text>
        <r>
          <rPr>
            <sz val="9"/>
            <color indexed="81"/>
            <rFont val="Meiryo UI"/>
            <family val="2"/>
          </rPr>
          <t>https://dev.mysql.com/doc/refman/8.4/en/innodb-parameters.html#sysvar_innodb_ft_max_token_size
Community参考値でありAurora実効値ではありません。</t>
        </r>
      </text>
    </comment>
    <comment ref="M148" authorId="0">
      <text>
        <r>
          <rPr>
            <sz val="9"/>
            <color indexed="81"/>
            <rFont val="Meiryo UI"/>
            <family val="2"/>
          </rPr>
          <t>https://docs.aws.amazon.com/AmazonRDS/latest/APIReference/API_DescribeDBClusterParameters.html
https://dev.mysql.com/doc/refman/8.4/en/innodb-parameters.html</t>
        </r>
      </text>
    </comment>
    <comment ref="B149" authorId="0">
      <text>
        <r>
          <rPr>
            <sz val="9"/>
            <color indexed="81"/>
            <rFont val="Meiryo UI"/>
            <family val="2"/>
          </rPr>
          <t>APIメタデータ: {"ParameterName": "innodb_ft_min_token_size", "Description": "Minimum length of words that are stored in an InnoDB FULLTEXT index.", "Source": "engine-default", "ApplyType": "static", "DataType": "integer", "AllowedValues": "0-16", "IsModifiable": true, "ApplyMethod": "pending-reboot", "SupportedEngineModes": ["provisioned"]}</t>
        </r>
      </text>
    </comment>
    <comment ref="E149" authorId="0">
      <text>
        <r>
          <rPr>
            <sz val="9"/>
            <color indexed="81"/>
            <rFont val="Meiryo UI"/>
            <family val="2"/>
          </rPr>
          <t>https://dev.mysql.com/doc/refman/8.4/en/innodb-parameters.html#sysvar_innodb_ft_min_token_size
Community参考値でありAurora実効値ではありません。</t>
        </r>
      </text>
    </comment>
    <comment ref="M149" authorId="0">
      <text>
        <r>
          <rPr>
            <sz val="9"/>
            <color indexed="81"/>
            <rFont val="Meiryo UI"/>
            <family val="2"/>
          </rPr>
          <t>https://docs.aws.amazon.com/AmazonRDS/latest/APIReference/API_DescribeDBClusterParameters.html
https://dev.mysql.com/doc/refman/8.4/en/innodb-parameters.html</t>
        </r>
      </text>
    </comment>
    <comment ref="B150" authorId="0">
      <text>
        <r>
          <rPr>
            <sz val="9"/>
            <color indexed="81"/>
            <rFont val="Meiryo UI"/>
            <family val="2"/>
          </rPr>
          <t>APIメタデータ: {"ParameterName": "innodb_ft_num_word_optimize", "Description": "Number of words to process during each OPTIMIZE TABLE operation on an InnoDB FULLTEXT index.", "Source": "engine-default", "ApplyType": "dynamic", "DataType": "integer", "AllowedValues": "1-4294967295", "IsModifiable": true, "ApplyMethod": "pending-reboot", "SupportedEngineModes": ["provisioned"]}</t>
        </r>
      </text>
    </comment>
    <comment ref="E150" authorId="0">
      <text>
        <r>
          <rPr>
            <sz val="9"/>
            <color indexed="81"/>
            <rFont val="Meiryo UI"/>
            <family val="2"/>
          </rPr>
          <t>https://dev.mysql.com/doc/refman/8.4/en/innodb-parameters.html#sysvar_innodb_ft_num_word_optimize
Community参考値でありAurora実効値ではありません。</t>
        </r>
      </text>
    </comment>
    <comment ref="M150" authorId="0">
      <text>
        <r>
          <rPr>
            <sz val="9"/>
            <color indexed="81"/>
            <rFont val="Meiryo UI"/>
            <family val="2"/>
          </rPr>
          <t>https://docs.aws.amazon.com/AmazonRDS/latest/APIReference/API_DescribeDBClusterParameters.html
https://dev.mysql.com/doc/refman/8.4/en/innodb-parameters.html</t>
        </r>
      </text>
    </comment>
    <comment ref="B151" authorId="0">
      <text>
        <r>
          <rPr>
            <sz val="9"/>
            <color indexed="81"/>
            <rFont val="Meiryo UI"/>
            <family val="2"/>
          </rPr>
          <t>APIメタデータ: {"ParameterName": "innodb_ft_server_stopword_table", "Description": "Name of the table containing a list of words to ignore when creating an InnoDB FULLTEXT index, in the format db_name/table_name.", "Source": "engine-default", "ApplyType": "dynamic", "DataType": "string", "IsModifiable": true, "ApplyMethod": "pending-reboot", "SupportedEngineModes": ["provisioned"]}</t>
        </r>
      </text>
    </comment>
    <comment ref="E151" authorId="0">
      <text>
        <r>
          <rPr>
            <sz val="9"/>
            <color indexed="81"/>
            <rFont val="Meiryo UI"/>
            <family val="2"/>
          </rPr>
          <t>https://dev.mysql.com/doc/refman/8.4/en/innodb-parameters.html#sysvar_innodb_ft_server_stopword_table
Community参考値でありAurora実効値ではありません。</t>
        </r>
      </text>
    </comment>
    <comment ref="M151" authorId="0">
      <text>
        <r>
          <rPr>
            <sz val="9"/>
            <color indexed="81"/>
            <rFont val="Meiryo UI"/>
            <family val="2"/>
          </rPr>
          <t>https://docs.aws.amazon.com/AmazonRDS/latest/APIReference/API_DescribeDBClusterParameters.html
https://dev.mysql.com/doc/refman/8.4/en/innodb-parameters.html</t>
        </r>
      </text>
    </comment>
    <comment ref="B152" authorId="0">
      <text>
        <r>
          <rPr>
            <sz val="9"/>
            <color indexed="81"/>
            <rFont val="Meiryo UI"/>
            <family val="2"/>
          </rPr>
          <t>APIメタデータ: {"ParameterName": "innodb_ft_sort_pll_degree", "Description": "Number of threads used in parallel to index and tokenize text in an InnoDB FULLTEXT index, when building a search index for a large table.", "Source": "engine-default", "ApplyType": "static", "DataType": "integer", "AllowedValues": "1-32", "IsModifiable": true, "ApplyMethod": "pending-reboot", "SupportedEngineModes": ["provisioned"]}</t>
        </r>
      </text>
    </comment>
    <comment ref="E152" authorId="0">
      <text>
        <r>
          <rPr>
            <sz val="9"/>
            <color indexed="81"/>
            <rFont val="Meiryo UI"/>
            <family val="2"/>
          </rPr>
          <t>https://dev.mysql.com/doc/refman/8.4/en/innodb-parameters.html#sysvar_innodb_ft_sort_pll_degree
Community参考値でありAurora実効値ではありません。</t>
        </r>
      </text>
    </comment>
    <comment ref="M152" authorId="0">
      <text>
        <r>
          <rPr>
            <sz val="9"/>
            <color indexed="81"/>
            <rFont val="Meiryo UI"/>
            <family val="2"/>
          </rPr>
          <t>https://docs.aws.amazon.com/AmazonRDS/latest/APIReference/API_DescribeDBClusterParameters.html
https://dev.mysql.com/doc/refman/8.4/en/innodb-parameters.html</t>
        </r>
      </text>
    </comment>
    <comment ref="B153" authorId="0">
      <text>
        <r>
          <rPr>
            <sz val="9"/>
            <color indexed="81"/>
            <rFont val="Meiryo UI"/>
            <family val="2"/>
          </rPr>
          <t>APIメタデータ: {"ParameterName": "innodb_ft_user_stopword_table", "Description": "Name of the table containing a list of words to ignore when creating an InnoDB FULLTEXT index, in the format db_name/table_name.", "Source": "engine-default", "ApplyType": "dynamic", "DataType": "string", "IsModifiable": true, "ApplyMethod": "pending-reboot", "SupportedEngineModes": ["provisioned"]}</t>
        </r>
      </text>
    </comment>
    <comment ref="E153" authorId="0">
      <text>
        <r>
          <rPr>
            <sz val="9"/>
            <color indexed="81"/>
            <rFont val="Meiryo UI"/>
            <family val="2"/>
          </rPr>
          <t>https://dev.mysql.com/doc/refman/8.4/en/innodb-parameters.html#sysvar_innodb_ft_user_stopword_table
Community参考値でありAurora実効値ではありません。</t>
        </r>
      </text>
    </comment>
    <comment ref="M153" authorId="0">
      <text>
        <r>
          <rPr>
            <sz val="9"/>
            <color indexed="81"/>
            <rFont val="Meiryo UI"/>
            <family val="2"/>
          </rPr>
          <t>https://docs.aws.amazon.com/AmazonRDS/latest/APIReference/API_DescribeDBClusterParameters.html
https://dev.mysql.com/doc/refman/8.4/en/innodb-parameters.html</t>
        </r>
      </text>
    </comment>
    <comment ref="B154" authorId="0">
      <text>
        <r>
          <rPr>
            <sz val="9"/>
            <color indexed="81"/>
            <rFont val="Meiryo UI"/>
            <family val="2"/>
          </rPr>
          <t>APIメタデータ: {"ParameterName": "innodb_io_capacity", "Description": "The maximum number of I/O operations per second that InnoDB will perform.", "Source": "engine-default", "ApplyType": "dynamic", "DataType": "integer", "AllowedValues": "100-18446744073709551615", "IsModifiable": false, "ApplyMethod": "pending-reboot", "SupportedEngineModes": ["provisioned"]}</t>
        </r>
      </text>
    </comment>
    <comment ref="E154" authorId="0">
      <text>
        <r>
          <rPr>
            <sz val="9"/>
            <color indexed="81"/>
            <rFont val="Meiryo UI"/>
            <family val="2"/>
          </rPr>
          <t>https://dev.mysql.com/doc/refman/8.4/en/innodb-parameters.html#sysvar_innodb_io_capacity
Community参考値でありAurora実効値ではありません。</t>
        </r>
      </text>
    </comment>
    <comment ref="M154"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55" authorId="0">
      <text>
        <r>
          <rPr>
            <sz val="9"/>
            <color indexed="81"/>
            <rFont val="Meiryo UI"/>
            <family val="2"/>
          </rPr>
          <t>APIメタデータ: {"ParameterName": "innodb_io_capacity_max", "Description": "The limit up to which InnoDB is allowed to extend the innodb_io_capacity setting in case of emergency.", "Source": "engine-default", "ApplyType": "dynamic", "DataType": "integer", "AllowedValues": "2000-18446744073709547520", "IsModifiable": false, "ApplyMethod": "pending-reboot", "SupportedEngineModes": ["provisioned"]}</t>
        </r>
      </text>
    </comment>
    <comment ref="E155" authorId="0">
      <text>
        <r>
          <rPr>
            <sz val="9"/>
            <color indexed="81"/>
            <rFont val="Meiryo UI"/>
            <family val="2"/>
          </rPr>
          <t>https://dev.mysql.com/doc/refman/8.4/en/innodb-parameters.html#sysvar_innodb_io_capacity_max
Community参考値でありAurora実効値ではありません。</t>
        </r>
      </text>
    </comment>
    <comment ref="M155"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56" authorId="0">
      <text>
        <r>
          <rPr>
            <sz val="9"/>
            <color indexed="81"/>
            <rFont val="Meiryo UI"/>
            <family val="2"/>
          </rPr>
          <t>APIメタデータ: {"ParameterName": "innodb_lock_wait_timeout", "Description": "Timeout in seconds an innodb transaction may wait for a row lock before giving up", "Source": "engine-default", "ApplyType": "dynamic", "DataType": "integer", "AllowedValues": "1-1073741824", "IsModifiable": true, "ApplyMethod": "pending-reboot", "SupportedEngineModes": ["provisioned"]}</t>
        </r>
      </text>
    </comment>
    <comment ref="E156" authorId="0">
      <text>
        <r>
          <rPr>
            <sz val="9"/>
            <color indexed="81"/>
            <rFont val="Meiryo UI"/>
            <family val="2"/>
          </rPr>
          <t>https://dev.mysql.com/doc/refman/8.4/en/innodb-parameters.html#sysvar_innodb_lock_wait_timeout
Community参考値でありAurora実効値ではありません。</t>
        </r>
      </text>
    </comment>
    <comment ref="M156" authorId="0">
      <text>
        <r>
          <rPr>
            <sz val="9"/>
            <color indexed="81"/>
            <rFont val="Meiryo UI"/>
            <family val="2"/>
          </rPr>
          <t>https://docs.aws.amazon.com/AmazonRDS/latest/APIReference/API_DescribeDBClusterParameters.html
https://dev.mysql.com/doc/refman/8.4/en/innodb-parameters.html</t>
        </r>
      </text>
    </comment>
    <comment ref="B157" authorId="0">
      <text>
        <r>
          <rPr>
            <sz val="9"/>
            <color indexed="81"/>
            <rFont val="Meiryo UI"/>
            <family val="2"/>
          </rPr>
          <t>APIメタデータ: {"ParameterName": "innodb_log_compressed_pages", "Description": "Specifies whether images of re-compressed pages are stored in InnoDB redo logs. ", "Source": "engine-default", "ApplyType": "dynamic", "DataType": "boolean", "AllowedValues": "0,1", "IsModifiable": false, "ApplyMethod": "pending-reboot", "SupportedEngineModes": ["provisioned"]}</t>
        </r>
      </text>
    </comment>
    <comment ref="E157" authorId="0">
      <text>
        <r>
          <rPr>
            <sz val="9"/>
            <color indexed="81"/>
            <rFont val="Meiryo UI"/>
            <family val="2"/>
          </rPr>
          <t>https://dev.mysql.com/doc/refman/8.4/en/innodb-parameters.html#sysvar_innodb_log_compressed_pages
Community参考値でありAurora実効値ではありません。</t>
        </r>
      </text>
    </comment>
    <comment ref="M157"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58" authorId="0">
      <text>
        <r>
          <rPr>
            <sz val="9"/>
            <color indexed="81"/>
            <rFont val="Meiryo UI"/>
            <family val="2"/>
          </rPr>
          <t>APIメタデータ: {"ParameterName": "innodb_lru_scan_depth", "Description": "A parameter that influences the algorithms and heuristics for the flush operation for the InnoDB buffer pool.", "Source": "engine-default", "ApplyType": "dynamic", "DataType": "integer", "AllowedValues": "100-18446744073709551615", "IsModifiable": true, "ApplyMethod": "pending-reboot", "SupportedEngineModes": ["provisioned"]}</t>
        </r>
      </text>
    </comment>
    <comment ref="E158" authorId="0">
      <text>
        <r>
          <rPr>
            <sz val="9"/>
            <color indexed="81"/>
            <rFont val="Meiryo UI"/>
            <family val="2"/>
          </rPr>
          <t>https://dev.mysql.com/doc/refman/8.4/en/innodb-parameters.html#sysvar_innodb_lru_scan_depth
Community参考値でありAurora実効値ではありません。</t>
        </r>
      </text>
    </comment>
    <comment ref="M158"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59" authorId="0">
      <text>
        <r>
          <rPr>
            <sz val="9"/>
            <color indexed="81"/>
            <rFont val="Meiryo UI"/>
            <family val="2"/>
          </rPr>
          <t>APIメタデータ: {"ParameterName": "innodb_max_dirty_pages_pct", "Description": "Maximum percentage of dirty pages in the buffer pool", "Source": "engine-default", "ApplyType": "dynamic", "DataType": "integer", "AllowedValues": "0-99", "IsModifiable": true, "ApplyMethod": "pending-reboot", "SupportedEngineModes": ["provisioned"]}</t>
        </r>
      </text>
    </comment>
    <comment ref="E159" authorId="0">
      <text>
        <r>
          <rPr>
            <sz val="9"/>
            <color indexed="81"/>
            <rFont val="Meiryo UI"/>
            <family val="2"/>
          </rPr>
          <t>https://dev.mysql.com/doc/refman/8.4/en/innodb-parameters.html#sysvar_innodb_max_dirty_pages_pct
Community参考値でありAurora実効値ではありません。</t>
        </r>
      </text>
    </comment>
    <comment ref="M159"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0" authorId="0">
      <text>
        <r>
          <rPr>
            <sz val="9"/>
            <color indexed="81"/>
            <rFont val="Meiryo UI"/>
            <family val="2"/>
          </rPr>
          <t>APIメタデータ: {"ParameterName": "innodb_max_purge_lag", "Description": "Controls how to delay INSERT, UPDATE, and DELETE operations when purge operations are lagging", "Source": "engine-default", "ApplyType": "dynamic", "DataType": "integer", "AllowedValues": "0-4294967295", "IsModifiable": true, "ApplyMethod": "pending-reboot", "SupportedEngineModes": ["provisioned"]}</t>
        </r>
      </text>
    </comment>
    <comment ref="E160" authorId="0">
      <text>
        <r>
          <rPr>
            <sz val="9"/>
            <color indexed="81"/>
            <rFont val="Meiryo UI"/>
            <family val="2"/>
          </rPr>
          <t>https://dev.mysql.com/doc/refman/8.4/en/innodb-parameters.html#sysvar_innodb_max_purge_lag
Community参考値でありAurora実効値ではありません。</t>
        </r>
      </text>
    </comment>
    <comment ref="M160"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1" authorId="0">
      <text>
        <r>
          <rPr>
            <sz val="9"/>
            <color indexed="81"/>
            <rFont val="Meiryo UI"/>
            <family val="2"/>
          </rPr>
          <t>APIメタデータ: {"ParameterName": "innodb_max_purge_lag_delay", "Description": "Specifies the maximum delay in microseconds for the delay imposed by the innodb_max_purge_lag configuration option", "Source": "engine-default", "ApplyType": "dynamic", "DataType": "integer", "AllowedValues": "0-18446744073709551615", "IsModifiable": true, "ApplyMethod": "pending-reboot", "SupportedEngineModes": ["provisioned"]}</t>
        </r>
      </text>
    </comment>
    <comment ref="E161" authorId="0">
      <text>
        <r>
          <rPr>
            <sz val="9"/>
            <color indexed="81"/>
            <rFont val="Meiryo UI"/>
            <family val="2"/>
          </rPr>
          <t>https://dev.mysql.com/doc/refman/8.4/en/innodb-parameters.html#sysvar_innodb_max_purge_lag_delay
Community参考値でありAurora実効値ではありません。</t>
        </r>
      </text>
    </comment>
    <comment ref="M161"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2" authorId="0">
      <text>
        <r>
          <rPr>
            <sz val="9"/>
            <color indexed="81"/>
            <rFont val="Meiryo UI"/>
            <family val="2"/>
          </rPr>
          <t>APIメタデータ: {"ParameterName": "innodb_monitor_disable", "Description": "Turns off one or more counters in the information_schema.innodb_metrics table.", "Source": "engine-default", "ApplyType": "dynamic", "DataType": "string", "IsModifiable": true, "ApplyMethod": "pending-reboot", "SupportedEngineModes": ["provisioned"]}</t>
        </r>
      </text>
    </comment>
    <comment ref="M162"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3" authorId="0">
      <text>
        <r>
          <rPr>
            <sz val="9"/>
            <color indexed="81"/>
            <rFont val="Meiryo UI"/>
            <family val="2"/>
          </rPr>
          <t>APIメタデータ: {"ParameterName": "innodb_monitor_enable", "Description": "Turns on one or more counters in the information_schema.innodb_metrics table.", "Source": "engine-default", "ApplyType": "dynamic", "DataType": "string", "IsModifiable": true, "ApplyMethod": "pending-reboot", "SupportedEngineModes": ["provisioned"]}</t>
        </r>
      </text>
    </comment>
    <comment ref="M163"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4" authorId="0">
      <text>
        <r>
          <rPr>
            <sz val="9"/>
            <color indexed="81"/>
            <rFont val="Meiryo UI"/>
            <family val="2"/>
          </rPr>
          <t>APIメタデータ: {"ParameterName": "innodb_monitor_reset", "Description": "Resets to zero the count value for one or more counters in the information_schema.innodb_metrics table.", "Source": "engine-default", "ApplyType": "dynamic", "DataType": "string", "IsModifiable": true, "ApplyMethod": "pending-reboot", "SupportedEngineModes": ["provisioned"]}</t>
        </r>
      </text>
    </comment>
    <comment ref="E164" authorId="0">
      <text>
        <r>
          <rPr>
            <sz val="9"/>
            <color indexed="81"/>
            <rFont val="Meiryo UI"/>
            <family val="2"/>
          </rPr>
          <t>https://dev.mysql.com/doc/refman/8.4/en/innodb-parameters.html#sysvar_innodb_monitor_reset
Community参考値でありAurora実効値ではありません。</t>
        </r>
      </text>
    </comment>
    <comment ref="M164"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5" authorId="0">
      <text>
        <r>
          <rPr>
            <sz val="9"/>
            <color indexed="81"/>
            <rFont val="Meiryo UI"/>
            <family val="2"/>
          </rPr>
          <t>APIメタデータ: {"ParameterName": "innodb_monitor_reset_all", "Description": "Resets all values (minimum, maximum, and so on) for one or more counters in the information_schema.innodb_metrics table.", "Source": "engine-default", "ApplyType": "dynamic", "DataType": "string", "IsModifiable": true, "ApplyMethod": "pending-reboot", "SupportedEngineModes": ["provisioned"]}</t>
        </r>
      </text>
    </comment>
    <comment ref="E165" authorId="0">
      <text>
        <r>
          <rPr>
            <sz val="9"/>
            <color indexed="81"/>
            <rFont val="Meiryo UI"/>
            <family val="2"/>
          </rPr>
          <t>https://dev.mysql.com/doc/refman/8.4/en/innodb-parameters.html#sysvar_innodb_monitor_reset_all
Community参考値でありAurora実効値ではありません。</t>
        </r>
      </text>
    </comment>
    <comment ref="M165"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6" authorId="0">
      <text>
        <r>
          <rPr>
            <sz val="9"/>
            <color indexed="81"/>
            <rFont val="Meiryo UI"/>
            <family val="2"/>
          </rPr>
          <t>APIメタデータ: {"ParameterName": "innodb_old_blocks_pct", "Description": "Specifies the approximate percentage of the InnoDB buffer pool used for the old block sublist.", "Source": "engine-default", "ApplyType": "dynamic", "DataType": "integer", "AllowedValues": "5-95", "IsModifiable": true, "ApplyMethod": "pending-reboot", "SupportedEngineModes": ["provisioned"]}</t>
        </r>
      </text>
    </comment>
    <comment ref="E166" authorId="0">
      <text>
        <r>
          <rPr>
            <sz val="9"/>
            <color indexed="81"/>
            <rFont val="Meiryo UI"/>
            <family val="2"/>
          </rPr>
          <t>https://dev.mysql.com/doc/refman/8.4/en/innodb-parameters.html#sysvar_innodb_old_blocks_pct
Community参考値でありAurora実効値ではありません。</t>
        </r>
      </text>
    </comment>
    <comment ref="M166"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7" authorId="0">
      <text>
        <r>
          <rPr>
            <sz val="9"/>
            <color indexed="81"/>
            <rFont val="Meiryo UI"/>
            <family val="2"/>
          </rPr>
          <t>APIメタデータ: {"ParameterName": "innodb_old_blocks_time", "Description": "Specifies how long in milliseconds (ms) a block inserted into the old sublist must stay there after its first access before it can be moved to the new sublist.", "Source": "engine-default", "ApplyType": "dynamic", "DataType": "integer", "AllowedValues": "0-4294967295", "IsModifiable": true, "ApplyMethod": "pending-reboot", "SupportedEngineModes": ["provisioned"]}</t>
        </r>
      </text>
    </comment>
    <comment ref="E167" authorId="0">
      <text>
        <r>
          <rPr>
            <sz val="9"/>
            <color indexed="81"/>
            <rFont val="Meiryo UI"/>
            <family val="2"/>
          </rPr>
          <t>https://dev.mysql.com/doc/refman/8.4/en/innodb-parameters.html#sysvar_innodb_old_blocks_time
Community参考値でありAurora実効値ではありません。</t>
        </r>
      </text>
    </comment>
    <comment ref="M167"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8" authorId="0">
      <text>
        <r>
          <rPr>
            <sz val="9"/>
            <color indexed="81"/>
            <rFont val="Meiryo UI"/>
            <family val="2"/>
          </rPr>
          <t>APIメタデータ: {"ParameterName": "innodb_online_alter_log_max_size", "Description": "Specifies an upper limit on the size of the temporary log files used during online DDL operations for InnoDB tables.", "Source": "engine-default", "ApplyType": "dynamic", "DataType": "integer", "AllowedValues": "65536-18446744073709551615", "IsModifiable": true, "ApplyMethod": "pending-reboot", "SupportedEngineModes": ["provisioned"]}</t>
        </r>
      </text>
    </comment>
    <comment ref="E168" authorId="0">
      <text>
        <r>
          <rPr>
            <sz val="9"/>
            <color indexed="81"/>
            <rFont val="Meiryo UI"/>
            <family val="2"/>
          </rPr>
          <t>https://dev.mysql.com/doc/refman/8.4/en/innodb-parameters.html#sysvar_innodb_online_alter_log_max_size
Community参考値でありAurora実効値ではありません。</t>
        </r>
      </text>
    </comment>
    <comment ref="M168"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69" authorId="0">
      <text>
        <r>
          <rPr>
            <sz val="9"/>
            <color indexed="81"/>
            <rFont val="Meiryo UI"/>
            <family val="2"/>
          </rPr>
          <t>APIメタデータ: {"ParameterName": "innodb_open_files", "Description": "Relevant only if you use multiple tablespaces in innodb. It specifies the maximum number of .ibd files that innodb can keep open at one time", "Source": "engine-default", "ApplyType": "static", "DataType": "integer", "AllowedValues": "-1,10-4294967295", "IsModifiable": true, "ApplyMethod": "pending-reboot", "SupportedEngineModes": ["provisioned"]}</t>
        </r>
      </text>
    </comment>
    <comment ref="E169" authorId="0">
      <text>
        <r>
          <rPr>
            <sz val="9"/>
            <color indexed="81"/>
            <rFont val="Meiryo UI"/>
            <family val="2"/>
          </rPr>
          <t>https://dev.mysql.com/doc/refman/8.4/en/innodb-parameters.html#sysvar_innodb_open_files
Community参考値でありAurora実効値ではありません。</t>
        </r>
      </text>
    </comment>
    <comment ref="M169"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70" authorId="0">
      <text>
        <r>
          <rPr>
            <sz val="9"/>
            <color indexed="81"/>
            <rFont val="Meiryo UI"/>
            <family val="2"/>
          </rPr>
          <t>APIメタデータ: {"ParameterName": "innodb_optimize_fulltext_only", "Description": "Changes the way the OPTIMIZE TABLE statement operates on InnoDB tables.", "Source": "engine-default", "ApplyType": "dynamic", "DataType": "boolean", "AllowedValues": "0,1", "IsModifiable": true, "ApplyMethod": "pending-reboot", "SupportedEngineModes": ["provisioned"]}</t>
        </r>
      </text>
    </comment>
    <comment ref="E170" authorId="0">
      <text>
        <r>
          <rPr>
            <sz val="9"/>
            <color indexed="81"/>
            <rFont val="Meiryo UI"/>
            <family val="2"/>
          </rPr>
          <t>https://dev.mysql.com/doc/refman/8.4/en/innodb-parameters.html#sysvar_innodb_optimize_fulltext_only
Community参考値でありAurora実効値ではありません。</t>
        </r>
      </text>
    </comment>
    <comment ref="M170"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71" authorId="0">
      <text>
        <r>
          <rPr>
            <sz val="9"/>
            <color indexed="81"/>
            <rFont val="Meiryo UI"/>
            <family val="2"/>
          </rPr>
          <t>APIメタデータ: {"ParameterName": "innodb_page_cleaners", "Description": "The number of page cleaner threads that flush dirty pages from buffer pool instances.", "Source": "engine-default", "ApplyType": "static", "DataType": "integer", "AllowedValues": "1-64", "IsModifiable": true, "ApplyMethod": "pending-reboot", "SupportedEngineModes": ["provisioned"]}</t>
        </r>
      </text>
    </comment>
    <comment ref="E171" authorId="0">
      <text>
        <r>
          <rPr>
            <sz val="9"/>
            <color indexed="81"/>
            <rFont val="Meiryo UI"/>
            <family val="2"/>
          </rPr>
          <t>https://dev.mysql.com/doc/refman/8.4/en/innodb-parameters.html#sysvar_innodb_page_cleaners
Community参考値でありAurora実効値ではありません。</t>
        </r>
      </text>
    </comment>
    <comment ref="M171"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72" authorId="0">
      <text>
        <r>
          <rPr>
            <sz val="9"/>
            <color indexed="81"/>
            <rFont val="Meiryo UI"/>
            <family val="2"/>
          </rPr>
          <t>APIメタデータ: {"ParameterName": "innodb_page_size", "Description": "Specifies the page size for all InnoDB tablespaces in a MySQL instance.", "Source": "engine-default", "ApplyType": "static", "DataType": "string", "IsModifiable": false, "ApplyMethod": "pending-reboot", "SupportedEngineModes": ["provisioned"]}</t>
        </r>
      </text>
    </comment>
    <comment ref="E172" authorId="0">
      <text>
        <r>
          <rPr>
            <sz val="9"/>
            <color indexed="81"/>
            <rFont val="Meiryo UI"/>
            <family val="2"/>
          </rPr>
          <t>https://dev.mysql.com/doc/refman/8.4/en/innodb-parameters.html#sysvar_innodb_page_size
Community参考値でありAurora実効値ではありません。</t>
        </r>
      </text>
    </comment>
    <comment ref="M172"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73" authorId="0">
      <text>
        <r>
          <rPr>
            <sz val="9"/>
            <color indexed="81"/>
            <rFont val="Meiryo UI"/>
            <family val="2"/>
          </rPr>
          <t>APIメタデータ: {"ParameterName": "innodb_parallel_read_threads", "Description": "Defines the number of threads that can be used for parallel clustered index reads", "Source": "engine-default", "ApplyType": "dynamic", "DataType": "integer", "AllowedValues": "1-256", "IsModifiable": true, "ApplyMethod": "pending-reboot", "SupportedEngineModes": ["provisioned"]}</t>
        </r>
      </text>
    </comment>
    <comment ref="E173" authorId="0">
      <text>
        <r>
          <rPr>
            <sz val="9"/>
            <color indexed="81"/>
            <rFont val="Meiryo UI"/>
            <family val="2"/>
          </rPr>
          <t>https://dev.mysql.com/doc/refman/8.4/en/innodb-parameters.html#sysvar_innodb_parallel_read_threads
Community参考値でありAurora実効値ではありません。</t>
        </r>
      </text>
    </comment>
    <comment ref="M173"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74" authorId="0">
      <text>
        <r>
          <rPr>
            <sz val="9"/>
            <color indexed="81"/>
            <rFont val="Meiryo UI"/>
            <family val="2"/>
          </rPr>
          <t>APIメタデータ: {"ParameterName": "innodb_print_all_deadlocks", "Description": "Records information about all InnoDB deadlocks in Aurora error log.", "Source": "engine-default", "ApplyType": "dynamic", "DataType": "boolean", "AllowedValues": "0,1", "IsModifiable": true, "ApplyMethod": "pending-reboot", "SupportedEngineModes": ["provisioned"]}</t>
        </r>
      </text>
    </comment>
    <comment ref="E174" authorId="0">
      <text>
        <r>
          <rPr>
            <sz val="9"/>
            <color indexed="81"/>
            <rFont val="Meiryo UI"/>
            <family val="2"/>
          </rPr>
          <t>https://dev.mysql.com/doc/refman/8.4/en/innodb-parameters.html#sysvar_innodb_print_all_deadlocks
Community参考値でありAurora実効値ではありません。</t>
        </r>
      </text>
    </comment>
    <comment ref="M174"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175" authorId="0">
      <text>
        <r>
          <rPr>
            <sz val="9"/>
            <color indexed="81"/>
            <rFont val="Meiryo UI"/>
            <family val="2"/>
          </rPr>
          <t>APIメタデータ: {"ParameterName": "innodb_purge_batch_size", "Description": "The granularity of changes, expressed in units of redo log records, that trigger a purge operation, flushing the changed buffer pool blocks to disk", "Source": "engine-default", "ApplyType": "dynamic", "DataType": "integer", "AllowedValues": "1-5000", "IsModifiable": true, "ApplyMethod": "pending-reboot", "SupportedEngineModes": ["provisioned"]}</t>
        </r>
      </text>
    </comment>
    <comment ref="E175" authorId="0">
      <text>
        <r>
          <rPr>
            <sz val="9"/>
            <color indexed="81"/>
            <rFont val="Meiryo UI"/>
            <family val="2"/>
          </rPr>
          <t>https://dev.mysql.com/doc/refman/8.4/en/innodb-parameters.html#sysvar_innodb_purge_batch_size
Community参考値でありAurora実効値ではありません。</t>
        </r>
      </text>
    </comment>
    <comment ref="M175"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76" authorId="0">
      <text>
        <r>
          <rPr>
            <sz val="9"/>
            <color indexed="81"/>
            <rFont val="Meiryo UI"/>
            <family val="2"/>
          </rPr>
          <t>APIメタデータ: {"ParameterName": "innodb_purge_threads", "Description": "The number of background threads devoted to the InnoDB purge operation", "Source": "engine-default", "ApplyType": "static", "DataType": "integer", "AllowedValues": "1-32", "IsModifiable": true, "ApplyMethod": "pending-reboot", "SupportedEngineModes": ["provisioned"]}</t>
        </r>
      </text>
    </comment>
    <comment ref="E176" authorId="0">
      <text>
        <r>
          <rPr>
            <sz val="9"/>
            <color indexed="81"/>
            <rFont val="Meiryo UI"/>
            <family val="2"/>
          </rPr>
          <t>https://dev.mysql.com/doc/refman/8.4/en/innodb-parameters.html#sysvar_innodb_purge_threads
Community参考値でありAurora実効値ではありません。</t>
        </r>
      </text>
    </comment>
    <comment ref="M176" authorId="0">
      <text>
        <r>
          <rPr>
            <sz val="9"/>
            <color indexed="81"/>
            <rFont val="Meiryo UI"/>
            <family val="2"/>
          </rPr>
          <t>https://docs.aws.amazon.com/AmazonRDS/latest/APIReference/API_DescribeDBClusterParameters.html
https://docs.aws.amazon.com/AmazonRDS/latest/AuroraUserGuide/aurora-serverless-v2.setting-capacity.html</t>
        </r>
      </text>
    </comment>
    <comment ref="B177" authorId="0">
      <text>
        <r>
          <rPr>
            <sz val="9"/>
            <color indexed="81"/>
            <rFont val="Meiryo UI"/>
            <family val="2"/>
          </rPr>
          <t>APIメタデータ: {"ParameterName": "innodb_read_io_threads", "Description": "The number of I/O threads for read operations in InnoDB.", "Source": "engine-default", "ApplyType": "static", "DataType": "integer", "AllowedValues": "1-64", "IsModifiable": false, "ApplyMethod": "pending-reboot", "SupportedEngineModes": ["provisioned"]}</t>
        </r>
      </text>
    </comment>
    <comment ref="E177" authorId="0">
      <text>
        <r>
          <rPr>
            <sz val="9"/>
            <color indexed="81"/>
            <rFont val="Meiryo UI"/>
            <family val="2"/>
          </rPr>
          <t>https://dev.mysql.com/doc/refman/8.4/en/innodb-parameters.html#sysvar_innodb_read_io_threads
Community参考値でありAurora実効値ではありません。</t>
        </r>
      </text>
    </comment>
    <comment ref="M177"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78" authorId="0">
      <text>
        <r>
          <rPr>
            <sz val="9"/>
            <color indexed="81"/>
            <rFont val="Meiryo UI"/>
            <family val="2"/>
          </rPr>
          <t>APIメタデータ: {"ParameterName": "innodb_read_only", "Description": "Starts the server in read-only mode.", "Source": "engine-default", "ApplyType": "static", "DataType": "boolean", "AllowedValues": "0,1", "IsModifiable": false, "ApplyMethod": "pending-reboot", "SupportedEngineModes": ["provisioned"]}</t>
        </r>
      </text>
    </comment>
    <comment ref="E178" authorId="0">
      <text>
        <r>
          <rPr>
            <sz val="9"/>
            <color indexed="81"/>
            <rFont val="Meiryo UI"/>
            <family val="2"/>
          </rPr>
          <t>https://dev.mysql.com/doc/refman/8.4/en/innodb-parameters.html#sysvar_innodb_read_only
Community参考値でありAurora実効値ではありません。</t>
        </r>
      </text>
    </comment>
    <comment ref="M178"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79" authorId="0">
      <text>
        <r>
          <rPr>
            <sz val="9"/>
            <color indexed="81"/>
            <rFont val="Meiryo UI"/>
            <family val="2"/>
          </rPr>
          <t>APIメタデータ: {"ParameterName": "innodb_replication_delay", "Description": "The replication thread delay (in ms) on a replica server if innodb_thread_concurrency is reached.", "Source": "engine-default", "ApplyType": "dynamic", "DataType": "integer", "AllowedValues": "0-4294967295", "IsModifiable": true, "ApplyMethod": "pending-reboot", "SupportedEngineModes": ["provisioned"]}</t>
        </r>
      </text>
    </comment>
    <comment ref="E179" authorId="0">
      <text>
        <r>
          <rPr>
            <sz val="9"/>
            <color indexed="81"/>
            <rFont val="Meiryo UI"/>
            <family val="2"/>
          </rPr>
          <t>https://dev.mysql.com/doc/refman/8.4/en/innodb-parameters.html#sysvar_innodb_replication_delay
Community参考値でありAurora実効値ではありません。</t>
        </r>
      </text>
    </comment>
    <comment ref="M179"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80" authorId="0">
      <text>
        <r>
          <rPr>
            <sz val="9"/>
            <color indexed="81"/>
            <rFont val="Meiryo UI"/>
            <family val="2"/>
          </rPr>
          <t>APIメタデータ: {"ParameterName": "innodb_rollback_on_timeout", "Description": "Controls whether timeouts rollback the last statement or the entire transaction", "Source": "engine-default", "ApplyType": "static", "DataType": "boolean", "AllowedValues": "0,1", "IsModifiable": true, "ApplyMethod": "pending-reboot", "SupportedEngineModes": ["provisioned"]}</t>
        </r>
      </text>
    </comment>
    <comment ref="E180" authorId="0">
      <text>
        <r>
          <rPr>
            <sz val="9"/>
            <color indexed="81"/>
            <rFont val="Meiryo UI"/>
            <family val="2"/>
          </rPr>
          <t>https://dev.mysql.com/doc/refman/8.4/en/innodb-parameters.html#sysvar_innodb_rollback_on_timeout
Community参考値でありAurora実効値ではありません。</t>
        </r>
      </text>
    </comment>
    <comment ref="M180" authorId="0">
      <text>
        <r>
          <rPr>
            <sz val="9"/>
            <color indexed="81"/>
            <rFont val="Meiryo UI"/>
            <family val="2"/>
          </rPr>
          <t>https://docs.aws.amazon.com/AmazonRDS/latest/APIReference/API_DescribeDBClusterParameters.html
https://dev.mysql.com/doc/refman/8.4/en/innodb-parameters.html</t>
        </r>
      </text>
    </comment>
    <comment ref="B181" authorId="0">
      <text>
        <r>
          <rPr>
            <sz val="9"/>
            <color indexed="81"/>
            <rFont val="Meiryo UI"/>
            <family val="2"/>
          </rPr>
          <t>APIメタデータ: {"ParameterName": "innodb_rollback_segments", "Description": "Defines how many of the rollback segments in the system tablespace that InnoDB uses within a transaction.", "Source": "engine-default", "ApplyType": "dynamic", "DataType": "integer", "AllowedValues": "1-128", "IsModifiable": true, "ApplyMethod": "pending-reboot", "SupportedEngineModes": ["provisioned"]}</t>
        </r>
      </text>
    </comment>
    <comment ref="E181" authorId="0">
      <text>
        <r>
          <rPr>
            <sz val="9"/>
            <color indexed="81"/>
            <rFont val="Meiryo UI"/>
            <family val="2"/>
          </rPr>
          <t>https://dev.mysql.com/doc/refman/8.4/en/innodb-parameters.html#sysvar_innodb_rollback_segments
Community参考値でありAurora実効値ではありません。</t>
        </r>
      </text>
    </comment>
    <comment ref="M181"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82" authorId="0">
      <text>
        <r>
          <rPr>
            <sz val="9"/>
            <color indexed="81"/>
            <rFont val="Meiryo UI"/>
            <family val="2"/>
          </rPr>
          <t>APIメタデータ: {"ParameterName": "innodb_sort_buffer_size", "Description": "Specifies the sizes of several buffers used for sorting data during creation of an InnoDB index.", "Source": "engine-default", "ApplyType": "static", "DataType": "integer", "AllowedValues": "65536-67108864", "IsModifiable": true, "ApplyMethod": "pending-reboot", "SupportedEngineModes": ["provisioned"]}</t>
        </r>
      </text>
    </comment>
    <comment ref="E182" authorId="0">
      <text>
        <r>
          <rPr>
            <sz val="9"/>
            <color indexed="81"/>
            <rFont val="Meiryo UI"/>
            <family val="2"/>
          </rPr>
          <t>https://dev.mysql.com/doc/refman/8.4/en/innodb-parameters.html#sysvar_innodb_sort_buffer_size
Community参考値でありAurora実効値ではありません。</t>
        </r>
      </text>
    </comment>
    <comment ref="M182"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183" authorId="0">
      <text>
        <r>
          <rPr>
            <sz val="9"/>
            <color indexed="81"/>
            <rFont val="Meiryo UI"/>
            <family val="2"/>
          </rPr>
          <t>APIメタデータ: {"ParameterName": "innodb_spin_wait_delay", "Description": "The maximum delay between polls for a spin lock.", "Source": "engine-default", "ApplyType": "dynamic", "DataType": "integer", "AllowedValues": "0-4294967295", "IsModifiable": true, "ApplyMethod": "pending-reboot", "SupportedEngineModes": ["provisioned"]}</t>
        </r>
      </text>
    </comment>
    <comment ref="E183" authorId="0">
      <text>
        <r>
          <rPr>
            <sz val="9"/>
            <color indexed="81"/>
            <rFont val="Meiryo UI"/>
            <family val="2"/>
          </rPr>
          <t>https://dev.mysql.com/doc/refman/8.4/en/innodb-parameters.html#sysvar_innodb_spin_wait_delay
Community参考値でありAurora実効値ではありません。</t>
        </r>
      </text>
    </comment>
    <comment ref="M183"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84" authorId="0">
      <text>
        <r>
          <rPr>
            <sz val="9"/>
            <color indexed="81"/>
            <rFont val="Meiryo UI"/>
            <family val="2"/>
          </rPr>
          <t>APIメタデータ: {"ParameterName": "innodb_spin_wait_pause_multiplier", "Description": "Defines a multiplier value used to determine the number of PAUSE instructions in spin-wait loops that occur when a thread waits to acquire a mutex or rw-lock.", "Source": "engine-default", "ApplyType": "dynamic", "DataType": "integer", "AllowedValues": "1-100", "IsModifiable": true, "ApplyMethod": "pending-reboot", "SupportedEngineModes": ["provisioned"]}</t>
        </r>
      </text>
    </comment>
    <comment ref="E184" authorId="0">
      <text>
        <r>
          <rPr>
            <sz val="9"/>
            <color indexed="81"/>
            <rFont val="Meiryo UI"/>
            <family val="2"/>
          </rPr>
          <t>https://dev.mysql.com/doc/refman/8.4/en/innodb-parameters.html#sysvar_innodb_spin_wait_pause_multiplier
Community参考値でありAurora実効値ではありません。</t>
        </r>
      </text>
    </comment>
    <comment ref="M184"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85" authorId="0">
      <text>
        <r>
          <rPr>
            <sz val="9"/>
            <color indexed="81"/>
            <rFont val="Meiryo UI"/>
            <family val="2"/>
          </rPr>
          <t>APIメタデータ: {"ParameterName": "innodb_stats_auto_recalc", "Description": "Causes InnoDB to automatically recalculate persistent statistics after the data in a table is changed substantially.", "Source": "system", "ApplyType": "dynamic", "DataType": "boolean", "AllowedValues": "0,1", "IsModifiable": true, "ApplyMethod": "pending-reboot", "SupportedEngineModes": ["provisioned"]}</t>
        </r>
      </text>
    </comment>
    <comment ref="E185" authorId="0">
      <text>
        <r>
          <rPr>
            <sz val="9"/>
            <color indexed="81"/>
            <rFont val="Meiryo UI"/>
            <family val="2"/>
          </rPr>
          <t>https://dev.mysql.com/doc/refman/8.4/en/innodb-parameters.html#sysvar_innodb_stats_auto_recalc
Community参考値でありAurora実効値ではありません。</t>
        </r>
      </text>
    </comment>
    <comment ref="M185" authorId="0">
      <text>
        <r>
          <rPr>
            <sz val="9"/>
            <color indexed="81"/>
            <rFont val="Meiryo UI"/>
            <family val="2"/>
          </rPr>
          <t>https://docs.aws.amazon.com/AmazonRDS/latest/APIReference/API_DescribeDBClusterParameters.html
https://docs.aws.amazon.com/AmazonRDS/latest/AuroraUserGuide/AuroraMySQL.MySQL84.html
https://dev.mysql.com/doc/refman/8.4/en/innodb-parameters.html</t>
        </r>
      </text>
    </comment>
    <comment ref="B186" authorId="0">
      <text>
        <r>
          <rPr>
            <sz val="9"/>
            <color indexed="81"/>
            <rFont val="Meiryo UI"/>
            <family val="2"/>
          </rPr>
          <t>APIメタデータ: {"ParameterName": "innodb_stats_include_delete_marked", "Description": "When innodb_stats_include_delete_marked is enabled, ANALYZE TABLE considers delete-marked records when recalculating statistics.", "Source": "engine-default", "ApplyType": "dynamic", "DataType": "boolean", "AllowedValues": "0,1", "IsModifiable": true, "ApplyMethod": "pending-reboot", "SupportedEngineModes": ["provisioned"]}</t>
        </r>
      </text>
    </comment>
    <comment ref="E186" authorId="0">
      <text>
        <r>
          <rPr>
            <sz val="9"/>
            <color indexed="81"/>
            <rFont val="Meiryo UI"/>
            <family val="2"/>
          </rPr>
          <t>https://dev.mysql.com/doc/refman/8.4/en/innodb-parameters.html#sysvar_innodb_stats_include_delete_marked
Community参考値でありAurora実効値ではありません。</t>
        </r>
      </text>
    </comment>
    <comment ref="M186"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87" authorId="0">
      <text>
        <r>
          <rPr>
            <sz val="9"/>
            <color indexed="81"/>
            <rFont val="Meiryo UI"/>
            <family val="2"/>
          </rPr>
          <t>APIメタデータ: {"ParameterName": "innodb_stats_method", "Description": "How the server treats NULL values when collecting statistics about the distribution of index values for InnoDB tables.", "Source": "engine-default", "ApplyType": "dynamic", "DataType": "string", "AllowedValues": "nulls_equal,nulls_unequal,nulls_ignored", "IsModifiable": true, "ApplyMethod": "pending-reboot", "SupportedEngineModes": ["provisioned"]}</t>
        </r>
      </text>
    </comment>
    <comment ref="E187" authorId="0">
      <text>
        <r>
          <rPr>
            <sz val="9"/>
            <color indexed="81"/>
            <rFont val="Meiryo UI"/>
            <family val="2"/>
          </rPr>
          <t>https://dev.mysql.com/doc/refman/8.4/en/innodb-parameters.html#sysvar_innodb_stats_method
Community参考値でありAurora実効値ではありません。</t>
        </r>
      </text>
    </comment>
    <comment ref="M187"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88" authorId="0">
      <text>
        <r>
          <rPr>
            <sz val="9"/>
            <color indexed="81"/>
            <rFont val="Meiryo UI"/>
            <family val="2"/>
          </rPr>
          <t>APIメタデータ: {"ParameterName": "innodb_stats_on_metadata", "Description": "Controls whether table and index stats are updated when getting status information via SHOW STATUS or the INFORMATION_SCHEMA", "Source": "engine-default", "ApplyType": "dynamic", "DataType": "boolean", "AllowedValues": "0,1", "IsModifiable": true, "ApplyMethod": "pending-reboot", "SupportedEngineModes": ["provisioned"]}</t>
        </r>
      </text>
    </comment>
    <comment ref="E188" authorId="0">
      <text>
        <r>
          <rPr>
            <sz val="9"/>
            <color indexed="81"/>
            <rFont val="Meiryo UI"/>
            <family val="2"/>
          </rPr>
          <t>https://dev.mysql.com/doc/refman/8.4/en/innodb-parameters.html#sysvar_innodb_stats_on_metadata
Community参考値でありAurora実効値ではありません。</t>
        </r>
      </text>
    </comment>
    <comment ref="M188" authorId="0">
      <text>
        <r>
          <rPr>
            <sz val="9"/>
            <color indexed="81"/>
            <rFont val="Meiryo UI"/>
            <family val="2"/>
          </rPr>
          <t>https://docs.aws.amazon.com/AmazonRDS/latest/APIReference/API_DescribeDBClusterParameters.html
https://dev.mysql.com/doc/refman/8.4/en/innodb-parameters.html</t>
        </r>
      </text>
    </comment>
    <comment ref="B189" authorId="0">
      <text>
        <r>
          <rPr>
            <sz val="9"/>
            <color indexed="81"/>
            <rFont val="Meiryo UI"/>
            <family val="2"/>
          </rPr>
          <t>APIメタデータ: {"ParameterName": "innodb_stats_persistent", "Description": "Specifies whether the InnoDB index statistics produced by the ANALYZE TABLE command are stored on disk.", "Source": "system", "ApplyType": "dynamic", "DataType": "boolean", "AllowedValues": "OFF,ON,0,1", "IsModifiable": true, "ApplyMethod": "pending-reboot", "SupportedEngineModes": ["provisioned"]}</t>
        </r>
      </text>
    </comment>
    <comment ref="E189" authorId="0">
      <text>
        <r>
          <rPr>
            <sz val="9"/>
            <color indexed="81"/>
            <rFont val="Meiryo UI"/>
            <family val="2"/>
          </rPr>
          <t>https://dev.mysql.com/doc/refman/8.4/en/innodb-parameters.html#sysvar_innodb_stats_persistent
Community参考値でありAurora実効値ではありません。</t>
        </r>
      </text>
    </comment>
    <comment ref="M189" authorId="0">
      <text>
        <r>
          <rPr>
            <sz val="9"/>
            <color indexed="81"/>
            <rFont val="Meiryo UI"/>
            <family val="2"/>
          </rPr>
          <t>https://docs.aws.amazon.com/AmazonRDS/latest/APIReference/API_DescribeDBClusterParameters.html
https://dev.mysql.com/doc/refman/8.4/en/innodb-parameters.html</t>
        </r>
      </text>
    </comment>
    <comment ref="B190" authorId="0">
      <text>
        <r>
          <rPr>
            <sz val="9"/>
            <color indexed="81"/>
            <rFont val="Meiryo UI"/>
            <family val="2"/>
          </rPr>
          <t>APIメタデータ: {"ParameterName": "innodb_stats_persistent_sample_pages", "Description": "The number of index pages to sample when estimating cardinality and other statistics for an indexed column, such as those calculated by ANALYZE TABLE.", "Source": "engine-default", "ApplyType": "dynamic", "DataType": "integer", "AllowedValues": "0-18446744073709551615", "IsModifiable": true, "ApplyMethod": "pending-reboot", "SupportedEngineModes": ["provisioned"]}</t>
        </r>
      </text>
    </comment>
    <comment ref="E190" authorId="0">
      <text>
        <r>
          <rPr>
            <sz val="9"/>
            <color indexed="81"/>
            <rFont val="Meiryo UI"/>
            <family val="2"/>
          </rPr>
          <t>https://dev.mysql.com/doc/refman/8.4/en/innodb-parameters.html#sysvar_innodb_stats_persistent_sample_pages
Community参考値でありAurora実効値ではありません。</t>
        </r>
      </text>
    </comment>
    <comment ref="M190"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91" authorId="0">
      <text>
        <r>
          <rPr>
            <sz val="9"/>
            <color indexed="81"/>
            <rFont val="Meiryo UI"/>
            <family val="2"/>
          </rPr>
          <t>APIメタデータ: {"ParameterName": "innodb_stats_transient_sample_pages", "Description": "The number of index pages to sample when estimating cardinality and other statistics for an indexed column, such as those calculated by ANALYZE TABLE.", "Source": "engine-default", "ApplyType": "dynamic", "DataType": "integer", "AllowedValues": "0-18446744073709551615", "IsModifiable": true, "ApplyMethod": "pending-reboot", "SupportedEngineModes": ["provisioned"]}</t>
        </r>
      </text>
    </comment>
    <comment ref="E191" authorId="0">
      <text>
        <r>
          <rPr>
            <sz val="9"/>
            <color indexed="81"/>
            <rFont val="Meiryo UI"/>
            <family val="2"/>
          </rPr>
          <t>https://dev.mysql.com/doc/refman/8.4/en/innodb-parameters.html#sysvar_innodb_stats_transient_sample_pages
Community参考値でありAurora実効値ではありません。</t>
        </r>
      </text>
    </comment>
    <comment ref="M191"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92" authorId="0">
      <text>
        <r>
          <rPr>
            <sz val="9"/>
            <color indexed="81"/>
            <rFont val="Meiryo UI"/>
            <family val="2"/>
          </rPr>
          <t>APIメタデータ: {"ParameterName": "innodb_status_output", "Description": "Enables or disables periodic output for the standard InnoDB Monitor.", "Source": "engine-default", "ApplyType": "dynamic", "DataType": "boolean", "AllowedValues": "0,1", "IsModifiable": true, "ApplyMethod": "pending-reboot", "SupportedEngineModes": ["provisioned"]}</t>
        </r>
      </text>
    </comment>
    <comment ref="E192" authorId="0">
      <text>
        <r>
          <rPr>
            <sz val="9"/>
            <color indexed="81"/>
            <rFont val="Meiryo UI"/>
            <family val="2"/>
          </rPr>
          <t>https://dev.mysql.com/doc/refman/8.4/en/innodb-parameters.html#sysvar_innodb_status_output
Community参考値でありAurora実効値ではありません。</t>
        </r>
      </text>
    </comment>
    <comment ref="M192"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93" authorId="0">
      <text>
        <r>
          <rPr>
            <sz val="9"/>
            <color indexed="81"/>
            <rFont val="Meiryo UI"/>
            <family val="2"/>
          </rPr>
          <t>APIメタデータ: {"ParameterName": "innodb_status_output_locks", "Description": "Enables or disables the InnoDB Lock Monitor.", "Source": "engine-default", "ApplyType": "dynamic", "DataType": "boolean", "AllowedValues": "0,1", "IsModifiable": true, "ApplyMethod": "pending-reboot", "SupportedEngineModes": ["provisioned"]}</t>
        </r>
      </text>
    </comment>
    <comment ref="E193" authorId="0">
      <text>
        <r>
          <rPr>
            <sz val="9"/>
            <color indexed="81"/>
            <rFont val="Meiryo UI"/>
            <family val="2"/>
          </rPr>
          <t>https://dev.mysql.com/doc/refman/8.4/en/innodb-parameters.html#sysvar_innodb_status_output_locks
Community参考値でありAurora実効値ではありません。</t>
        </r>
      </text>
    </comment>
    <comment ref="M193"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94" authorId="0">
      <text>
        <r>
          <rPr>
            <sz val="9"/>
            <color indexed="81"/>
            <rFont val="Meiryo UI"/>
            <family val="2"/>
          </rPr>
          <t>APIメタデータ: {"ParameterName": "innodb_strict_mode", "Description": "Whether InnoDB returns errors rather than warnings for exceptional conditions.", "Source": "engine-default", "ApplyType": "dynamic", "DataType": "boolean", "AllowedValues": "0,1", "IsModifiable": true, "ApplyMethod": "pending-reboot", "SupportedEngineModes": ["provisioned"]}</t>
        </r>
      </text>
    </comment>
    <comment ref="E194" authorId="0">
      <text>
        <r>
          <rPr>
            <sz val="9"/>
            <color indexed="81"/>
            <rFont val="Meiryo UI"/>
            <family val="2"/>
          </rPr>
          <t>https://dev.mysql.com/doc/refman/8.4/en/innodb-parameters.html#sysvar_innodb_strict_mode
Community参考値でありAurora実効値ではありません。</t>
        </r>
      </text>
    </comment>
    <comment ref="M194" authorId="0">
      <text>
        <r>
          <rPr>
            <sz val="9"/>
            <color indexed="81"/>
            <rFont val="Meiryo UI"/>
            <family val="2"/>
          </rPr>
          <t>https://docs.aws.amazon.com/AmazonRDS/latest/APIReference/API_DescribeDBClusterParameters.html
https://dev.mysql.com/doc/refman/8.4/en/innodb-parameters.html</t>
        </r>
      </text>
    </comment>
    <comment ref="B195" authorId="0">
      <text>
        <r>
          <rPr>
            <sz val="9"/>
            <color indexed="81"/>
            <rFont val="Meiryo UI"/>
            <family val="2"/>
          </rPr>
          <t>APIメタデータ: {"ParameterName": "innodb_sync_array_size", "Description": "Splits an internal data structure used to coordinate threads, for higher concurrency in workloads with large numbers of waiting threads.", "Source": "engine-default", "ApplyType": "static", "DataType": "integer", "AllowedValues": "1-1024", "IsModifiable": true, "ApplyMethod": "pending-reboot", "SupportedEngineModes": ["provisioned"]}</t>
        </r>
      </text>
    </comment>
    <comment ref="E195" authorId="0">
      <text>
        <r>
          <rPr>
            <sz val="9"/>
            <color indexed="81"/>
            <rFont val="Meiryo UI"/>
            <family val="2"/>
          </rPr>
          <t>https://dev.mysql.com/doc/refman/8.4/en/innodb-parameters.html#sysvar_innodb_sync_array_size
Community参考値でありAurora実効値ではありません。</t>
        </r>
      </text>
    </comment>
    <comment ref="M195"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96" authorId="0">
      <text>
        <r>
          <rPr>
            <sz val="9"/>
            <color indexed="81"/>
            <rFont val="Meiryo UI"/>
            <family val="2"/>
          </rPr>
          <t>APIメタデータ: {"ParameterName": "innodb_sync_spin_loops", "ParameterValue": "30", "Description": "The number of times a thread waits for an innodb mutex to be freed before the thread is suspended", "Source": "engine-default", "ApplyType": "dynamic", "DataType": "integer", "AllowedValues": "0-9223372036854775807", "IsModifiable": true, "ApplyMethod": "pending-reboot", "SupportedEngineModes": ["provisioned"]}</t>
        </r>
      </text>
    </comment>
    <comment ref="E196" authorId="0">
      <text>
        <r>
          <rPr>
            <sz val="9"/>
            <color indexed="81"/>
            <rFont val="Meiryo UI"/>
            <family val="2"/>
          </rPr>
          <t>https://dev.mysql.com/doc/refman/8.4/en/innodb-parameters.html#sysvar_innodb_sync_spin_loops
Community参考値でありAurora実効値ではありません。</t>
        </r>
      </text>
    </comment>
    <comment ref="M196"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97" authorId="0">
      <text>
        <r>
          <rPr>
            <sz val="9"/>
            <color indexed="81"/>
            <rFont val="Meiryo UI"/>
            <family val="2"/>
          </rPr>
          <t>APIメタデータ: {"ParameterName": "innodb_table_locks", "Description": "If autocommit = 0, innodb honors LOCK TABLES", "Source": "engine-default", "ApplyType": "dynamic", "DataType": "boolean", "AllowedValues": "0,1", "IsModifiable": true, "ApplyMethod": "pending-reboot", "SupportedEngineModes": ["provisioned"]}</t>
        </r>
      </text>
    </comment>
    <comment ref="E197" authorId="0">
      <text>
        <r>
          <rPr>
            <sz val="9"/>
            <color indexed="81"/>
            <rFont val="Meiryo UI"/>
            <family val="2"/>
          </rPr>
          <t>https://dev.mysql.com/doc/refman/8.4/en/innodb-parameters.html#sysvar_innodb_table_locks
Community参考値でありAurora実効値ではありません。</t>
        </r>
      </text>
    </comment>
    <comment ref="M197"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98" authorId="0">
      <text>
        <r>
          <rPr>
            <sz val="9"/>
            <color indexed="81"/>
            <rFont val="Meiryo UI"/>
            <family val="2"/>
          </rPr>
          <t>APIメタデータ: {"ParameterName": "innodb_thread_concurrency", "Description": "The number of threads that can enter innodb concurrently", "Source": "engine-default", "ApplyType": "dynamic", "DataType": "integer", "AllowedValues": "0-1000", "IsModifiable": false, "ApplyMethod": "pending-reboot", "SupportedEngineModes": ["provisioned"]}</t>
        </r>
      </text>
    </comment>
    <comment ref="E198" authorId="0">
      <text>
        <r>
          <rPr>
            <sz val="9"/>
            <color indexed="81"/>
            <rFont val="Meiryo UI"/>
            <family val="2"/>
          </rPr>
          <t>https://dev.mysql.com/doc/refman/8.4/en/innodb-parameters.html#sysvar_innodb_thread_concurrency
Community参考値でありAurora実効値ではありません。</t>
        </r>
      </text>
    </comment>
    <comment ref="M198"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199" authorId="0">
      <text>
        <r>
          <rPr>
            <sz val="9"/>
            <color indexed="81"/>
            <rFont val="Meiryo UI"/>
            <family val="2"/>
          </rPr>
          <t>APIメタデータ: {"ParameterName": "innodb_thread_sleep_delay", "Description": "How long innodb threads sleep before joining the innodb queue, in microseconds.", "Source": "engine-default", "ApplyType": "dynamic", "DataType": "integer", "AllowedValues": "0-9223372036854775807", "IsModifiable": true, "ApplyMethod": "pending-reboot", "SupportedEngineModes": ["provisioned"]}</t>
        </r>
      </text>
    </comment>
    <comment ref="E199" authorId="0">
      <text>
        <r>
          <rPr>
            <sz val="9"/>
            <color indexed="81"/>
            <rFont val="Meiryo UI"/>
            <family val="2"/>
          </rPr>
          <t>https://dev.mysql.com/doc/refman/8.4/en/innodb-parameters.html#sysvar_innodb_thread_sleep_delay
Community参考値でありAurora実効値ではありません。</t>
        </r>
      </text>
    </comment>
    <comment ref="M199"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200" authorId="0">
      <text>
        <r>
          <rPr>
            <sz val="9"/>
            <color indexed="81"/>
            <rFont val="Meiryo UI"/>
            <family val="2"/>
          </rPr>
          <t>APIメタデータ: {"ParameterName": "innodb_trx_commit_allow_data_loss", "ParameterValue": "0", "Description": "Set to 1 to enable nondefault values of innodb_flush_log_at_trx_commit, and to accept the data loss risk associated with these values. The default value of innodb_trx_commit_allow_data_loss is 0.", "Source": "system", "ApplyType": "dynamic", "DataType": "boolean", "AllowedValues": "0,1", "IsModifiable": true, "ApplyMethod": "pending-reboot", "SupportedEngineModes": ["provisioned"]}</t>
        </r>
      </text>
    </comment>
    <comment ref="M200"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01" authorId="0">
      <text>
        <r>
          <rPr>
            <sz val="9"/>
            <color indexed="81"/>
            <rFont val="Meiryo UI"/>
            <family val="2"/>
          </rPr>
          <t>APIメタデータ: {"ParameterName": "innodb_undo_directory", "Description": "The relative or absolute directory path where InnoDB creates separate tablespaces for the undo logs", "Source": "system", "ApplyType": "static", "DataType": "string", "IsModifiable": false, "ApplyMethod": "pending-reboot", "SupportedEngineModes": ["provisioned"]}</t>
        </r>
      </text>
    </comment>
    <comment ref="M201"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202" authorId="0">
      <text>
        <r>
          <rPr>
            <sz val="9"/>
            <color indexed="81"/>
            <rFont val="Meiryo UI"/>
            <family val="2"/>
          </rPr>
          <t>APIメタデータ: {"ParameterName": "innodb_use_native_aio", "Description": "Controls whether or not MySQL uses Linux native asynchronous IO.", "Source": "engine-default", "ApplyType": "static", "DataType": "boolean", "AllowedValues": "0,1", "IsModifiable": false, "ApplyMethod": "pending-reboot", "SupportedEngineModes": ["provisioned"]}</t>
        </r>
      </text>
    </comment>
    <comment ref="E202" authorId="0">
      <text>
        <r>
          <rPr>
            <sz val="9"/>
            <color indexed="81"/>
            <rFont val="Meiryo UI"/>
            <family val="2"/>
          </rPr>
          <t>https://dev.mysql.com/doc/refman/8.4/en/innodb-parameters.html#sysvar_innodb_use_native_aio
Community参考値でありAurora実効値ではありません。</t>
        </r>
      </text>
    </comment>
    <comment ref="M202"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203" authorId="0">
      <text>
        <r>
          <rPr>
            <sz val="9"/>
            <color indexed="81"/>
            <rFont val="Meiryo UI"/>
            <family val="2"/>
          </rPr>
          <t>APIメタデータ: {"ParameterName": "innodb_write_io_threads", "Description": "The number of I/O threads for write operations in InnoDB.", "Source": "engine-default", "ApplyType": "static", "DataType": "integer", "AllowedValues": "1-64", "IsModifiable": false, "ApplyMethod": "pending-reboot", "SupportedEngineModes": ["provisioned"]}</t>
        </r>
      </text>
    </comment>
    <comment ref="E203" authorId="0">
      <text>
        <r>
          <rPr>
            <sz val="9"/>
            <color indexed="81"/>
            <rFont val="Meiryo UI"/>
            <family val="2"/>
          </rPr>
          <t>https://dev.mysql.com/doc/refman/8.4/en/innodb-parameters.html#sysvar_innodb_write_io_threads
Community参考値でありAurora実効値ではありません。</t>
        </r>
      </text>
    </comment>
    <comment ref="M203" authorId="0">
      <text>
        <r>
          <rPr>
            <sz val="9"/>
            <color indexed="81"/>
            <rFont val="Meiryo UI"/>
            <family val="2"/>
          </rPr>
          <t>https://docs.aws.amazon.com/AmazonRDS/latest/APIReference/API_DescribeDBClusterParameters.html
https://dev.mysql.com/doc/refman/8.4/en/innodb-parameters.html
https://docs.aws.amazon.com/AmazonRDS/latest/AuroraUserGuide/Aurora.Overview.StorageReliability.html</t>
        </r>
      </text>
    </comment>
    <comment ref="B204" authorId="0">
      <text>
        <r>
          <rPr>
            <sz val="9"/>
            <color indexed="81"/>
            <rFont val="Meiryo UI"/>
            <family val="2"/>
          </rPr>
          <t>APIメタデータ: {"ParameterName": "interactive_timeout", "Description": "Number of seconds the server waits for activity on an interactive connection before closing it.", "Source": "engine-default", "ApplyType": "dynamic", "DataType": "integer", "AllowedValues": "1-31536000", "IsModifiable": true, "ApplyMethod": "pending-reboot", "SupportedEngineModes": ["provisioned"]}</t>
        </r>
      </text>
    </comment>
    <comment ref="E204" authorId="0">
      <text>
        <r>
          <rPr>
            <sz val="9"/>
            <color indexed="81"/>
            <rFont val="Meiryo UI"/>
            <family val="2"/>
          </rPr>
          <t>https://dev.mysql.com/doc/refman/8.4/en/server-system-variables.html#sysvar_interactive_timeout
Community参考値でありAurora実効値ではありません。</t>
        </r>
      </text>
    </comment>
    <comment ref="M204" authorId="0">
      <text>
        <r>
          <rPr>
            <sz val="9"/>
            <color indexed="81"/>
            <rFont val="Meiryo UI"/>
            <family val="2"/>
          </rPr>
          <t>https://docs.aws.amazon.com/AmazonRDS/latest/APIReference/API_DescribeDBClusterParameters.html
https://dev.mysql.com/doc/connector-j/en/connector-j-reference-configuration-properties.html
https://dev.mysql.com/doc/refman/8.4/en/server-system-variables.html</t>
        </r>
      </text>
    </comment>
    <comment ref="B205" authorId="0">
      <text>
        <r>
          <rPr>
            <sz val="9"/>
            <color indexed="81"/>
            <rFont val="Meiryo UI"/>
            <family val="2"/>
          </rPr>
          <t>APIメタデータ: {"ParameterName": "internal_tmp_mem_storage_engine", "ParameterValue": "TempTable", "Description": "Controls which in-memory storage engine is used for internal temporary tables", "Source": "system", "ApplyType": "dynamic", "DataType": "string", "AllowedValues": "TempTable,MEMORY", "IsModifiable": true, "ApplyMethod": "pending-reboot", "SupportedEngineModes": ["provisioned"]}</t>
        </r>
      </text>
    </comment>
    <comment ref="E205" authorId="0">
      <text>
        <r>
          <rPr>
            <sz val="9"/>
            <color indexed="81"/>
            <rFont val="Meiryo UI"/>
            <family val="2"/>
          </rPr>
          <t>https://dev.mysql.com/doc/refman/8.4/en/server-system-variables.html#sysvar_internal_tmp_mem_storage_engine
Community参考値でありAurora実効値ではありません。</t>
        </r>
      </text>
    </comment>
    <comment ref="M20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06" authorId="0">
      <text>
        <r>
          <rPr>
            <sz val="9"/>
            <color indexed="81"/>
            <rFont val="Meiryo UI"/>
            <family val="2"/>
          </rPr>
          <t>APIメタデータ: {"ParameterName": "join_buffer_size", "Description": "Increase the value of join_buffer_size to get a faster full join when adding indexes is not possible.", "Source": "engine-default", "ApplyType": "dynamic", "DataType": "integer", "AllowedValues": "128-18446744073709547520", "IsModifiable": true, "ApplyMethod": "pending-reboot", "SupportedEngineModes": ["provisioned"]}</t>
        </r>
      </text>
    </comment>
    <comment ref="E206" authorId="0">
      <text>
        <r>
          <rPr>
            <sz val="9"/>
            <color indexed="81"/>
            <rFont val="Meiryo UI"/>
            <family val="2"/>
          </rPr>
          <t>https://dev.mysql.com/doc/refman/8.4/en/server-system-variables.html#sysvar_join_buffer_size
Community参考値でありAurora実効値ではありません。</t>
        </r>
      </text>
    </comment>
    <comment ref="M206"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207" authorId="0">
      <text>
        <r>
          <rPr>
            <sz val="9"/>
            <color indexed="81"/>
            <rFont val="Meiryo UI"/>
            <family val="2"/>
          </rPr>
          <t>APIメタデータ: {"ParameterName": "keep_files_on_create", "Description": "Suppress behavior to overwrite MyISAM file created in DATA DIRECTORY or INDEX DIRECTORY.", "Source": "engine-default", "ApplyType": "dynamic", "DataType": "boolean", "AllowedValues": "0,1", "IsModifiable": true, "ApplyMethod": "pending-reboot", "SupportedEngineModes": ["provisioned"]}</t>
        </r>
      </text>
    </comment>
    <comment ref="E207" authorId="0">
      <text>
        <r>
          <rPr>
            <sz val="9"/>
            <color indexed="81"/>
            <rFont val="Meiryo UI"/>
            <family val="2"/>
          </rPr>
          <t>https://dev.mysql.com/doc/refman/8.4/en/server-system-variables.html#sysvar_keep_files_on_create
Community参考値でありAurora実効値ではありません。</t>
        </r>
      </text>
    </comment>
    <comment ref="M20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08" authorId="0">
      <text>
        <r>
          <rPr>
            <sz val="9"/>
            <color indexed="81"/>
            <rFont val="Meiryo UI"/>
            <family val="2"/>
          </rPr>
          <t>APIメタデータ: {"ParameterName": "key_buffer_size", "ParameterValue": "16777216", "Description": "Increase the buffer size to get better index handling used for index blocks (for all reads and multiple writes).", "Source": "system", "ApplyType": "dynamic", "DataType": "integer", "AllowedValues": "4096-4294967295", "IsModifiable": true, "ApplyMethod": "pending-reboot", "SupportedEngineModes": ["provisioned"]}</t>
        </r>
      </text>
    </comment>
    <comment ref="E208" authorId="0">
      <text>
        <r>
          <rPr>
            <sz val="9"/>
            <color indexed="81"/>
            <rFont val="Meiryo UI"/>
            <family val="2"/>
          </rPr>
          <t>https://dev.mysql.com/doc/refman/8.4/en/server-system-variables.html#sysvar_key_buffer_size
Community参考値でありAurora実効値ではありません。</t>
        </r>
      </text>
    </comment>
    <comment ref="M208"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209" authorId="0">
      <text>
        <r>
          <rPr>
            <sz val="9"/>
            <color indexed="81"/>
            <rFont val="Meiryo UI"/>
            <family val="2"/>
          </rPr>
          <t>APIメタデータ: {"ParameterName": "key_cache_age_threshold", "Description": "Controls the demotion of buffers from the hot sub-chain of a key cache to the warm sub-chain. Lower values cause demotion to happen more quickly.", "Source": "engine-default", "ApplyType": "dynamic", "DataType": "integer", "AllowedValues": "100-18446744073709547520", "IsModifiable": true, "ApplyMethod": "pending-reboot", "SupportedEngineModes": ["provisioned"]}</t>
        </r>
      </text>
    </comment>
    <comment ref="E209" authorId="0">
      <text>
        <r>
          <rPr>
            <sz val="9"/>
            <color indexed="81"/>
            <rFont val="Meiryo UI"/>
            <family val="2"/>
          </rPr>
          <t>https://dev.mysql.com/doc/refman/8.4/en/server-system-variables.html#sysvar_key_cache_age_threshold
Community参考値でありAurora実効値ではありません。</t>
        </r>
      </text>
    </comment>
    <comment ref="M20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10" authorId="0">
      <text>
        <r>
          <rPr>
            <sz val="9"/>
            <color indexed="81"/>
            <rFont val="Meiryo UI"/>
            <family val="2"/>
          </rPr>
          <t>APIメタデータ: {"ParameterName": "key_cache_block_size", "Description": "Size in bytes of blocks in the key cache.", "Source": "engine-default", "ApplyType": "dynamic", "DataType": "integer", "AllowedValues": "512-16384", "IsModifiable": true, "ApplyMethod": "pending-reboot", "SupportedEngineModes": ["provisioned"]}</t>
        </r>
      </text>
    </comment>
    <comment ref="E210" authorId="0">
      <text>
        <r>
          <rPr>
            <sz val="9"/>
            <color indexed="81"/>
            <rFont val="Meiryo UI"/>
            <family val="2"/>
          </rPr>
          <t>https://dev.mysql.com/doc/refman/8.4/en/server-system-variables.html#sysvar_key_cache_block_size
Community参考値でありAurora実効値ではありません。</t>
        </r>
      </text>
    </comment>
    <comment ref="M21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11" authorId="0">
      <text>
        <r>
          <rPr>
            <sz val="9"/>
            <color indexed="81"/>
            <rFont val="Meiryo UI"/>
            <family val="2"/>
          </rPr>
          <t>APIメタデータ: {"ParameterName": "key_cache_division_limit", "Description": "The division point between the hot and warm sub-chains of the key cache buffer chain. The value is the percentage of the buffer chain to use for the warm sub-chain.", "Source": "engine-default", "ApplyType": "dynamic", "DataType": "integer", "AllowedValues": "1-100", "IsModifiable": true, "ApplyMethod": "pending-reboot", "SupportedEngineModes": ["provisioned"]}</t>
        </r>
      </text>
    </comment>
    <comment ref="E211" authorId="0">
      <text>
        <r>
          <rPr>
            <sz val="9"/>
            <color indexed="81"/>
            <rFont val="Meiryo UI"/>
            <family val="2"/>
          </rPr>
          <t>https://dev.mysql.com/doc/refman/8.4/en/server-system-variables.html#sysvar_key_cache_division_limit
Community参考値でありAurora実効値ではありません。</t>
        </r>
      </text>
    </comment>
    <comment ref="M21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12" authorId="0">
      <text>
        <r>
          <rPr>
            <sz val="9"/>
            <color indexed="81"/>
            <rFont val="Meiryo UI"/>
            <family val="2"/>
          </rPr>
          <t>APIメタデータ: {"ParameterName": "lc_time_names", "Description": "This variable specifies the locale that controls the language used to display day and month names and abbreviations.", "Source": "engine-default", "ApplyType": "dynamic", "DataType": "string", "AllowedValues": "ar_AE,ar_BH,ar_DZ,ar_EG,ar_IN,ar_IQ,ar_JO,ar_KW,ar_LB,ar_LY,ar_MA,ar_OM,ar_QA,ar_SA,ar_SD,ar_SY,ar_TN,ar_YE,be_BY,bg_BG,ca_ES,cs_CZ,da_DK,de_AT,de_BE,de_CH,de_DE,de_LU,el_GR,en_AU,en_CA,en_GB,en_IN,en_NZ,en_PH,en_US,en_ZA,en_ZW,es_AR,es_BO,es_CL,es_CO,es_CR,es_DO,es_EC,es_ES,es_GT,es_HN,es_MX,es_NI,es_PA,es_PE,es_PR,es_PY,es_SV,es_US,es_UY,es_VE,et_EE,eu_ES,fi_FI,fo_FO,fr_BE,fr_CA,fr_CH,fr_FR,fr_LU,gl_ES,gu_IN,he_IL,hi_IN,hr_HR,hu_HU,id_ID,is_IS,it_CH,it_IT,ja_JP,ko_KR,lt_LT,lv_LV,mk_MK,mn_MN,ms_MY,nb_NO,nl_BE,nl_NL,no_NO,pl_PL,pt_BR,pt_PT,ro_RO,ru_RU,ru_UA,sk_SK,sl_SI,sq_AL,sr_RS,sv_FI,sv_SE,ta_IN,te_IN,th_TH,tr_TR,uk_UA,ur_PK,vi_VN,zh_CN,zh_HK,zh_TW", "IsModifiable": true, "ApplyMethod": "pending-reboot", "SupportedEngineModes": ["provisioned"]}</t>
        </r>
      </text>
    </comment>
    <comment ref="M21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13" authorId="0">
      <text>
        <r>
          <rPr>
            <sz val="9"/>
            <color indexed="81"/>
            <rFont val="Meiryo UI"/>
            <family val="2"/>
          </rPr>
          <t>APIメタデータ: {"ParameterName": "local_infile", "ParameterValue": "1", "Description": "Controls whetther LOCAL is supported for LOAD DATA INFILE", "Source": "system", "ApplyType": "dynamic", "DataType": "boolean", "AllowedValues": "0,1", "IsModifiable": true, "ApplyMethod": "pending-reboot", "SupportedEngineModes": ["provisioned"]}</t>
        </r>
      </text>
    </comment>
    <comment ref="E213" authorId="0">
      <text>
        <r>
          <rPr>
            <sz val="9"/>
            <color indexed="81"/>
            <rFont val="Meiryo UI"/>
            <family val="2"/>
          </rPr>
          <t>https://dev.mysql.com/doc/refman/8.4/en/server-system-variables.html#sysvar_local_infile
Community参考値でありAurora実効値ではありません。</t>
        </r>
      </text>
    </comment>
    <comment ref="M213" authorId="0">
      <text>
        <r>
          <rPr>
            <sz val="9"/>
            <color indexed="81"/>
            <rFont val="Meiryo UI"/>
            <family val="2"/>
          </rPr>
          <t>https://docs.aws.amazon.com/AmazonRDS/latest/APIReference/API_DescribeDBClusterParameters.html
https://dev.mysql.com/doc/refman/8.4/en/server-system-variables.html</t>
        </r>
      </text>
    </comment>
    <comment ref="B214" authorId="0">
      <text>
        <r>
          <rPr>
            <sz val="9"/>
            <color indexed="81"/>
            <rFont val="Meiryo UI"/>
            <family val="2"/>
          </rPr>
          <t>APIメタデータ: {"ParameterName": "lock_wait_timeout", "Description": "Specifies the timeout in seconds for attempts to acquire metadata locks", "Source": "engine-default", "ApplyType": "dynamic", "DataType": "integer", "AllowedValues": "1-31536000", "IsModifiable": true, "ApplyMethod": "pending-reboot", "SupportedEngineModes": ["provisioned"]}</t>
        </r>
      </text>
    </comment>
    <comment ref="E214" authorId="0">
      <text>
        <r>
          <rPr>
            <sz val="9"/>
            <color indexed="81"/>
            <rFont val="Meiryo UI"/>
            <family val="2"/>
          </rPr>
          <t>https://dev.mysql.com/doc/refman/8.4/en/server-system-variables.html#sysvar_lock_wait_timeout
Community参考値でありAurora実効値ではありません。</t>
        </r>
      </text>
    </comment>
    <comment ref="M214" authorId="0">
      <text>
        <r>
          <rPr>
            <sz val="9"/>
            <color indexed="81"/>
            <rFont val="Meiryo UI"/>
            <family val="2"/>
          </rPr>
          <t>https://docs.aws.amazon.com/AmazonRDS/latest/APIReference/API_DescribeDBClusterParameters.html
https://dev.mysql.com/doc/refman/8.4/en/server-system-variables.html</t>
        </r>
      </text>
    </comment>
    <comment ref="B215" authorId="0">
      <text>
        <r>
          <rPr>
            <sz val="9"/>
            <color indexed="81"/>
            <rFont val="Meiryo UI"/>
            <family val="2"/>
          </rPr>
          <t>APIメタデータ: {"ParameterName": "log-bin", "ParameterValue": "/rdsdbdata/log/binlog/mysql-bin-changelog", "Description": "Controls binary logging.", "Source": "system", "ApplyType": "static", "DataType": "string", "IsModifiable": false, "ApplyMethod": "pending-reboot", "SupportedEngineModes": ["provisioned"]}</t>
        </r>
      </text>
    </comment>
    <comment ref="M215"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16" authorId="0">
      <text>
        <r>
          <rPr>
            <sz val="9"/>
            <color indexed="81"/>
            <rFont val="Meiryo UI"/>
            <family val="2"/>
          </rPr>
          <t>APIメタデータ: {"ParameterName": "log_bin_trust_function_creators", "Description": "Enforces restrictions on stored functions / triggers - logging for replication.", "Source": "engine-default", "ApplyType": "dynamic", "DataType": "boolean", "AllowedValues": "0,1", "IsModifiable": true, "ApplyMethod": "pending-reboot", "SupportedEngineModes": ["provisioned"]}</t>
        </r>
      </text>
    </comment>
    <comment ref="E216" authorId="0">
      <text>
        <r>
          <rPr>
            <sz val="9"/>
            <color indexed="81"/>
            <rFont val="Meiryo UI"/>
            <family val="2"/>
          </rPr>
          <t>https://dev.mysql.com/doc/refman/8.4/en/replication-options-binary-log.html#sysvar_log_bin_trust_function_creators
Community参考値でありAurora実効値ではありません。</t>
        </r>
      </text>
    </comment>
    <comment ref="M216"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17" authorId="0">
      <text>
        <r>
          <rPr>
            <sz val="9"/>
            <color indexed="81"/>
            <rFont val="Meiryo UI"/>
            <family val="2"/>
          </rPr>
          <t>APIメタデータ: {"ParameterName": "log_error", "ParameterValue": "/rdsdbdata/log/error/mysql-error.log", "Description": "Location  of error log.", "Source": "system", "ApplyType": "static", "DataType": "string", "IsModifiable": false, "ApplyMethod": "pending-reboot", "SupportedEngineModes": ["provisioned"]}</t>
        </r>
      </text>
    </comment>
    <comment ref="M217"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18" authorId="0">
      <text>
        <r>
          <rPr>
            <sz val="9"/>
            <color indexed="81"/>
            <rFont val="Meiryo UI"/>
            <family val="2"/>
          </rPr>
          <t>APIメタデータ: {"ParameterName": "log_error_suppression_list", "Description": "The log_error_suppression_list parameter specifies a list of error codes that will be suppressed or not logged to the mysql error log. This allows you to ignore certain non-critical error conditions and keep your error logs clean.", "Source": "engine-default", "ApplyType": "dynamic", "DataType": "list", "AllowedValues": "MY-013360", "IsModifiable": true, "ApplyMethod": "pending-reboot", "SupportedEngineModes": ["provisioned"]}</t>
        </r>
      </text>
    </comment>
    <comment ref="E218" authorId="0">
      <text>
        <r>
          <rPr>
            <sz val="9"/>
            <color indexed="81"/>
            <rFont val="Meiryo UI"/>
            <family val="2"/>
          </rPr>
          <t>https://dev.mysql.com/doc/refman/8.4/en/server-system-variables.html#sysvar_log_error_suppression_list
Community参考値でありAurora実効値ではありません。</t>
        </r>
      </text>
    </comment>
    <comment ref="M218"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19" authorId="0">
      <text>
        <r>
          <rPr>
            <sz val="9"/>
            <color indexed="81"/>
            <rFont val="Meiryo UI"/>
            <family val="2"/>
          </rPr>
          <t>APIメタデータ: {"ParameterName": "log_error_verbosity", "Description": "Controls verbosity of the server in writing error, warning, and note messages to the error log.", "Source": "engine-default", "ApplyType": "dynamic", "DataType": "integer", "AllowedValues": "1-3", "IsModifiable": true, "ApplyMethod": "pending-reboot", "SupportedEngineModes": ["provisioned"]}</t>
        </r>
      </text>
    </comment>
    <comment ref="E219" authorId="0">
      <text>
        <r>
          <rPr>
            <sz val="9"/>
            <color indexed="81"/>
            <rFont val="Meiryo UI"/>
            <family val="2"/>
          </rPr>
          <t>https://dev.mysql.com/doc/refman/8.4/en/server-system-variables.html#sysvar_log_error_verbosity
Community参考値でありAurora実効値ではありません。</t>
        </r>
      </text>
    </comment>
    <comment ref="M219"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20" authorId="0">
      <text>
        <r>
          <rPr>
            <sz val="9"/>
            <color indexed="81"/>
            <rFont val="Meiryo UI"/>
            <family val="2"/>
          </rPr>
          <t>APIメタデータ: {"ParameterName": "log_output", "ParameterValue": "FILE", "Description": "Controls where to store query logs", "Source": "system", "ApplyType": "dynamic", "DataType": "string", "AllowedValues": "TABLE,FILE,NONE", "IsModifiable": true, "ApplyMethod": "pending-reboot", "SupportedEngineModes": ["provisioned"]}</t>
        </r>
      </text>
    </comment>
    <comment ref="E220" authorId="0">
      <text>
        <r>
          <rPr>
            <sz val="9"/>
            <color indexed="81"/>
            <rFont val="Meiryo UI"/>
            <family val="2"/>
          </rPr>
          <t>https://dev.mysql.com/doc/refman/8.4/en/server-system-variables.html#sysvar_log_output
Community参考値でありAurora実効値ではありません。</t>
        </r>
      </text>
    </comment>
    <comment ref="M220"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21" authorId="0">
      <text>
        <r>
          <rPr>
            <sz val="9"/>
            <color indexed="81"/>
            <rFont val="Meiryo UI"/>
            <family val="2"/>
          </rPr>
          <t>APIメタデータ: {"ParameterName": "log_queries_not_using_indexes", "Description": "Logs queries that are expected to retrieve all rows to slow query log", "Source": "engine-default", "ApplyType": "dynamic", "DataType": "boolean", "AllowedValues": "0,1", "IsModifiable": true, "ApplyMethod": "pending-reboot", "SupportedEngineModes": ["provisioned"]}</t>
        </r>
      </text>
    </comment>
    <comment ref="E221" authorId="0">
      <text>
        <r>
          <rPr>
            <sz val="9"/>
            <color indexed="81"/>
            <rFont val="Meiryo UI"/>
            <family val="2"/>
          </rPr>
          <t>https://dev.mysql.com/doc/refman/8.4/en/server-system-variables.html#sysvar_log_queries_not_using_indexes
Community参考値でありAurora実効値ではありません。</t>
        </r>
      </text>
    </comment>
    <comment ref="M221" authorId="0">
      <text>
        <r>
          <rPr>
            <sz val="9"/>
            <color indexed="81"/>
            <rFont val="Meiryo UI"/>
            <family val="2"/>
          </rPr>
          <t>https://docs.aws.amazon.com/AmazonRDS/latest/APIReference/API_DescribeDBClusterParameters.html
https://dev.mysql.com/doc/refman/8.4/en/server-system-variables.html</t>
        </r>
      </text>
    </comment>
    <comment ref="B222" authorId="0">
      <text>
        <r>
          <rPr>
            <sz val="9"/>
            <color indexed="81"/>
            <rFont val="Meiryo UI"/>
            <family val="2"/>
          </rPr>
          <t>APIメタデータ: {"ParameterName": "log_replica_updates", "ParameterValue": "1", "Description": "log_replica_updates specifies whether updates received by a replica server from a replication source server should be logged to the replica's own binary log.", "Source": "system", "ApplyType": "static", "DataType": "boolean", "AllowedValues": "0,1", "IsModifiable": false, "ApplyMethod": "pending-reboot", "SupportedEngineModes": ["provisioned"]}</t>
        </r>
      </text>
    </comment>
    <comment ref="E222" authorId="0">
      <text>
        <r>
          <rPr>
            <sz val="9"/>
            <color indexed="81"/>
            <rFont val="Meiryo UI"/>
            <family val="2"/>
          </rPr>
          <t>https://dev.mysql.com/doc/refman/8.4/en/replication-options-binary-log.html#sysvar_log_replica_updates
Community参考値でありAurora実効値ではありません。</t>
        </r>
      </text>
    </comment>
    <comment ref="M222"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23" authorId="0">
      <text>
        <r>
          <rPr>
            <sz val="9"/>
            <color indexed="81"/>
            <rFont val="Meiryo UI"/>
            <family val="2"/>
          </rPr>
          <t>APIメタデータ: {"ParameterName": "log_slow_admin_statements", "Description": "Include slow administrative statements in the statements written to the slow query log.", "Source": "engine-default", "ApplyType": "dynamic", "DataType": "boolean", "AllowedValues": "0,1", "IsModifiable": true, "ApplyMethod": "pending-reboot", "SupportedEngineModes": ["provisioned"]}</t>
        </r>
      </text>
    </comment>
    <comment ref="E223" authorId="0">
      <text>
        <r>
          <rPr>
            <sz val="9"/>
            <color indexed="81"/>
            <rFont val="Meiryo UI"/>
            <family val="2"/>
          </rPr>
          <t>https://dev.mysql.com/doc/refman/8.4/en/server-system-variables.html#sysvar_log_slow_admin_statements
Community参考値でありAurora実効値ではありません。</t>
        </r>
      </text>
    </comment>
    <comment ref="M223" authorId="0">
      <text>
        <r>
          <rPr>
            <sz val="9"/>
            <color indexed="81"/>
            <rFont val="Meiryo UI"/>
            <family val="2"/>
          </rPr>
          <t>https://docs.aws.amazon.com/AmazonRDS/latest/APIReference/API_DescribeDBClusterParameters.html
https://dev.mysql.com/doc/refman/8.4/en/server-system-variables.html</t>
        </r>
      </text>
    </comment>
    <comment ref="B224" authorId="0">
      <text>
        <r>
          <rPr>
            <sz val="9"/>
            <color indexed="81"/>
            <rFont val="Meiryo UI"/>
            <family val="2"/>
          </rPr>
          <t>APIメタデータ: {"ParameterName": "log_slow_extra", "Description": "When the slow query log is enabled and the output destination as FILE, additional information related to the slow query is written to the slow query log file. TABLE output is unaffected", "Source": "engine-default", "ApplyType": "dynamic", "DataType": "boolean", "AllowedValues": "0,1", "IsModifiable": true, "ApplyMethod": "pending-reboot", "SupportedEngineModes": ["provisioned"]}</t>
        </r>
      </text>
    </comment>
    <comment ref="E224" authorId="0">
      <text>
        <r>
          <rPr>
            <sz val="9"/>
            <color indexed="81"/>
            <rFont val="Meiryo UI"/>
            <family val="2"/>
          </rPr>
          <t>https://dev.mysql.com/doc/refman/8.4/en/server-system-variables.html#sysvar_log_slow_extra
Community参考値でありAurora実効値ではありません。</t>
        </r>
      </text>
    </comment>
    <comment ref="M224"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25" authorId="0">
      <text>
        <r>
          <rPr>
            <sz val="9"/>
            <color indexed="81"/>
            <rFont val="Meiryo UI"/>
            <family val="2"/>
          </rPr>
          <t>APIメタデータ: {"ParameterName": "log_slow_replica_statements", "Description": "When the slow query log is enabled, this variable enables logging for queries that have taken more than long_query_time seconds to execute on the replica.", "Source": "engine-default", "ApplyType": "dynamic", "DataType": "boolean", "AllowedValues": "0,1", "IsModifiable": true, "ApplyMethod": "pending-reboot", "SupportedEngineModes": ["provisioned"]}</t>
        </r>
      </text>
    </comment>
    <comment ref="E225" authorId="0">
      <text>
        <r>
          <rPr>
            <sz val="9"/>
            <color indexed="81"/>
            <rFont val="Meiryo UI"/>
            <family val="2"/>
          </rPr>
          <t>https://dev.mysql.com/doc/refman/8.4/en/replication-options-replica.html#sysvar_log_slow_replica_statements
Community参考値でありAurora実効値ではありません。</t>
        </r>
      </text>
    </comment>
    <comment ref="M225"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26" authorId="0">
      <text>
        <r>
          <rPr>
            <sz val="9"/>
            <color indexed="81"/>
            <rFont val="Meiryo UI"/>
            <family val="2"/>
          </rPr>
          <t>APIメタデータ: {"ParameterName": "log_throttle_queries_not_using_indexes", "Description": "Limits the number of such queries per minute that can be written to the slow query log.", "Source": "engine-default", "ApplyType": "dynamic", "DataType": "integer", "AllowedValues": "0-4294967295", "IsModifiable": true, "ApplyMethod": "pending-reboot", "SupportedEngineModes": ["provisioned"]}</t>
        </r>
      </text>
    </comment>
    <comment ref="E226" authorId="0">
      <text>
        <r>
          <rPr>
            <sz val="9"/>
            <color indexed="81"/>
            <rFont val="Meiryo UI"/>
            <family val="2"/>
          </rPr>
          <t>https://dev.mysql.com/doc/refman/8.4/en/server-system-variables.html#sysvar_log_throttle_queries_not_using_indexes
Community参考値でありAurora実効値ではありません。</t>
        </r>
      </text>
    </comment>
    <comment ref="M226"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27" authorId="0">
      <text>
        <r>
          <rPr>
            <sz val="9"/>
            <color indexed="81"/>
            <rFont val="Meiryo UI"/>
            <family val="2"/>
          </rPr>
          <t>APIメタデータ: {"ParameterName": "long_query_time", "Description": "Defines what MySQL considers long queries", "Source": "engine-default", "ApplyType": "dynamic", "DataType": "float", "AllowedValues": "0-31536000", "IsModifiable": true, "ApplyMethod": "pending-reboot", "SupportedEngineModes": ["provisioned"]}</t>
        </r>
      </text>
    </comment>
    <comment ref="E227" authorId="0">
      <text>
        <r>
          <rPr>
            <sz val="9"/>
            <color indexed="81"/>
            <rFont val="Meiryo UI"/>
            <family val="2"/>
          </rPr>
          <t>https://dev.mysql.com/doc/refman/8.4/en/server-system-variables.html#sysvar_long_query_time
Community参考値でありAurora実効値ではありません。</t>
        </r>
      </text>
    </comment>
    <comment ref="M227" authorId="0">
      <text>
        <r>
          <rPr>
            <sz val="9"/>
            <color indexed="81"/>
            <rFont val="Meiryo UI"/>
            <family val="2"/>
          </rPr>
          <t>https://docs.aws.amazon.com/AmazonRDS/latest/APIReference/API_DescribeDBClusterParameters.html
https://dev.mysql.com/doc/refman/8.4/en/server-system-variables.html</t>
        </r>
      </text>
    </comment>
    <comment ref="B228" authorId="0">
      <text>
        <r>
          <rPr>
            <sz val="9"/>
            <color indexed="81"/>
            <rFont val="Meiryo UI"/>
            <family val="2"/>
          </rPr>
          <t>APIメタデータ: {"ParameterName": "lower_case_table_names", "Description": "Affects how the server handles identifier case sensitivity", "Source": "engine-default", "ApplyType": "static", "DataType": "integer", "AllowedValues": "0-1", "IsModifiable": true, "ApplyMethod": "pending-reboot", "SupportedEngineModes": ["provisioned"]}</t>
        </r>
      </text>
    </comment>
    <comment ref="E228" authorId="0">
      <text>
        <r>
          <rPr>
            <sz val="9"/>
            <color indexed="81"/>
            <rFont val="Meiryo UI"/>
            <family val="2"/>
          </rPr>
          <t>https://dev.mysql.com/doc/refman/8.4/en/server-system-variables.html#sysvar_lower_case_table_names
Community参考値でありAurora実効値ではありません。</t>
        </r>
      </text>
    </comment>
    <comment ref="M228"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229" authorId="0">
      <text>
        <r>
          <rPr>
            <sz val="9"/>
            <color indexed="81"/>
            <rFont val="Meiryo UI"/>
            <family val="2"/>
          </rPr>
          <t>APIメタデータ: {"ParameterName": "low_priority_updates", "Description": "INSERT, UPDATE, DELETE, and LOCK TABLE WRITE wait until no pending SELECT. Affects only storage engines that use only table-level locking (MyISAM, MEMORY, MERGE).", "Source": "engine-default", "ApplyType": "dynamic", "DataType": "boolean", "AllowedValues": "0,1", "IsModifiable": true, "ApplyMethod": "pending-reboot", "SupportedEngineModes": ["provisioned"]}</t>
        </r>
      </text>
    </comment>
    <comment ref="E229" authorId="0">
      <text>
        <r>
          <rPr>
            <sz val="9"/>
            <color indexed="81"/>
            <rFont val="Meiryo UI"/>
            <family val="2"/>
          </rPr>
          <t>https://dev.mysql.com/doc/refman/8.4/en/server-system-variables.html#sysvar_low_priority_updates
Community参考値でありAurora実効値ではありません。</t>
        </r>
      </text>
    </comment>
    <comment ref="M22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30" authorId="0">
      <text>
        <r>
          <rPr>
            <sz val="9"/>
            <color indexed="81"/>
            <rFont val="Meiryo UI"/>
            <family val="2"/>
          </rPr>
          <t>APIメタデータ: {"ParameterName": "mandatory_roles", "Description": "Roles the server should treat as mandatory. In effect, these roles are automatically granted to every user, although setting mandatory_roles does not actually change any user accounts. Please consult MySQL documentation for more infomation on usage.", "Source": "engine-default", "ApplyType": "dynamic", "DataType": "string", "IsModifiable": true, "ApplyMethod": "pending-reboot", "SupportedEngineModes": ["provisioned"]}</t>
        </r>
      </text>
    </comment>
    <comment ref="E230" authorId="0">
      <text>
        <r>
          <rPr>
            <sz val="9"/>
            <color indexed="81"/>
            <rFont val="Meiryo UI"/>
            <family val="2"/>
          </rPr>
          <t>https://dev.mysql.com/doc/refman/8.4/en/server-system-variables.html#sysvar_mandatory_roles
Community参考値でありAurora実効値ではありません。</t>
        </r>
      </text>
    </comment>
    <comment ref="M23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31" authorId="0">
      <text>
        <r>
          <rPr>
            <sz val="9"/>
            <color indexed="81"/>
            <rFont val="Meiryo UI"/>
            <family val="2"/>
          </rPr>
          <t>APIメタデータ: {"ParameterName": "max_allowed_packet", "Description": "This value by default is small, to catch large (possibly incorrect) packets. Must be increased if using large BLOB columns or long strings. As big as largest BLOB. ", "Source": "engine-default", "ApplyType": "dynamic", "DataType": "integer", "AllowedValues": "1024-1073741824", "IsModifiable": true, "ApplyMethod": "pending-reboot", "SupportedEngineModes": ["provisioned"]}</t>
        </r>
      </text>
    </comment>
    <comment ref="E231" authorId="0">
      <text>
        <r>
          <rPr>
            <sz val="9"/>
            <color indexed="81"/>
            <rFont val="Meiryo UI"/>
            <family val="2"/>
          </rPr>
          <t>https://dev.mysql.com/doc/refman/8.4/en/server-system-variables.html#sysvar_max_allowed_packet
Community参考値でありAurora実効値ではありません。</t>
        </r>
      </text>
    </comment>
    <comment ref="M231" authorId="0">
      <text>
        <r>
          <rPr>
            <sz val="9"/>
            <color indexed="81"/>
            <rFont val="Meiryo UI"/>
            <family val="2"/>
          </rPr>
          <t>https://docs.aws.amazon.com/AmazonRDS/latest/APIReference/API_DescribeDBClusterParameters.html
https://docs.aws.amazon.com/AmazonRDS/latest/AuroraUserGuide/rds-proxy-pinning.html
https://dev.mysql.com/doc/refman/8.4/en/server-system-variables.html</t>
        </r>
      </text>
    </comment>
    <comment ref="B232" authorId="0">
      <text>
        <r>
          <rPr>
            <sz val="9"/>
            <color indexed="81"/>
            <rFont val="Meiryo UI"/>
            <family val="2"/>
          </rPr>
          <t>APIメタデータ: {"ParameterName": "max_binlog_cache_size", "Description": "Maximum binlog cache size a transaction may use", "Source": "engine-default", "ApplyType": "dynamic", "DataType": "integer", "AllowedValues": "4096-18446744073709547520", "IsModifiable": true, "ApplyMethod": "pending-reboot", "SupportedEngineModes": ["provisioned"]}</t>
        </r>
      </text>
    </comment>
    <comment ref="E232" authorId="0">
      <text>
        <r>
          <rPr>
            <sz val="9"/>
            <color indexed="81"/>
            <rFont val="Meiryo UI"/>
            <family val="2"/>
          </rPr>
          <t>https://dev.mysql.com/doc/refman/8.4/en/replication-options-binary-log.html#sysvar_max_binlog_cache_size
Community参考値でありAurora実効値ではありません。</t>
        </r>
      </text>
    </comment>
    <comment ref="M232"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233" authorId="0">
      <text>
        <r>
          <rPr>
            <sz val="9"/>
            <color indexed="81"/>
            <rFont val="Meiryo UI"/>
            <family val="2"/>
          </rPr>
          <t>APIメタデータ: {"ParameterName": "max_binlog_size", "ParameterValue": "134217728", "Description": "Server rotates the binlog once it reaches this size", "Source": "system", "ApplyType": "dynamic", "DataType": "integer", "AllowedValues": "4096-1073741824", "IsModifiable": false, "ApplyMethod": "pending-reboot", "SupportedEngineModes": ["provisioned"]}</t>
        </r>
      </text>
    </comment>
    <comment ref="E233" authorId="0">
      <text>
        <r>
          <rPr>
            <sz val="9"/>
            <color indexed="81"/>
            <rFont val="Meiryo UI"/>
            <family val="2"/>
          </rPr>
          <t>https://dev.mysql.com/doc/refman/8.4/en/replication-options-binary-log.html#sysvar_max_binlog_size
Community参考値でありAurora実効値ではありません。</t>
        </r>
      </text>
    </comment>
    <comment ref="M23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34" authorId="0">
      <text>
        <r>
          <rPr>
            <sz val="9"/>
            <color indexed="81"/>
            <rFont val="Meiryo UI"/>
            <family val="2"/>
          </rPr>
          <t>APIメタデータ: {"ParameterName": "max_binlog_stmt_cache_size", "Description": "If nontransactional statements within a transaction require more than this many bytes of memory, the server generates an error.", "Source": "engine-default", "ApplyType": "dynamic", "DataType": "integer", "AllowedValues": "4096-18446744073709547520", "IsModifiable": true, "ApplyMethod": "pending-reboot", "SupportedEngineModes": ["provisioned"]}</t>
        </r>
      </text>
    </comment>
    <comment ref="E234" authorId="0">
      <text>
        <r>
          <rPr>
            <sz val="9"/>
            <color indexed="81"/>
            <rFont val="Meiryo UI"/>
            <family val="2"/>
          </rPr>
          <t>https://dev.mysql.com/doc/refman/8.4/en/replication-options-binary-log.html#sysvar_max_binlog_stmt_cache_size
Community参考値でありAurora実効値ではありません。</t>
        </r>
      </text>
    </comment>
    <comment ref="M234"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235" authorId="0">
      <text>
        <r>
          <rPr>
            <sz val="9"/>
            <color indexed="81"/>
            <rFont val="Meiryo UI"/>
            <family val="2"/>
          </rPr>
          <t>APIメタデータ: {"ParameterName": "max_connect_errors", "Description": "A host is blocked from further connections if there are more than this number of interrupted connections", "Source": "engine-default", "ApplyType": "dynamic", "DataType": "integer", "AllowedValues": "1-18446744073709547520", "IsModifiable": true, "ApplyMethod": "pending-reboot", "SupportedEngineModes": ["provisioned"]}</t>
        </r>
      </text>
    </comment>
    <comment ref="E235" authorId="0">
      <text>
        <r>
          <rPr>
            <sz val="9"/>
            <color indexed="81"/>
            <rFont val="Meiryo UI"/>
            <family val="2"/>
          </rPr>
          <t>https://dev.mysql.com/doc/refman/8.4/en/server-system-variables.html#sysvar_max_connect_errors
Community参考値でありAurora実効値ではありません。</t>
        </r>
      </text>
    </comment>
    <comment ref="M23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36" authorId="0">
      <text>
        <r>
          <rPr>
            <sz val="9"/>
            <color indexed="81"/>
            <rFont val="Meiryo UI"/>
            <family val="2"/>
          </rPr>
          <t>APIメタデータ: {"ParameterName": "max_connections", "ParameterValue": "GREATEST({log(DBInstanceClassMemory/805306368)*45},{log(DBInstanceClassMemory/8187281408)*1000})", "Description": "The number of simultaneous client connections allowed.", "Source": "system", "ApplyType": "dynamic", "DataType": "integer", "AllowedValues": "1-50000", "IsModifiable": true, "ApplyMethod": "pending-reboot", "SupportedEngineModes": ["provisioned"]}</t>
        </r>
      </text>
    </comment>
    <comment ref="E236" authorId="0">
      <text>
        <r>
          <rPr>
            <sz val="9"/>
            <color indexed="81"/>
            <rFont val="Meiryo UI"/>
            <family val="2"/>
          </rPr>
          <t>https://dev.mysql.com/doc/refman/8.4/en/server-system-variables.html#sysvar_max_connections
Community参考値でありAurora実効値ではありません。</t>
        </r>
      </text>
    </comment>
    <comment ref="M236"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https://docs.aws.amazon.com/AmazonRDS/latest/AuroraUserGuide/rds-proxy.html</t>
        </r>
      </text>
    </comment>
    <comment ref="B237" authorId="0">
      <text>
        <r>
          <rPr>
            <sz val="9"/>
            <color indexed="81"/>
            <rFont val="Meiryo UI"/>
            <family val="2"/>
          </rPr>
          <t>APIメタデータ: {"ParameterName": "max_delayed_threads", "Description": "Do not start more than this number of threads to handle INSERT DELAYED statements.", "Source": "engine-default", "ApplyType": "dynamic", "DataType": "integer", "AllowedValues": "0-16384", "IsModifiable": true, "ApplyMethod": "pending-reboot", "SupportedEngineModes": ["provisioned"]}</t>
        </r>
      </text>
    </comment>
    <comment ref="E237" authorId="0">
      <text>
        <r>
          <rPr>
            <sz val="9"/>
            <color indexed="81"/>
            <rFont val="Meiryo UI"/>
            <family val="2"/>
          </rPr>
          <t>https://dev.mysql.com/doc/refman/8.4/en/server-system-variables.html#sysvar_max_delayed_threads
Community参考値でありAurora実効値ではありません。</t>
        </r>
      </text>
    </comment>
    <comment ref="M23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38" authorId="0">
      <text>
        <r>
          <rPr>
            <sz val="9"/>
            <color indexed="81"/>
            <rFont val="Meiryo UI"/>
            <family val="2"/>
          </rPr>
          <t>APIメタデータ: {"ParameterName": "max_digest_length", "Description": "The maximum number of bytes available for computing statement digests.", "Source": "engine-default", "ApplyType": "static", "DataType": "integer", "AllowedValues": "0-1048576", "IsModifiable": true, "ApplyMethod": "pending-reboot", "SupportedEngineModes": ["provisioned"]}</t>
        </r>
      </text>
    </comment>
    <comment ref="E238" authorId="0">
      <text>
        <r>
          <rPr>
            <sz val="9"/>
            <color indexed="81"/>
            <rFont val="Meiryo UI"/>
            <family val="2"/>
          </rPr>
          <t>https://dev.mysql.com/doc/refman/8.4/en/server-system-variables.html#sysvar_max_digest_length
Community参考値でありAurora実効値ではありません。</t>
        </r>
      </text>
    </comment>
    <comment ref="M23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39" authorId="0">
      <text>
        <r>
          <rPr>
            <sz val="9"/>
            <color indexed="81"/>
            <rFont val="Meiryo UI"/>
            <family val="2"/>
          </rPr>
          <t>APIメタデータ: {"ParameterName": "max_error_count", "Description": "The maximum number of error, warning, and note messages to be stored for display.", "Source": "engine-default", "ApplyType": "dynamic", "DataType": "integer", "AllowedValues": "0-65535", "IsModifiable": true, "ApplyMethod": "pending-reboot", "SupportedEngineModes": ["provisioned"]}</t>
        </r>
      </text>
    </comment>
    <comment ref="E239" authorId="0">
      <text>
        <r>
          <rPr>
            <sz val="9"/>
            <color indexed="81"/>
            <rFont val="Meiryo UI"/>
            <family val="2"/>
          </rPr>
          <t>https://dev.mysql.com/doc/refman/8.4/en/server-system-variables.html#sysvar_max_error_count
Community参考値でありAurora実効値ではありません。</t>
        </r>
      </text>
    </comment>
    <comment ref="M23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40" authorId="0">
      <text>
        <r>
          <rPr>
            <sz val="9"/>
            <color indexed="81"/>
            <rFont val="Meiryo UI"/>
            <family val="2"/>
          </rPr>
          <t>APIメタデータ: {"ParameterName": "max_execution_time", "Description": "The execution timeout for SELECT statements, in milliseconds.", "Source": "engine-default", "ApplyType": "dynamic", "DataType": "integer", "AllowedValues": "0-18446744073709551615", "IsModifiable": true, "ApplyMethod": "pending-reboot", "SupportedEngineModes": ["provisioned"]}</t>
        </r>
      </text>
    </comment>
    <comment ref="E240" authorId="0">
      <text>
        <r>
          <rPr>
            <sz val="9"/>
            <color indexed="81"/>
            <rFont val="Meiryo UI"/>
            <family val="2"/>
          </rPr>
          <t>https://dev.mysql.com/doc/refman/8.4/en/server-system-variables.html#sysvar_max_execution_time
Community参考値でありAurora実効値ではありません。</t>
        </r>
      </text>
    </comment>
    <comment ref="M240" authorId="0">
      <text>
        <r>
          <rPr>
            <sz val="9"/>
            <color indexed="81"/>
            <rFont val="Meiryo UI"/>
            <family val="2"/>
          </rPr>
          <t>https://docs.aws.amazon.com/AmazonRDS/latest/APIReference/API_DescribeDBClusterParameters.html
https://dev.mysql.com/doc/refman/8.4/en/server-system-variables.html</t>
        </r>
      </text>
    </comment>
    <comment ref="B241" authorId="0">
      <text>
        <r>
          <rPr>
            <sz val="9"/>
            <color indexed="81"/>
            <rFont val="Meiryo UI"/>
            <family val="2"/>
          </rPr>
          <t>APIメタデータ: {"ParameterName": "max_heap_table_size", "Description": "Maximum size to which MEMORY tables are allowed to grow.", "Source": "engine-default", "ApplyType": "dynamic", "DataType": "integer", "AllowedValues": "16384-1844674407370954752", "IsModifiable": true, "ApplyMethod": "pending-reboot", "SupportedEngineModes": ["provisioned"]}</t>
        </r>
      </text>
    </comment>
    <comment ref="E241" authorId="0">
      <text>
        <r>
          <rPr>
            <sz val="9"/>
            <color indexed="81"/>
            <rFont val="Meiryo UI"/>
            <family val="2"/>
          </rPr>
          <t>https://dev.mysql.com/doc/refman/8.4/en/server-system-variables.html#sysvar_max_heap_table_size
Community参考値でありAurora実効値ではありません。</t>
        </r>
      </text>
    </comment>
    <comment ref="M241"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242" authorId="0">
      <text>
        <r>
          <rPr>
            <sz val="9"/>
            <color indexed="81"/>
            <rFont val="Meiryo UI"/>
            <family val="2"/>
          </rPr>
          <t>APIメタデータ: {"ParameterName": "max_insert_delayed_threads", "Description": "Synonym for max_delayed_threads", "Source": "engine-default", "ApplyType": "dynamic", "DataType": "integer", "AllowedValues": "0-16384", "IsModifiable": true, "ApplyMethod": "pending-reboot", "SupportedEngineModes": ["provisioned"]}</t>
        </r>
      </text>
    </comment>
    <comment ref="E242" authorId="0">
      <text>
        <r>
          <rPr>
            <sz val="9"/>
            <color indexed="81"/>
            <rFont val="Meiryo UI"/>
            <family val="2"/>
          </rPr>
          <t>https://dev.mysql.com/doc/refman/8.4/en/server-system-variables.html#sysvar_max_insert_delayed_threads
Community参考値でありAurora実効値ではありません。</t>
        </r>
      </text>
    </comment>
    <comment ref="M24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43" authorId="0">
      <text>
        <r>
          <rPr>
            <sz val="9"/>
            <color indexed="81"/>
            <rFont val="Meiryo UI"/>
            <family val="2"/>
          </rPr>
          <t>APIメタデータ: {"ParameterName": "max_join_size", "Description": "Catch SELECT statements where keys are not used properly and would probably take a long time. ", "Source": "engine-default", "ApplyType": "dynamic", "DataType": "integer", "AllowedValues": "1-18446744073709551615", "IsModifiable": true, "ApplyMethod": "pending-reboot", "SupportedEngineModes": ["provisioned"]}</t>
        </r>
      </text>
    </comment>
    <comment ref="E243" authorId="0">
      <text>
        <r>
          <rPr>
            <sz val="9"/>
            <color indexed="81"/>
            <rFont val="Meiryo UI"/>
            <family val="2"/>
          </rPr>
          <t>https://dev.mysql.com/doc/refman/8.4/en/server-system-variables.html#sysvar_max_join_size
Community参考値でありAurora実効値ではありません。</t>
        </r>
      </text>
    </comment>
    <comment ref="M243" authorId="0">
      <text>
        <r>
          <rPr>
            <sz val="9"/>
            <color indexed="81"/>
            <rFont val="Meiryo UI"/>
            <family val="2"/>
          </rPr>
          <t>https://docs.aws.amazon.com/AmazonRDS/latest/APIReference/API_DescribeDBClusterParameters.html
https://dev.mysql.com/doc/refman/8.4/en/server-system-variables.html</t>
        </r>
      </text>
    </comment>
    <comment ref="B244" authorId="0">
      <text>
        <r>
          <rPr>
            <sz val="9"/>
            <color indexed="81"/>
            <rFont val="Meiryo UI"/>
            <family val="2"/>
          </rPr>
          <t>APIメタデータ: {"ParameterName": "max_points_in_geometry", "Description": "The maximum value of the points_per_circle argument to the ST_Buffer_Strategy() function.", "Source": "engine-default", "ApplyType": "dynamic", "DataType": "integer", "AllowedValues": "3-1048576", "IsModifiable": false, "ApplyMethod": "pending-reboot", "SupportedEngineModes": ["provisioned"]}</t>
        </r>
      </text>
    </comment>
    <comment ref="E244" authorId="0">
      <text>
        <r>
          <rPr>
            <sz val="9"/>
            <color indexed="81"/>
            <rFont val="Meiryo UI"/>
            <family val="2"/>
          </rPr>
          <t>https://dev.mysql.com/doc/refman/8.4/en/server-system-variables.html#sysvar_max_points_in_geometry
Community参考値でありAurora実効値ではありません。</t>
        </r>
      </text>
    </comment>
    <comment ref="M24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45" authorId="0">
      <text>
        <r>
          <rPr>
            <sz val="9"/>
            <color indexed="81"/>
            <rFont val="Meiryo UI"/>
            <family val="2"/>
          </rPr>
          <t>APIメタデータ: {"ParameterName": "max_prepared_stmt_count", "Description": "Used if the potential for denial-of-service attacks based on running the server out of memory by preparing huge numbers of statements.", "Source": "engine-default", "ApplyType": "dynamic", "DataType": "integer", "AllowedValues": "0-4194304", "IsModifiable": true, "ApplyMethod": "pending-reboot", "SupportedEngineModes": ["provisioned"]}</t>
        </r>
      </text>
    </comment>
    <comment ref="E245" authorId="0">
      <text>
        <r>
          <rPr>
            <sz val="9"/>
            <color indexed="81"/>
            <rFont val="Meiryo UI"/>
            <family val="2"/>
          </rPr>
          <t>https://dev.mysql.com/doc/refman/8.4/en/server-system-variables.html#sysvar_max_prepared_stmt_count
Community参考値でありAurora実効値ではありません。</t>
        </r>
      </text>
    </comment>
    <comment ref="M24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46" authorId="0">
      <text>
        <r>
          <rPr>
            <sz val="9"/>
            <color indexed="81"/>
            <rFont val="Meiryo UI"/>
            <family val="2"/>
          </rPr>
          <t>APIメタデータ: {"ParameterName": "max_seeks_for_key", "Description": "A low value can force MySQL to prefer indexes instead of table scans.", "Source": "engine-default", "ApplyType": "dynamic", "DataType": "integer", "AllowedValues": "1-18446744073709547520", "IsModifiable": true, "ApplyMethod": "pending-reboot", "SupportedEngineModes": ["provisioned"]}</t>
        </r>
      </text>
    </comment>
    <comment ref="E246" authorId="0">
      <text>
        <r>
          <rPr>
            <sz val="9"/>
            <color indexed="81"/>
            <rFont val="Meiryo UI"/>
            <family val="2"/>
          </rPr>
          <t>https://dev.mysql.com/doc/refman/8.4/en/server-system-variables.html#sysvar_max_seeks_for_key
Community参考値でありAurora実効値ではありません。</t>
        </r>
      </text>
    </comment>
    <comment ref="M24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47" authorId="0">
      <text>
        <r>
          <rPr>
            <sz val="9"/>
            <color indexed="81"/>
            <rFont val="Meiryo UI"/>
            <family val="2"/>
          </rPr>
          <t>APIメタデータ: {"ParameterName": "max_sort_length", "Description": "The number of bytes to use when sorting BLOB or TEXT values.", "Source": "engine-default", "ApplyType": "dynamic", "DataType": "integer", "AllowedValues": "4-8388608", "IsModifiable": true, "ApplyMethod": "pending-reboot", "SupportedEngineModes": ["provisioned"]}</t>
        </r>
      </text>
    </comment>
    <comment ref="E247" authorId="0">
      <text>
        <r>
          <rPr>
            <sz val="9"/>
            <color indexed="81"/>
            <rFont val="Meiryo UI"/>
            <family val="2"/>
          </rPr>
          <t>https://dev.mysql.com/doc/refman/8.4/en/server-system-variables.html#sysvar_max_sort_length
Community参考値でありAurora実効値ではありません。</t>
        </r>
      </text>
    </comment>
    <comment ref="M24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48" authorId="0">
      <text>
        <r>
          <rPr>
            <sz val="9"/>
            <color indexed="81"/>
            <rFont val="Meiryo UI"/>
            <family val="2"/>
          </rPr>
          <t>APIメタデータ: {"ParameterName": "max_sp_recursion_depth", "Description": "Limits the number of times a stored procedure can be called recursively minimizing the demand on thread stack space.", "Source": "engine-default", "ApplyType": "dynamic", "DataType": "integer", "AllowedValues": "0-255", "IsModifiable": true, "ApplyMethod": "pending-reboot", "SupportedEngineModes": ["provisioned"]}</t>
        </r>
      </text>
    </comment>
    <comment ref="E248" authorId="0">
      <text>
        <r>
          <rPr>
            <sz val="9"/>
            <color indexed="81"/>
            <rFont val="Meiryo UI"/>
            <family val="2"/>
          </rPr>
          <t>https://dev.mysql.com/doc/refman/8.4/en/server-system-variables.html#sysvar_max_sp_recursion_depth
Community参考値でありAurora実効値ではありません。</t>
        </r>
      </text>
    </comment>
    <comment ref="M24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49" authorId="0">
      <text>
        <r>
          <rPr>
            <sz val="9"/>
            <color indexed="81"/>
            <rFont val="Meiryo UI"/>
            <family val="2"/>
          </rPr>
          <t>APIメタデータ: {"ParameterName": "max_user_connections", "Description": "Maximum number of simultaneous connections allowed to any given MySQL account. ", "Source": "engine-default", "ApplyType": "dynamic", "DataType": "integer", "AllowedValues": "0-4294967295", "IsModifiable": true, "ApplyMethod": "pending-reboot", "SupportedEngineModes": ["provisioned"]}</t>
        </r>
      </text>
    </comment>
    <comment ref="E249" authorId="0">
      <text>
        <r>
          <rPr>
            <sz val="9"/>
            <color indexed="81"/>
            <rFont val="Meiryo UI"/>
            <family val="2"/>
          </rPr>
          <t>https://dev.mysql.com/doc/refman/8.4/en/server-system-variables.html#sysvar_max_user_connections
Community参考値でありAurora実効値ではありません。</t>
        </r>
      </text>
    </comment>
    <comment ref="M249" authorId="0">
      <text>
        <r>
          <rPr>
            <sz val="9"/>
            <color indexed="81"/>
            <rFont val="Meiryo UI"/>
            <family val="2"/>
          </rPr>
          <t>https://docs.aws.amazon.com/AmazonRDS/latest/APIReference/API_DescribeDBClusterParameters.html
https://dev.mysql.com/doc/refman/8.4/en/server-system-variables.html
https://docs.aws.amazon.com/AmazonRDS/latest/AuroraUserGuide/rds-proxy-connections.html</t>
        </r>
      </text>
    </comment>
    <comment ref="B250" authorId="0">
      <text>
        <r>
          <rPr>
            <sz val="9"/>
            <color indexed="81"/>
            <rFont val="Meiryo UI"/>
            <family val="2"/>
          </rPr>
          <t>APIメタデータ: {"ParameterName": "max_write_lock_count", "Description": "After this many write locks, allow some pending read lock requests to be processed in between.", "Source": "engine-default", "ApplyType": "dynamic", "DataType": "integer", "AllowedValues": "1-18446744073709547520", "IsModifiable": true, "ApplyMethod": "pending-reboot", "SupportedEngineModes": ["provisioned"]}</t>
        </r>
      </text>
    </comment>
    <comment ref="E250" authorId="0">
      <text>
        <r>
          <rPr>
            <sz val="9"/>
            <color indexed="81"/>
            <rFont val="Meiryo UI"/>
            <family val="2"/>
          </rPr>
          <t>https://dev.mysql.com/doc/refman/8.4/en/server-system-variables.html#sysvar_max_write_lock_count
Community参考値でありAurora実効値ではありません。</t>
        </r>
      </text>
    </comment>
    <comment ref="M25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51" authorId="0">
      <text>
        <r>
          <rPr>
            <sz val="9"/>
            <color indexed="81"/>
            <rFont val="Meiryo UI"/>
            <family val="2"/>
          </rPr>
          <t>APIメタデータ: {"ParameterName": "min_examined_row_limit", "Description": "Can be used to cause queries which examine fewer than the stated number of rows not to be logged.", "Source": "engine-default", "ApplyType": "dynamic", "DataType": "integer", "AllowedValues": "0-18446744073709547520", "IsModifiable": true, "ApplyMethod": "pending-reboot", "SupportedEngineModes": ["provisioned"]}</t>
        </r>
      </text>
    </comment>
    <comment ref="E251" authorId="0">
      <text>
        <r>
          <rPr>
            <sz val="9"/>
            <color indexed="81"/>
            <rFont val="Meiryo UI"/>
            <family val="2"/>
          </rPr>
          <t>https://dev.mysql.com/doc/refman/8.4/en/server-system-variables.html#sysvar_min_examined_row_limit
Community参考値でありAurora実効値ではありません。</t>
        </r>
      </text>
    </comment>
    <comment ref="M25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52" authorId="0">
      <text>
        <r>
          <rPr>
            <sz val="9"/>
            <color indexed="81"/>
            <rFont val="Meiryo UI"/>
            <family val="2"/>
          </rPr>
          <t>APIメタデータ: {"ParameterName": "myisam_data_pointer_size", "Description": "The default pointer size in bytes, to be used by CREATE TABLE for MyISAM tables when no MAX_ROWS option is specified.", "Source": "engine-default", "ApplyType": "dynamic", "DataType": "integer", "AllowedValues": "2-7", "IsModifiable": true, "ApplyMethod": "pending-reboot", "SupportedEngineModes": ["provisioned"]}</t>
        </r>
      </text>
    </comment>
    <comment ref="E252" authorId="0">
      <text>
        <r>
          <rPr>
            <sz val="9"/>
            <color indexed="81"/>
            <rFont val="Meiryo UI"/>
            <family val="2"/>
          </rPr>
          <t>https://dev.mysql.com/doc/refman/8.4/en/server-system-variables.html#sysvar_myisam_data_pointer_size
Community参考値でありAurora実効値ではありません。</t>
        </r>
      </text>
    </comment>
    <comment ref="M25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53" authorId="0">
      <text>
        <r>
          <rPr>
            <sz val="9"/>
            <color indexed="81"/>
            <rFont val="Meiryo UI"/>
            <family val="2"/>
          </rPr>
          <t>APIメタデータ: {"ParameterName": "myisam_max_sort_file_size", "Description": "The maximum size of the temporary file that MySQL is allowed to use while re-creating a MyISAM index", "Source": "engine-default", "ApplyType": "dynamic", "DataType": "integer", "AllowedValues": "0-9223372036853727232", "IsModifiable": true, "ApplyMethod": "pending-reboot", "SupportedEngineModes": ["provisioned"]}</t>
        </r>
      </text>
    </comment>
    <comment ref="E253" authorId="0">
      <text>
        <r>
          <rPr>
            <sz val="9"/>
            <color indexed="81"/>
            <rFont val="Meiryo UI"/>
            <family val="2"/>
          </rPr>
          <t>https://dev.mysql.com/doc/refman/8.4/en/server-system-variables.html#sysvar_myisam_max_sort_file_size
Community参考値でありAurora実効値ではありません。</t>
        </r>
      </text>
    </comment>
    <comment ref="M25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54" authorId="0">
      <text>
        <r>
          <rPr>
            <sz val="9"/>
            <color indexed="81"/>
            <rFont val="Meiryo UI"/>
            <family val="2"/>
          </rPr>
          <t>APIメタデータ: {"ParameterName": "myisam_mmap_size", "Description": "Maximum amount of memory to use for memory mapping compressed MyISAM files", "Source": "engine-default", "ApplyType": "static", "DataType": "integer", "AllowedValues": "7-922337203685477807", "IsModifiable": true, "ApplyMethod": "pending-reboot", "SupportedEngineModes": ["provisioned"]}</t>
        </r>
      </text>
    </comment>
    <comment ref="E254" authorId="0">
      <text>
        <r>
          <rPr>
            <sz val="9"/>
            <color indexed="81"/>
            <rFont val="Meiryo UI"/>
            <family val="2"/>
          </rPr>
          <t>https://dev.mysql.com/doc/refman/8.4/en/server-system-variables.html#sysvar_myisam_mmap_size
Community参考値でありAurora実効値ではありません。</t>
        </r>
      </text>
    </comment>
    <comment ref="M25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55" authorId="0">
      <text>
        <r>
          <rPr>
            <sz val="9"/>
            <color indexed="81"/>
            <rFont val="Meiryo UI"/>
            <family val="2"/>
          </rPr>
          <t>APIメタデータ: {"ParameterName": "myisam_sort_buffer_size", "Description": "Size of the buffer that is allocated when sorting MyISAM indexes during a REPAIR TABLE or when creating indexes with CREATE INDEX or ALTER TABLE.", "Source": "engine-default", "ApplyType": "dynamic", "DataType": "integer", "AllowedValues": "4-9223372036854775807", "IsModifiable": true, "ApplyMethod": "pending-reboot", "SupportedEngineModes": ["provisioned"]}</t>
        </r>
      </text>
    </comment>
    <comment ref="E255" authorId="0">
      <text>
        <r>
          <rPr>
            <sz val="9"/>
            <color indexed="81"/>
            <rFont val="Meiryo UI"/>
            <family val="2"/>
          </rPr>
          <t>https://dev.mysql.com/doc/refman/8.4/en/server-system-variables.html#sysvar_myisam_sort_buffer_size
Community参考値でありAurora実効値ではありません。</t>
        </r>
      </text>
    </comment>
    <comment ref="M25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56" authorId="0">
      <text>
        <r>
          <rPr>
            <sz val="9"/>
            <color indexed="81"/>
            <rFont val="Meiryo UI"/>
            <family val="2"/>
          </rPr>
          <t>APIメタデータ: {"ParameterName": "myisam_stats_method", "Description": "How the server treats NULL values when collecting statistics about the distribution of index values for MyISAM tables", "Source": "engine-default", "ApplyType": "dynamic", "DataType": "string", "AllowedValues": "nulls_equal,nulls_unequal,nulls_ignored", "IsModifiable": true, "ApplyMethod": "pending-reboot", "SupportedEngineModes": ["provisioned"]}</t>
        </r>
      </text>
    </comment>
    <comment ref="E256" authorId="0">
      <text>
        <r>
          <rPr>
            <sz val="9"/>
            <color indexed="81"/>
            <rFont val="Meiryo UI"/>
            <family val="2"/>
          </rPr>
          <t>https://dev.mysql.com/doc/refman/8.4/en/server-system-variables.html#sysvar_myisam_stats_method
Community参考値でありAurora実効値ではありません。</t>
        </r>
      </text>
    </comment>
    <comment ref="M25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57" authorId="0">
      <text>
        <r>
          <rPr>
            <sz val="9"/>
            <color indexed="81"/>
            <rFont val="Meiryo UI"/>
            <family val="2"/>
          </rPr>
          <t>APIメタデータ: {"ParameterName": "myisam_use_mmap", "Description": "Memory mapping for reading and writing MyISAM tables.", "Source": "engine-default", "ApplyType": "dynamic", "DataType": "boolean", "AllowedValues": "0,1", "IsModifiable": true, "ApplyMethod": "pending-reboot", "SupportedEngineModes": ["provisioned"]}</t>
        </r>
      </text>
    </comment>
    <comment ref="E257" authorId="0">
      <text>
        <r>
          <rPr>
            <sz val="9"/>
            <color indexed="81"/>
            <rFont val="Meiryo UI"/>
            <family val="2"/>
          </rPr>
          <t>https://dev.mysql.com/doc/refman/8.4/en/server-system-variables.html#sysvar_myisam_use_mmap
Community参考値でありAurora実効値ではありません。</t>
        </r>
      </text>
    </comment>
    <comment ref="M257"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58" authorId="0">
      <text>
        <r>
          <rPr>
            <sz val="9"/>
            <color indexed="81"/>
            <rFont val="Meiryo UI"/>
            <family val="2"/>
          </rPr>
          <t>APIメタデータ: {"ParameterName": "mysql_native_password", "ParameterValue": "ON", "Description": "Enables the mysql_native_password authentication plugin.", "Source": "system", "ApplyType": "static", "DataType": "string", "AllowedValues": "OFF,ON", "IsModifiable": false, "ApplyMethod": "pending-reboot", "SupportedEngineModes": ["provisioned"]}</t>
        </r>
      </text>
    </comment>
    <comment ref="M258"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259" authorId="0">
      <text>
        <r>
          <rPr>
            <sz val="9"/>
            <color indexed="81"/>
            <rFont val="Meiryo UI"/>
            <family val="2"/>
          </rPr>
          <t>APIメタデータ: {"ParameterName": "mysql_native_password_proxy_users", "Description": "This variable controls whether the mysql_native_password built-in authentication plugin supports proxy users.", "Source": "engine-default", "ApplyType": "dynamic", "DataType": "boolean", "AllowedValues": "0,1", "IsModifiable": true, "ApplyMethod": "pending-reboot", "SupportedEngineModes": ["provisioned"]}</t>
        </r>
      </text>
    </comment>
    <comment ref="E259" authorId="0">
      <text>
        <r>
          <rPr>
            <sz val="9"/>
            <color indexed="81"/>
            <rFont val="Meiryo UI"/>
            <family val="2"/>
          </rPr>
          <t>https://dev.mysql.com/doc/refman/8.4/en/server-system-variables.html#sysvar_mysql_native_password_proxy_users
Community参考値でありAurora実効値ではありません。</t>
        </r>
      </text>
    </comment>
    <comment ref="M259"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260" authorId="0">
      <text>
        <r>
          <rPr>
            <sz val="9"/>
            <color indexed="81"/>
            <rFont val="Meiryo UI"/>
            <family val="2"/>
          </rPr>
          <t>APIメタデータ: {"ParameterName": "net_buffer_length", "Description": "This variable should not normally be changed. For use when very little memory is available. Set it to the expected length of statements sent by clients.", "Source": "engine-default", "ApplyType": "dynamic", "DataType": "integer", "AllowedValues": "1024-1048576", "IsModifiable": true, "ApplyMethod": "pending-reboot", "SupportedEngineModes": ["provisioned"]}</t>
        </r>
      </text>
    </comment>
    <comment ref="E260" authorId="0">
      <text>
        <r>
          <rPr>
            <sz val="9"/>
            <color indexed="81"/>
            <rFont val="Meiryo UI"/>
            <family val="2"/>
          </rPr>
          <t>https://dev.mysql.com/doc/refman/8.4/en/server-system-variables.html#sysvar_net_buffer_length
Community参考値でありAurora実効値ではありません。</t>
        </r>
      </text>
    </comment>
    <comment ref="M260"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261" authorId="0">
      <text>
        <r>
          <rPr>
            <sz val="9"/>
            <color indexed="81"/>
            <rFont val="Meiryo UI"/>
            <family val="2"/>
          </rPr>
          <t>APIメタデータ: {"ParameterName": "net_read_timeout", "Description": "The number of seconds to wait for more data from a TCP/IP connection before aborting the read.", "Source": "engine-default", "ApplyType": "dynamic", "DataType": "integer", "AllowedValues": "1-31536000", "IsModifiable": true, "ApplyMethod": "pending-reboot", "SupportedEngineModes": ["provisioned"]}</t>
        </r>
      </text>
    </comment>
    <comment ref="E261" authorId="0">
      <text>
        <r>
          <rPr>
            <sz val="9"/>
            <color indexed="81"/>
            <rFont val="Meiryo UI"/>
            <family val="2"/>
          </rPr>
          <t>https://dev.mysql.com/doc/refman/8.4/en/server-system-variables.html#sysvar_net_read_timeout
Community参考値でありAurora実効値ではありません。</t>
        </r>
      </text>
    </comment>
    <comment ref="M261" authorId="0">
      <text>
        <r>
          <rPr>
            <sz val="9"/>
            <color indexed="81"/>
            <rFont val="Meiryo UI"/>
            <family val="2"/>
          </rPr>
          <t>https://docs.aws.amazon.com/AmazonRDS/latest/APIReference/API_DescribeDBClusterParameters.html
https://dev.mysql.com/doc/refman/8.4/en/server-system-variables.html</t>
        </r>
      </text>
    </comment>
    <comment ref="B262" authorId="0">
      <text>
        <r>
          <rPr>
            <sz val="9"/>
            <color indexed="81"/>
            <rFont val="Meiryo UI"/>
            <family val="2"/>
          </rPr>
          <t>APIメタデータ: {"ParameterName": "net_retry_count", "Description": "If a read on a communication port is interrupted, retry this many times before giving up. This value should be set quite high on freebsd because internal interrupts are sent to all threads. ", "Source": "engine-default", "ApplyType": "dynamic", "DataType": "integer", "AllowedValues": "1-9223372036854775807", "IsModifiable": true, "ApplyMethod": "pending-reboot", "SupportedEngineModes": ["provisioned"]}</t>
        </r>
      </text>
    </comment>
    <comment ref="E262" authorId="0">
      <text>
        <r>
          <rPr>
            <sz val="9"/>
            <color indexed="81"/>
            <rFont val="Meiryo UI"/>
            <family val="2"/>
          </rPr>
          <t>https://dev.mysql.com/doc/refman/8.4/en/server-system-variables.html#sysvar_net_retry_count
Community参考値でありAurora実効値ではありません。</t>
        </r>
      </text>
    </comment>
    <comment ref="M262" authorId="0">
      <text>
        <r>
          <rPr>
            <sz val="9"/>
            <color indexed="81"/>
            <rFont val="Meiryo UI"/>
            <family val="2"/>
          </rPr>
          <t>https://docs.aws.amazon.com/AmazonRDS/latest/APIReference/API_DescribeDBClusterParameters.html
https://dev.mysql.com/doc/refman/8.4/en/server-system-variables.html
https://dev.mysql.com/doc/refman/8.4/en/innodb-parameters.html</t>
        </r>
      </text>
    </comment>
    <comment ref="B263" authorId="0">
      <text>
        <r>
          <rPr>
            <sz val="9"/>
            <color indexed="81"/>
            <rFont val="Meiryo UI"/>
            <family val="2"/>
          </rPr>
          <t>APIメタデータ: {"ParameterName": "net_write_timeout", "Description": "The number of seconds to wait on TCP/IP connections for a block to be written before aborting the write. ", "Source": "engine-default", "ApplyType": "dynamic", "DataType": "integer", "AllowedValues": "1-31536000", "IsModifiable": true, "ApplyMethod": "pending-reboot", "SupportedEngineModes": ["provisioned"]}</t>
        </r>
      </text>
    </comment>
    <comment ref="E263" authorId="0">
      <text>
        <r>
          <rPr>
            <sz val="9"/>
            <color indexed="81"/>
            <rFont val="Meiryo UI"/>
            <family val="2"/>
          </rPr>
          <t>https://dev.mysql.com/doc/refman/8.4/en/server-system-variables.html#sysvar_net_write_timeout
Community参考値でありAurora実効値ではありません。</t>
        </r>
      </text>
    </comment>
    <comment ref="M263" authorId="0">
      <text>
        <r>
          <rPr>
            <sz val="9"/>
            <color indexed="81"/>
            <rFont val="Meiryo UI"/>
            <family val="2"/>
          </rPr>
          <t>https://docs.aws.amazon.com/AmazonRDS/latest/APIReference/API_DescribeDBClusterParameters.html
https://dev.mysql.com/doc/refman/8.4/en/server-system-variables.html</t>
        </r>
      </text>
    </comment>
    <comment ref="B264" authorId="0">
      <text>
        <r>
          <rPr>
            <sz val="9"/>
            <color indexed="81"/>
            <rFont val="Meiryo UI"/>
            <family val="2"/>
          </rPr>
          <t>APIメタデータ: {"ParameterName": "ngram_token_size", "Description": "Defines the n-gram token size for n-gram full-text parser.", "Source": "engine-default", "ApplyType": "static", "DataType": "integer", "AllowedValues": "1-10", "IsModifiable": true, "ApplyMethod": "pending-reboot", "SupportedEngineModes": ["provisioned"]}</t>
        </r>
      </text>
    </comment>
    <comment ref="E264" authorId="0">
      <text>
        <r>
          <rPr>
            <sz val="9"/>
            <color indexed="81"/>
            <rFont val="Meiryo UI"/>
            <family val="2"/>
          </rPr>
          <t>https://dev.mysql.com/doc/refman/8.4/en/server-system-variables.html#sysvar_ngram_token_size
Community参考値でありAurora実効値ではありません。</t>
        </r>
      </text>
    </comment>
    <comment ref="M264" authorId="0">
      <text>
        <r>
          <rPr>
            <sz val="9"/>
            <color indexed="81"/>
            <rFont val="Meiryo UI"/>
            <family val="2"/>
          </rPr>
          <t>https://docs.aws.amazon.com/AmazonRDS/latest/APIReference/API_DescribeDBClusterParameters.html
https://dev.mysql.com/doc/refman/8.4/en/innodb-parameters.html</t>
        </r>
      </text>
    </comment>
    <comment ref="B265" authorId="0">
      <text>
        <r>
          <rPr>
            <sz val="9"/>
            <color indexed="81"/>
            <rFont val="Meiryo UI"/>
            <family val="2"/>
          </rPr>
          <t>APIメタデータ: {"ParameterName": "optimizer_prune_level", "Description": "Controls the heuristics applied during query optimization to prune less-promising partial plans from the optimizer search space.", "Source": "engine-default", "ApplyType": "dynamic", "DataType": "boolean", "AllowedValues": "0,1", "IsModifiable": true, "ApplyMethod": "pending-reboot", "SupportedEngineModes": ["provisioned"]}</t>
        </r>
      </text>
    </comment>
    <comment ref="E265" authorId="0">
      <text>
        <r>
          <rPr>
            <sz val="9"/>
            <color indexed="81"/>
            <rFont val="Meiryo UI"/>
            <family val="2"/>
          </rPr>
          <t>https://dev.mysql.com/doc/refman/8.4/en/server-system-variables.html#sysvar_optimizer_prune_level
Community参考値でありAurora実効値ではありません。</t>
        </r>
      </text>
    </comment>
    <comment ref="M265" authorId="0">
      <text>
        <r>
          <rPr>
            <sz val="9"/>
            <color indexed="81"/>
            <rFont val="Meiryo UI"/>
            <family val="2"/>
          </rPr>
          <t>https://docs.aws.amazon.com/AmazonRDS/latest/APIReference/API_DescribeDBClusterParameters.html
https://dev.mysql.com/doc/refman/8.4/en/server-system-variables.html</t>
        </r>
      </text>
    </comment>
    <comment ref="B266" authorId="0">
      <text>
        <r>
          <rPr>
            <sz val="9"/>
            <color indexed="81"/>
            <rFont val="Meiryo UI"/>
            <family val="2"/>
          </rPr>
          <t>APIメタデータ: {"ParameterName": "optimizer_search_depth", "Description": "The maximum depth of search performed by the query optimizer.", "Source": "engine-default", "ApplyType": "dynamic", "DataType": "integer", "AllowedValues": "0-62", "IsModifiable": true, "ApplyMethod": "pending-reboot", "SupportedEngineModes": ["provisioned"]}</t>
        </r>
      </text>
    </comment>
    <comment ref="E266" authorId="0">
      <text>
        <r>
          <rPr>
            <sz val="9"/>
            <color indexed="81"/>
            <rFont val="Meiryo UI"/>
            <family val="2"/>
          </rPr>
          <t>https://dev.mysql.com/doc/refman/8.4/en/server-system-variables.html#sysvar_optimizer_search_depth
Community参考値でありAurora実効値ではありません。</t>
        </r>
      </text>
    </comment>
    <comment ref="M266" authorId="0">
      <text>
        <r>
          <rPr>
            <sz val="9"/>
            <color indexed="81"/>
            <rFont val="Meiryo UI"/>
            <family val="2"/>
          </rPr>
          <t>https://docs.aws.amazon.com/AmazonRDS/latest/APIReference/API_DescribeDBClusterParameters.html
https://dev.mysql.com/doc/refman/8.4/en/server-system-variables.html</t>
        </r>
      </text>
    </comment>
    <comment ref="B267" authorId="0">
      <text>
        <r>
          <rPr>
            <sz val="9"/>
            <color indexed="81"/>
            <rFont val="Meiryo UI"/>
            <family val="2"/>
          </rPr>
          <t>APIメタデータ: {"ParameterName": "optimizer_switch", "Description": "Controls optimizer behavior. ", "Source": "engine-default", "ApplyType": "dynamic", "DataType": "list", "AllowedValues": "default,batched_key_access=on,batched_key_access=off,block_nested_loop=on,block_nested_loop=off,condition_fanout_filter=on,condition_fanout_filter=off,derived_condition_pushdown=on,derived_condition_pushdown=off,derived_merge=on,derived_merge=off,duplicateweedout=on,duplicateweedout=off,engine_condition_pushdown=on,engine_condition_pushdown=off,firstmatch=on,firstmatch=off,hash_join=on,hash_join=off,index_condition_pushdown=on,index_condition_pushdown=off,index_merge=on,index_merge=off,index_merge_intersection=on,index_merge_intersection=off,index_merge_sort_union=on,index_merge_sort_union=off,index_merge_union=on,index_merge_union=off,loosescan=on,loosescan=off,materialization=on,materialization=off,mrr=on,mrr=off,mrr_cost_based=on,mrr_cost_based=off,prefer_ordering_index=on,prefer_ordering_index=off,semijoin=on,semijoin=off,skip_scan=on,skip_scan=off,subquery_materialization_cost_based=on,subquery_materialization_cost_based=off,use_index_extensions=on,use_index_extensions=off,use_invisible_indexes=on,use_invisible_indexes=off", "IsModifiable": true, "ApplyMethod": "pending-reboot", "SupportedEngineModes": ["provisioned"]}</t>
        </r>
      </text>
    </comment>
    <comment ref="M267" authorId="0">
      <text>
        <r>
          <rPr>
            <sz val="9"/>
            <color indexed="81"/>
            <rFont val="Meiryo UI"/>
            <family val="2"/>
          </rPr>
          <t>https://docs.aws.amazon.com/AmazonRDS/latest/APIReference/API_DescribeDBClusterParameters.html
https://dev.mysql.com/doc/refman/8.4/en/server-system-variables.html</t>
        </r>
      </text>
    </comment>
    <comment ref="B268" authorId="0">
      <text>
        <r>
          <rPr>
            <sz val="9"/>
            <color indexed="81"/>
            <rFont val="Meiryo UI"/>
            <family val="2"/>
          </rPr>
          <t>APIメタデータ: {"ParameterName": "optimizer_trace", "Description": "Controls how statements are traced.", "Source": "engine-default", "ApplyType": "dynamic", "DataType": "string", "AllowedValues": "enabled=on,enabled=off,one_line=on,one_line=off", "IsModifiable": true, "ApplyMethod": "pending-reboot", "SupportedEngineModes": ["provisioned"]}</t>
        </r>
      </text>
    </comment>
    <comment ref="M268" authorId="0">
      <text>
        <r>
          <rPr>
            <sz val="9"/>
            <color indexed="81"/>
            <rFont val="Meiryo UI"/>
            <family val="2"/>
          </rPr>
          <t>https://docs.aws.amazon.com/AmazonRDS/latest/APIReference/API_DescribeDBClusterParameters.html
https://dev.mysql.com/doc/refman/8.4/en/server-system-variables.html</t>
        </r>
      </text>
    </comment>
    <comment ref="B269" authorId="0">
      <text>
        <r>
          <rPr>
            <sz val="9"/>
            <color indexed="81"/>
            <rFont val="Meiryo UI"/>
            <family val="2"/>
          </rPr>
          <t>APIメタデータ: {"ParameterName": "optimizer_trace_features", "Description": "Controls optimizations during statement tracing.", "Source": "engine-default", "ApplyType": "dynamic", "DataType": "string", "AllowedValues": "greedy_search=on,greedy_search=off,range_optimizer=on,range_optimizer=off,dynamic_range=on,dynamic_range=off,repeated_subselect=on,repeated_subselect=off", "IsModifiable": true, "ApplyMethod": "pending-reboot", "SupportedEngineModes": ["provisioned"]}</t>
        </r>
      </text>
    </comment>
    <comment ref="M269" authorId="0">
      <text>
        <r>
          <rPr>
            <sz val="9"/>
            <color indexed="81"/>
            <rFont val="Meiryo UI"/>
            <family val="2"/>
          </rPr>
          <t>https://docs.aws.amazon.com/AmazonRDS/latest/APIReference/API_DescribeDBClusterParameters.html
https://dev.mysql.com/doc/refman/8.4/en/server-system-variables.html</t>
        </r>
      </text>
    </comment>
    <comment ref="B270" authorId="0">
      <text>
        <r>
          <rPr>
            <sz val="9"/>
            <color indexed="81"/>
            <rFont val="Meiryo UI"/>
            <family val="2"/>
          </rPr>
          <t>APIメタデータ: {"ParameterName": "optimizer_trace_limit", "Description": "Controls the limit on trace retention.", "Source": "engine-default", "ApplyType": "dynamic", "DataType": "integer", "AllowedValues": "1-9223372036854775807", "IsModifiable": true, "ApplyMethod": "pending-reboot", "SupportedEngineModes": ["provisioned"]}</t>
        </r>
      </text>
    </comment>
    <comment ref="E270" authorId="0">
      <text>
        <r>
          <rPr>
            <sz val="9"/>
            <color indexed="81"/>
            <rFont val="Meiryo UI"/>
            <family val="2"/>
          </rPr>
          <t>https://dev.mysql.com/doc/refman/8.4/en/server-system-variables.html#sysvar_optimizer_trace_limit
Community参考値でありAurora実効値ではありません。</t>
        </r>
      </text>
    </comment>
    <comment ref="M270" authorId="0">
      <text>
        <r>
          <rPr>
            <sz val="9"/>
            <color indexed="81"/>
            <rFont val="Meiryo UI"/>
            <family val="2"/>
          </rPr>
          <t>https://docs.aws.amazon.com/AmazonRDS/latest/APIReference/API_DescribeDBClusterParameters.html
https://dev.mysql.com/doc/refman/8.4/en/server-system-variables.html</t>
        </r>
      </text>
    </comment>
    <comment ref="B271" authorId="0">
      <text>
        <r>
          <rPr>
            <sz val="9"/>
            <color indexed="81"/>
            <rFont val="Meiryo UI"/>
            <family val="2"/>
          </rPr>
          <t>APIメタデータ: {"ParameterName": "optimizer_trace_max_mem_size", "Description": "Maximum allowed cumulated size of stored optimizer traces", "Source": "engine-default", "ApplyType": "dynamic", "DataType": "integer", "AllowedValues": "0-18446744073709551615", "IsModifiable": true, "ApplyMethod": "pending-reboot", "SupportedEngineModes": ["provisioned"]}</t>
        </r>
      </text>
    </comment>
    <comment ref="E271" authorId="0">
      <text>
        <r>
          <rPr>
            <sz val="9"/>
            <color indexed="81"/>
            <rFont val="Meiryo UI"/>
            <family val="2"/>
          </rPr>
          <t>https://dev.mysql.com/doc/refman/8.4/en/server-system-variables.html#sysvar_optimizer_trace_max_mem_size
Community参考値でありAurora実効値ではありません。</t>
        </r>
      </text>
    </comment>
    <comment ref="M271" authorId="0">
      <text>
        <r>
          <rPr>
            <sz val="9"/>
            <color indexed="81"/>
            <rFont val="Meiryo UI"/>
            <family val="2"/>
          </rPr>
          <t>https://docs.aws.amazon.com/AmazonRDS/latest/APIReference/API_DescribeDBClusterParameters.html
https://dev.mysql.com/doc/refman/8.4/en/server-system-variables.html</t>
        </r>
      </text>
    </comment>
    <comment ref="B272" authorId="0">
      <text>
        <r>
          <rPr>
            <sz val="9"/>
            <color indexed="81"/>
            <rFont val="Meiryo UI"/>
            <family val="2"/>
          </rPr>
          <t>APIメタデータ: {"ParameterName": "optimizer_trace_offset", "Description": "Controls the offset on trace retention.", "Source": "engine-default", "ApplyType": "dynamic", "DataType": "integer", "AllowedValues": "-9223372036854775807-9223372036854775807", "IsModifiable": true, "ApplyMethod": "pending-reboot", "SupportedEngineModes": ["provisioned"]}</t>
        </r>
      </text>
    </comment>
    <comment ref="E272" authorId="0">
      <text>
        <r>
          <rPr>
            <sz val="9"/>
            <color indexed="81"/>
            <rFont val="Meiryo UI"/>
            <family val="2"/>
          </rPr>
          <t>https://dev.mysql.com/doc/refman/8.4/en/server-system-variables.html#sysvar_optimizer_trace_offset
Community参考値でありAurora実効値ではありません。</t>
        </r>
      </text>
    </comment>
    <comment ref="M272" authorId="0">
      <text>
        <r>
          <rPr>
            <sz val="9"/>
            <color indexed="81"/>
            <rFont val="Meiryo UI"/>
            <family val="2"/>
          </rPr>
          <t>https://docs.aws.amazon.com/AmazonRDS/latest/APIReference/API_DescribeDBClusterParameters.html
https://dev.mysql.com/doc/refman/8.4/en/server-system-variables.html</t>
        </r>
      </text>
    </comment>
    <comment ref="B273" authorId="0">
      <text>
        <r>
          <rPr>
            <sz val="9"/>
            <color indexed="81"/>
            <rFont val="Meiryo UI"/>
            <family val="2"/>
          </rPr>
          <t>APIメタデータ: {"ParameterName": "partial_revokes", "ParameterValue": "0", "Description": "Enabling this variable makes it possible to revoke privileges partially.", "Source": "engine-default", "ApplyType": "dynamic", "DataType": "boolean", "AllowedValues": "0,1", "IsModifiable": false, "ApplyMethod": "pending-reboot", "SupportedEngineModes": ["provisioned"]}</t>
        </r>
      </text>
    </comment>
    <comment ref="E273" authorId="0">
      <text>
        <r>
          <rPr>
            <sz val="9"/>
            <color indexed="81"/>
            <rFont val="Meiryo UI"/>
            <family val="2"/>
          </rPr>
          <t>https://dev.mysql.com/doc/refman/8.4/en/server-system-variables.html#sysvar_partial_revokes
Community参考値でありAurora実効値ではありません。</t>
        </r>
      </text>
    </comment>
    <comment ref="M27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274" authorId="0">
      <text>
        <r>
          <rPr>
            <sz val="9"/>
            <color indexed="81"/>
            <rFont val="Meiryo UI"/>
            <family val="2"/>
          </rPr>
          <t>APIメタデータ: {"ParameterName": "password_history", "Description": "The number of old passwords to check in the history. Set to 0 (the default) to turn the checks off.", "Source": "engine-default", "ApplyType": "dynamic", "DataType": "integer", "AllowedValues": "0-4294967295", "IsModifiable": true, "ApplyMethod": "pending-reboot", "SupportedEngineModes": ["provisioned"]}</t>
        </r>
      </text>
    </comment>
    <comment ref="E274" authorId="0">
      <text>
        <r>
          <rPr>
            <sz val="9"/>
            <color indexed="81"/>
            <rFont val="Meiryo UI"/>
            <family val="2"/>
          </rPr>
          <t>https://dev.mysql.com/doc/refman/8.4/en/server-system-variables.html#sysvar_password_history
Community参考値でありAurora実効値ではありません。</t>
        </r>
      </text>
    </comment>
    <comment ref="M274"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275" authorId="0">
      <text>
        <r>
          <rPr>
            <sz val="9"/>
            <color indexed="81"/>
            <rFont val="Meiryo UI"/>
            <family val="2"/>
          </rPr>
          <t>APIメタデータ: {"ParameterName": "password_require_current", "Description": "The global policy for controlling whether attempts to change an account password must specify the current password to be replaced. Set to 0 (the default) to turn the checks off.", "Source": "engine-default", "ApplyType": "dynamic", "DataType": "boolean", "AllowedValues": "0,1", "IsModifiable": true, "ApplyMethod": "pending-reboot", "SupportedEngineModes": ["provisioned"]}</t>
        </r>
      </text>
    </comment>
    <comment ref="E275" authorId="0">
      <text>
        <r>
          <rPr>
            <sz val="9"/>
            <color indexed="81"/>
            <rFont val="Meiryo UI"/>
            <family val="2"/>
          </rPr>
          <t>https://dev.mysql.com/doc/refman/8.4/en/server-system-variables.html#sysvar_password_require_current
Community参考値でありAurora実効値ではありません。</t>
        </r>
      </text>
    </comment>
    <comment ref="M275"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276" authorId="0">
      <text>
        <r>
          <rPr>
            <sz val="9"/>
            <color indexed="81"/>
            <rFont val="Meiryo UI"/>
            <family val="2"/>
          </rPr>
          <t>APIメタデータ: {"ParameterName": "password_reuse_interval", "Description": "The minimum number of days that need to pass before a password can be reused. Set to 0 (the default) to turn the checks off.", "Source": "engine-default", "ApplyType": "dynamic", "DataType": "integer", "AllowedValues": "0-4294967295", "IsModifiable": true, "ApplyMethod": "pending-reboot", "SupportedEngineModes": ["provisioned"]}</t>
        </r>
      </text>
    </comment>
    <comment ref="E276" authorId="0">
      <text>
        <r>
          <rPr>
            <sz val="9"/>
            <color indexed="81"/>
            <rFont val="Meiryo UI"/>
            <family val="2"/>
          </rPr>
          <t>https://dev.mysql.com/doc/refman/8.4/en/server-system-variables.html#sysvar_password_reuse_interval
Community参考値でありAurora実効値ではありません。</t>
        </r>
      </text>
    </comment>
    <comment ref="M276"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277" authorId="0">
      <text>
        <r>
          <rPr>
            <sz val="9"/>
            <color indexed="81"/>
            <rFont val="Meiryo UI"/>
            <family val="2"/>
          </rPr>
          <t>APIメタデータ: {"ParameterName": "performance_schema", "ParameterValue": "0", "Description": "Enables or disables the Performance Schema", "Source": "system", "ApplyType": "static", "DataType": "boolean", "AllowedValues": "0,1", "IsModifiable": true, "ApplyMethod": "pending-reboot", "SupportedEngineModes": ["provisioned"]}</t>
        </r>
      </text>
    </comment>
    <comment ref="E277" authorId="0">
      <text>
        <r>
          <rPr>
            <sz val="9"/>
            <color indexed="81"/>
            <rFont val="Meiryo UI"/>
            <family val="2"/>
          </rPr>
          <t>https://dev.mysql.com/doc/refman/8.4/en/performance-schema-system-variables.html#sysvar_performance_schema
Community参考値でありAurora実効値ではありません。</t>
        </r>
      </text>
    </comment>
    <comment ref="M277" authorId="0">
      <text>
        <r>
          <rPr>
            <sz val="9"/>
            <color indexed="81"/>
            <rFont val="Meiryo UI"/>
            <family val="2"/>
          </rPr>
          <t>https://docs.aws.amazon.com/AmazonRDS/latest/APIReference/API_DescribeDBClusterParameters.html
https://docs.aws.amazon.com/AmazonRDS/latest/AuroraUserGuide/USER_DatabaseInsights.html
https://docs.aws.amazon.com/AmazonRDS/latest/AuroraUserGuide/USER_PerfInsights.Enabling.html</t>
        </r>
      </text>
    </comment>
    <comment ref="B278" authorId="0">
      <text>
        <r>
          <rPr>
            <sz val="9"/>
            <color indexed="81"/>
            <rFont val="Meiryo UI"/>
            <family val="2"/>
          </rPr>
          <t>APIメタデータ: {"ParameterName": "performance_schema_accounts_size", "Description": "The number of rows in the Performance Schema accounts table.", "Source": "engine-default", "ApplyType": "static", "DataType": "integer", "AllowedValues": "-1-1048576", "IsModifiable": true, "ApplyMethod": "pending-reboot", "SupportedEngineModes": ["provisioned"]}</t>
        </r>
      </text>
    </comment>
    <comment ref="E278" authorId="0">
      <text>
        <r>
          <rPr>
            <sz val="9"/>
            <color indexed="81"/>
            <rFont val="Meiryo UI"/>
            <family val="2"/>
          </rPr>
          <t>https://dev.mysql.com/doc/refman/8.4/en/performance-schema-system-variables.html#sysvar_performance_schema_accounts_size
Community参考値でありAurora実効値ではありません。</t>
        </r>
      </text>
    </comment>
    <comment ref="M278"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79" authorId="0">
      <text>
        <r>
          <rPr>
            <sz val="9"/>
            <color indexed="81"/>
            <rFont val="Meiryo UI"/>
            <family val="2"/>
          </rPr>
          <t>APIメタデータ: {"ParameterName": "performance_schema_consumer_events_stages_current", "Description": "Enable the events_stages_current consumer", "Source": "engine-default", "ApplyType": "static", "DataType": "boolean", "AllowedValues": "0,1", "IsModifiable": true, "ApplyMethod": "pending-reboot", "SupportedEngineModes": ["provisioned"]}</t>
        </r>
      </text>
    </comment>
    <comment ref="M279"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0" authorId="0">
      <text>
        <r>
          <rPr>
            <sz val="9"/>
            <color indexed="81"/>
            <rFont val="Meiryo UI"/>
            <family val="2"/>
          </rPr>
          <t>APIメタデータ: {"ParameterName": "performance_schema_consumer_events_stages_history", "Description": "Enable the events_stages_history consumer", "Source": "engine-default", "ApplyType": "static", "DataType": "boolean", "AllowedValues": "0,1", "IsModifiable": true, "ApplyMethod": "pending-reboot", "SupportedEngineModes": ["provisioned"]}</t>
        </r>
      </text>
    </comment>
    <comment ref="M280"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1" authorId="0">
      <text>
        <r>
          <rPr>
            <sz val="9"/>
            <color indexed="81"/>
            <rFont val="Meiryo UI"/>
            <family val="2"/>
          </rPr>
          <t>APIメタデータ: {"ParameterName": "performance_schema_consumer_events_stages_history_long", "Description": "Enable the events_stages_history_long consumer", "Source": "engine-default", "ApplyType": "static", "DataType": "boolean", "AllowedValues": "0,1", "IsModifiable": true, "ApplyMethod": "pending-reboot", "SupportedEngineModes": ["provisioned"]}</t>
        </r>
      </text>
    </comment>
    <comment ref="M281"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2" authorId="0">
      <text>
        <r>
          <rPr>
            <sz val="9"/>
            <color indexed="81"/>
            <rFont val="Meiryo UI"/>
            <family val="2"/>
          </rPr>
          <t>APIメタデータ: {"ParameterName": "performance_schema_consumer_events_statements_current", "Description": "Enable the events_statements_current consumer", "Source": "engine-default", "ApplyType": "static", "DataType": "boolean", "AllowedValues": "0,1", "IsModifiable": true, "ApplyMethod": "pending-reboot", "SupportedEngineModes": ["provisioned"]}</t>
        </r>
      </text>
    </comment>
    <comment ref="M282"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3" authorId="0">
      <text>
        <r>
          <rPr>
            <sz val="9"/>
            <color indexed="81"/>
            <rFont val="Meiryo UI"/>
            <family val="2"/>
          </rPr>
          <t>APIメタデータ: {"ParameterName": "performance_schema_consumer_events_statements_history", "Description": "Enable the events_statements_history consumer", "Source": "engine-default", "ApplyType": "static", "DataType": "boolean", "AllowedValues": "0,1", "IsModifiable": true, "ApplyMethod": "pending-reboot", "SupportedEngineModes": ["provisioned"]}</t>
        </r>
      </text>
    </comment>
    <comment ref="M283"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4" authorId="0">
      <text>
        <r>
          <rPr>
            <sz val="9"/>
            <color indexed="81"/>
            <rFont val="Meiryo UI"/>
            <family val="2"/>
          </rPr>
          <t>APIメタデータ: {"ParameterName": "performance_schema_consumer_events_statements_history_long", "Description": "Enable the events_statements_history_long consumer", "Source": "engine-default", "ApplyType": "static", "DataType": "boolean", "AllowedValues": "0,1", "IsModifiable": true, "ApplyMethod": "pending-reboot", "SupportedEngineModes": ["provisioned"]}</t>
        </r>
      </text>
    </comment>
    <comment ref="M284"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5" authorId="0">
      <text>
        <r>
          <rPr>
            <sz val="9"/>
            <color indexed="81"/>
            <rFont val="Meiryo UI"/>
            <family val="2"/>
          </rPr>
          <t>APIメタデータ: {"ParameterName": "performance-schema-consumer-events-waits-current", "Description": "Configure the events-waits-current consumer.", "Source": "engine-default", "ApplyType": "static", "DataType": "string", "AllowedValues": "ON,OFF", "IsModifiable": true, "ApplyMethod": "pending-reboot", "SupportedEngineModes": ["provisioned"]}</t>
        </r>
      </text>
    </comment>
    <comment ref="M285"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6" authorId="0">
      <text>
        <r>
          <rPr>
            <sz val="9"/>
            <color indexed="81"/>
            <rFont val="Meiryo UI"/>
            <family val="2"/>
          </rPr>
          <t>APIメタデータ: {"ParameterName": "performance_schema_consumer_events_waits_history", "Description": "Enable the events_waits_history consumer", "Source": "engine-default", "ApplyType": "static", "DataType": "boolean", "AllowedValues": "0,1", "IsModifiable": true, "ApplyMethod": "pending-reboot", "SupportedEngineModes": ["provisioned"]}</t>
        </r>
      </text>
    </comment>
    <comment ref="M286"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7" authorId="0">
      <text>
        <r>
          <rPr>
            <sz val="9"/>
            <color indexed="81"/>
            <rFont val="Meiryo UI"/>
            <family val="2"/>
          </rPr>
          <t>APIメタデータ: {"ParameterName": "performance_schema_consumer_events_waits_history_long", "Description": "Enable the events_waits_history_long consumer", "Source": "engine-default", "ApplyType": "static", "DataType": "boolean", "AllowedValues": "0,1", "IsModifiable": true, "ApplyMethod": "pending-reboot", "SupportedEngineModes": ["provisioned"]}</t>
        </r>
      </text>
    </comment>
    <comment ref="M287"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8" authorId="0">
      <text>
        <r>
          <rPr>
            <sz val="9"/>
            <color indexed="81"/>
            <rFont val="Meiryo UI"/>
            <family val="2"/>
          </rPr>
          <t>APIメタデータ: {"ParameterName": "performance_schema_consumer_global_instrumentation", "Description": "Enable the global instrumentation consumer", "Source": "engine-default", "ApplyType": "static", "DataType": "boolean", "AllowedValues": "0,1", "IsModifiable": true, "ApplyMethod": "pending-reboot", "SupportedEngineModes": ["provisioned"]}</t>
        </r>
      </text>
    </comment>
    <comment ref="M288"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89" authorId="0">
      <text>
        <r>
          <rPr>
            <sz val="9"/>
            <color indexed="81"/>
            <rFont val="Meiryo UI"/>
            <family val="2"/>
          </rPr>
          <t>APIメタデータ: {"ParameterName": "performance_schema_consumer_statements_digest", "Description": "Enable the statements_digest consumer", "Source": "engine-default", "ApplyType": "static", "DataType": "boolean", "AllowedValues": "0,1", "IsModifiable": true, "ApplyMethod": "pending-reboot", "SupportedEngineModes": ["provisioned"]}</t>
        </r>
      </text>
    </comment>
    <comment ref="M289"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0" authorId="0">
      <text>
        <r>
          <rPr>
            <sz val="9"/>
            <color indexed="81"/>
            <rFont val="Meiryo UI"/>
            <family val="2"/>
          </rPr>
          <t>APIメタデータ: {"ParameterName": "performance_schema_consumer_thread_instrumentation", "Description": "Enable the thread instrumentation consumer", "Source": "engine-default", "ApplyType": "static", "DataType": "boolean", "AllowedValues": "0,1", "IsModifiable": true, "ApplyMethod": "pending-reboot", "SupportedEngineModes": ["provisioned"]}</t>
        </r>
      </text>
    </comment>
    <comment ref="M290"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1" authorId="0">
      <text>
        <r>
          <rPr>
            <sz val="9"/>
            <color indexed="81"/>
            <rFont val="Meiryo UI"/>
            <family val="2"/>
          </rPr>
          <t>APIメタデータ: {"ParameterName": "performance_schema_digests_size", "Description": "The maximum number of rows in the events_statements_summary_by_digest table.", "Source": "engine-default", "ApplyType": "static", "DataType": "integer", "AllowedValues": "-1-1048576", "IsModifiable": true, "ApplyMethod": "pending-reboot", "SupportedEngineModes": ["provisioned"]}</t>
        </r>
      </text>
    </comment>
    <comment ref="E291" authorId="0">
      <text>
        <r>
          <rPr>
            <sz val="9"/>
            <color indexed="81"/>
            <rFont val="Meiryo UI"/>
            <family val="2"/>
          </rPr>
          <t>https://dev.mysql.com/doc/refman/8.4/en/performance-schema-system-variables.html#sysvar_performance_schema_digests_size
Community参考値でありAurora実効値ではありません。</t>
        </r>
      </text>
    </comment>
    <comment ref="M291"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2" authorId="0">
      <text>
        <r>
          <rPr>
            <sz val="9"/>
            <color indexed="81"/>
            <rFont val="Meiryo UI"/>
            <family val="2"/>
          </rPr>
          <t>APIメタデータ: {"ParameterName": "performance_schema_events_stages_history_long_size", "Description": "The number of rows in the events_stages_history_long table.", "Source": "engine-default", "ApplyType": "static", "DataType": "integer", "AllowedValues": "-1-1048576", "IsModifiable": true, "ApplyMethod": "pending-reboot", "SupportedEngineModes": ["provisioned"]}</t>
        </r>
      </text>
    </comment>
    <comment ref="E292" authorId="0">
      <text>
        <r>
          <rPr>
            <sz val="9"/>
            <color indexed="81"/>
            <rFont val="Meiryo UI"/>
            <family val="2"/>
          </rPr>
          <t>https://dev.mysql.com/doc/refman/8.4/en/performance-schema-system-variables.html#sysvar_performance_schema_events_stages_history_long_size
Community参考値でありAurora実効値ではありません。</t>
        </r>
      </text>
    </comment>
    <comment ref="M292"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3" authorId="0">
      <text>
        <r>
          <rPr>
            <sz val="9"/>
            <color indexed="81"/>
            <rFont val="Meiryo UI"/>
            <family val="2"/>
          </rPr>
          <t>APIメタデータ: {"ParameterName": "performance_schema_events_stages_history_size", "Description": "The number of rows per thread in the events_stages_history table.", "Source": "engine-default", "ApplyType": "static", "DataType": "integer", "AllowedValues": "-1-1024", "IsModifiable": true, "ApplyMethod": "pending-reboot", "SupportedEngineModes": ["provisioned"]}</t>
        </r>
      </text>
    </comment>
    <comment ref="E293" authorId="0">
      <text>
        <r>
          <rPr>
            <sz val="9"/>
            <color indexed="81"/>
            <rFont val="Meiryo UI"/>
            <family val="2"/>
          </rPr>
          <t>https://dev.mysql.com/doc/refman/8.4/en/performance-schema-system-variables.html#sysvar_performance_schema_events_stages_history_size
Community参考値でありAurora実効値ではありません。</t>
        </r>
      </text>
    </comment>
    <comment ref="M293"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4" authorId="0">
      <text>
        <r>
          <rPr>
            <sz val="9"/>
            <color indexed="81"/>
            <rFont val="Meiryo UI"/>
            <family val="2"/>
          </rPr>
          <t>APIメタデータ: {"ParameterName": "performance_schema_events_statements_history_long_size", "Description": "The number of rows in the events_statements_history_long table.", "Source": "engine-default", "ApplyType": "static", "DataType": "integer", "AllowedValues": "-1-1048576", "IsModifiable": true, "ApplyMethod": "pending-reboot", "SupportedEngineModes": ["provisioned"]}</t>
        </r>
      </text>
    </comment>
    <comment ref="E294" authorId="0">
      <text>
        <r>
          <rPr>
            <sz val="9"/>
            <color indexed="81"/>
            <rFont val="Meiryo UI"/>
            <family val="2"/>
          </rPr>
          <t>https://dev.mysql.com/doc/refman/8.4/en/performance-schema-system-variables.html#sysvar_performance_schema_events_statements_history_long_size
Community参考値でありAurora実効値ではありません。</t>
        </r>
      </text>
    </comment>
    <comment ref="M294"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5" authorId="0">
      <text>
        <r>
          <rPr>
            <sz val="9"/>
            <color indexed="81"/>
            <rFont val="Meiryo UI"/>
            <family val="2"/>
          </rPr>
          <t>APIメタデータ: {"ParameterName": "performance_schema_events_statements_history_size", "Description": "The number of rows per thread in the events_statements_history table.", "Source": "engine-default", "ApplyType": "static", "DataType": "integer", "AllowedValues": "-1-1024", "IsModifiable": true, "ApplyMethod": "pending-reboot", "SupportedEngineModes": ["provisioned"]}</t>
        </r>
      </text>
    </comment>
    <comment ref="E295" authorId="0">
      <text>
        <r>
          <rPr>
            <sz val="9"/>
            <color indexed="81"/>
            <rFont val="Meiryo UI"/>
            <family val="2"/>
          </rPr>
          <t>https://dev.mysql.com/doc/refman/8.4/en/performance-schema-system-variables.html#sysvar_performance_schema_events_statements_history_size
Community参考値でありAurora実効値ではありません。</t>
        </r>
      </text>
    </comment>
    <comment ref="M295"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6" authorId="0">
      <text>
        <r>
          <rPr>
            <sz val="9"/>
            <color indexed="81"/>
            <rFont val="Meiryo UI"/>
            <family val="2"/>
          </rPr>
          <t>APIメタデータ: {"ParameterName": "performance_schema_events_transactions_history_long_size", "Description": "The number of rows in the events_transactions_history_long table.", "Source": "engine-default", "ApplyType": "static", "DataType": "integer", "AllowedValues": "-1-1048576", "IsModifiable": true, "ApplyMethod": "pending-reboot", "SupportedEngineModes": ["provisioned"]}</t>
        </r>
      </text>
    </comment>
    <comment ref="E296" authorId="0">
      <text>
        <r>
          <rPr>
            <sz val="9"/>
            <color indexed="81"/>
            <rFont val="Meiryo UI"/>
            <family val="2"/>
          </rPr>
          <t>https://dev.mysql.com/doc/refman/8.4/en/performance-schema-system-variables.html#sysvar_performance_schema_events_transactions_history_long_size
Community参考値でありAurora実効値ではありません。</t>
        </r>
      </text>
    </comment>
    <comment ref="M296"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7" authorId="0">
      <text>
        <r>
          <rPr>
            <sz val="9"/>
            <color indexed="81"/>
            <rFont val="Meiryo UI"/>
            <family val="2"/>
          </rPr>
          <t>APIメタデータ: {"ParameterName": "performance_schema_events_transactions_history_size", "Description": "The number of rows per thread in the events_transactions_history table.", "Source": "engine-default", "ApplyType": "static", "DataType": "integer", "AllowedValues": "-1-1024", "IsModifiable": true, "ApplyMethod": "pending-reboot", "SupportedEngineModes": ["provisioned"]}</t>
        </r>
      </text>
    </comment>
    <comment ref="E297" authorId="0">
      <text>
        <r>
          <rPr>
            <sz val="9"/>
            <color indexed="81"/>
            <rFont val="Meiryo UI"/>
            <family val="2"/>
          </rPr>
          <t>https://dev.mysql.com/doc/refman/8.4/en/performance-schema-system-variables.html#sysvar_performance_schema_events_transactions_history_size
Community参考値でありAurora実効値ではありません。</t>
        </r>
      </text>
    </comment>
    <comment ref="M297"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8" authorId="0">
      <text>
        <r>
          <rPr>
            <sz val="9"/>
            <color indexed="81"/>
            <rFont val="Meiryo UI"/>
            <family val="2"/>
          </rPr>
          <t>APIメタデータ: {"ParameterName": "performance_schema_events_waits_history_long_size", "Description": "The number of rows in the events_waits_history_long table.", "Source": "engine-default", "ApplyType": "static", "DataType": "integer", "AllowedValues": "-1-1048576", "IsModifiable": true, "ApplyMethod": "pending-reboot", "SupportedEngineModes": ["provisioned"]}</t>
        </r>
      </text>
    </comment>
    <comment ref="E298" authorId="0">
      <text>
        <r>
          <rPr>
            <sz val="9"/>
            <color indexed="81"/>
            <rFont val="Meiryo UI"/>
            <family val="2"/>
          </rPr>
          <t>https://dev.mysql.com/doc/refman/8.4/en/performance-schema-system-variables.html#sysvar_performance_schema_events_waits_history_long_size
Community参考値でありAurora実効値ではありません。</t>
        </r>
      </text>
    </comment>
    <comment ref="M298"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299" authorId="0">
      <text>
        <r>
          <rPr>
            <sz val="9"/>
            <color indexed="81"/>
            <rFont val="Meiryo UI"/>
            <family val="2"/>
          </rPr>
          <t>APIメタデータ: {"ParameterName": "performance_schema_events_waits_history_size", "Description": "The number of rows per thread in the events_waits_history table.", "Source": "engine-default", "ApplyType": "static", "DataType": "integer", "AllowedValues": "-1-1024", "IsModifiable": true, "ApplyMethod": "pending-reboot", "SupportedEngineModes": ["provisioned"]}</t>
        </r>
      </text>
    </comment>
    <comment ref="E299" authorId="0">
      <text>
        <r>
          <rPr>
            <sz val="9"/>
            <color indexed="81"/>
            <rFont val="Meiryo UI"/>
            <family val="2"/>
          </rPr>
          <t>https://dev.mysql.com/doc/refman/8.4/en/performance-schema-system-variables.html#sysvar_performance_schema_events_waits_history_size
Community参考値でありAurora実効値ではありません。</t>
        </r>
      </text>
    </comment>
    <comment ref="M299"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0" authorId="0">
      <text>
        <r>
          <rPr>
            <sz val="9"/>
            <color indexed="81"/>
            <rFont val="Meiryo UI"/>
            <family val="2"/>
          </rPr>
          <t>APIメタデータ: {"ParameterName": "performance_schema_hosts_size", "Description": "The number of rows in the hosts table.", "Source": "engine-default", "ApplyType": "static", "DataType": "integer", "AllowedValues": "-1-1048576", "IsModifiable": true, "ApplyMethod": "pending-reboot", "SupportedEngineModes": ["provisioned"]}</t>
        </r>
      </text>
    </comment>
    <comment ref="E300" authorId="0">
      <text>
        <r>
          <rPr>
            <sz val="9"/>
            <color indexed="81"/>
            <rFont val="Meiryo UI"/>
            <family val="2"/>
          </rPr>
          <t>https://dev.mysql.com/doc/refman/8.4/en/performance-schema-system-variables.html#sysvar_performance_schema_hosts_size
Community参考値でありAurora実効値ではありません。</t>
        </r>
      </text>
    </comment>
    <comment ref="M300"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1" authorId="0">
      <text>
        <r>
          <rPr>
            <sz val="9"/>
            <color indexed="81"/>
            <rFont val="Meiryo UI"/>
            <family val="2"/>
          </rPr>
          <t>APIメタデータ: {"ParameterName": "performance-schema-instrument", "Description": "Configure a Performance Schema instrument. The name may be given as a pattern to configure instruments that match the pattern.", "Source": "engine-default", "ApplyType": "static", "DataType": "string", "IsModifiable": true, "ApplyMethod": "pending-reboot", "SupportedEngineModes": ["provisioned"]}</t>
        </r>
      </text>
    </comment>
    <comment ref="M301"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2" authorId="0">
      <text>
        <r>
          <rPr>
            <sz val="9"/>
            <color indexed="81"/>
            <rFont val="Meiryo UI"/>
            <family val="2"/>
          </rPr>
          <t>APIメタデータ: {"ParameterName": "performance_schema_max_cond_classes", "Description": "The maximum number of condition instruments.", "Source": "engine-default", "ApplyType": "static", "DataType": "integer", "AllowedValues": "0-256", "IsModifiable": true, "ApplyMethod": "pending-reboot", "SupportedEngineModes": ["provisioned"]}</t>
        </r>
      </text>
    </comment>
    <comment ref="E302" authorId="0">
      <text>
        <r>
          <rPr>
            <sz val="9"/>
            <color indexed="81"/>
            <rFont val="Meiryo UI"/>
            <family val="2"/>
          </rPr>
          <t>https://dev.mysql.com/doc/refman/8.4/en/performance-schema-system-variables.html#sysvar_performance_schema_max_cond_classes
Community参考値でありAurora実効値ではありません。</t>
        </r>
      </text>
    </comment>
    <comment ref="M302"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3" authorId="0">
      <text>
        <r>
          <rPr>
            <sz val="9"/>
            <color indexed="81"/>
            <rFont val="Meiryo UI"/>
            <family val="2"/>
          </rPr>
          <t>APIメタデータ: {"ParameterName": "performance_schema_max_cond_instances", "Description": "The maximum number of instrumented condition objects.", "Source": "engine-default", "ApplyType": "static", "DataType": "integer", "AllowedValues": "-1-1048576", "IsModifiable": true, "ApplyMethod": "pending-reboot", "SupportedEngineModes": ["provisioned"]}</t>
        </r>
      </text>
    </comment>
    <comment ref="E303" authorId="0">
      <text>
        <r>
          <rPr>
            <sz val="9"/>
            <color indexed="81"/>
            <rFont val="Meiryo UI"/>
            <family val="2"/>
          </rPr>
          <t>https://dev.mysql.com/doc/refman/8.4/en/performance-schema-system-variables.html#sysvar_performance_schema_max_cond_instances
Community参考値でありAurora実効値ではありません。</t>
        </r>
      </text>
    </comment>
    <comment ref="M303"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4" authorId="0">
      <text>
        <r>
          <rPr>
            <sz val="9"/>
            <color indexed="81"/>
            <rFont val="Meiryo UI"/>
            <family val="2"/>
          </rPr>
          <t>APIメタデータ: {"ParameterName": "performance_schema_max_digest_length", "Description": "The maximum number of bytes available for computing statement digests.", "Source": "engine-default", "ApplyType": "static", "DataType": "integer", "AllowedValues": "-1-1048576", "IsModifiable": true, "ApplyMethod": "pending-reboot", "SupportedEngineModes": ["provisioned"]}</t>
        </r>
      </text>
    </comment>
    <comment ref="E304" authorId="0">
      <text>
        <r>
          <rPr>
            <sz val="9"/>
            <color indexed="81"/>
            <rFont val="Meiryo UI"/>
            <family val="2"/>
          </rPr>
          <t>https://dev.mysql.com/doc/refman/8.4/en/performance-schema-system-variables.html#sysvar_performance_schema_max_digest_length
Community参考値でありAurora実効値ではありません。</t>
        </r>
      </text>
    </comment>
    <comment ref="M304"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5" authorId="0">
      <text>
        <r>
          <rPr>
            <sz val="9"/>
            <color indexed="81"/>
            <rFont val="Meiryo UI"/>
            <family val="2"/>
          </rPr>
          <t>APIメタデータ: {"ParameterName": "performance_schema_max_digest_sample_age", "Description": "The time in seconds after which a previous query sample is considered old. When the value is 0, queries are sampled once. When the value is greater than zero, queries are re sampled if the last sample is more than performance_schema_max_digest_sample_age seconds old.", "Source": "engine-default", "ApplyType": "dynamic", "DataType": "integer", "AllowedValues": "0-1048576", "IsModifiable": true, "ApplyMethod": "pending-reboot", "SupportedEngineModes": ["provisioned"]}</t>
        </r>
      </text>
    </comment>
    <comment ref="E305" authorId="0">
      <text>
        <r>
          <rPr>
            <sz val="9"/>
            <color indexed="81"/>
            <rFont val="Meiryo UI"/>
            <family val="2"/>
          </rPr>
          <t>https://dev.mysql.com/doc/refman/8.4/en/performance-schema-system-variables.html#sysvar_performance_schema_max_digest_sample_age
Community参考値でありAurora実効値ではありません。</t>
        </r>
      </text>
    </comment>
    <comment ref="M305"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6" authorId="0">
      <text>
        <r>
          <rPr>
            <sz val="9"/>
            <color indexed="81"/>
            <rFont val="Meiryo UI"/>
            <family val="2"/>
          </rPr>
          <t>APIメタデータ: {"ParameterName": "performance_schema_max_file_classes", "Description": "The maximum number of file instruments.", "Source": "engine-default", "ApplyType": "static", "DataType": "integer", "AllowedValues": "0-256", "IsModifiable": true, "ApplyMethod": "pending-reboot", "SupportedEngineModes": ["provisioned"]}</t>
        </r>
      </text>
    </comment>
    <comment ref="E306" authorId="0">
      <text>
        <r>
          <rPr>
            <sz val="9"/>
            <color indexed="81"/>
            <rFont val="Meiryo UI"/>
            <family val="2"/>
          </rPr>
          <t>https://dev.mysql.com/doc/refman/8.4/en/performance-schema-system-variables.html#sysvar_performance_schema_max_file_classes
Community参考値でありAurora実効値ではありません。</t>
        </r>
      </text>
    </comment>
    <comment ref="M306"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7" authorId="0">
      <text>
        <r>
          <rPr>
            <sz val="9"/>
            <color indexed="81"/>
            <rFont val="Meiryo UI"/>
            <family val="2"/>
          </rPr>
          <t>APIメタデータ: {"ParameterName": "performance_schema_max_file_handles", "Description": "The maximum number of opened file objects.", "Source": "engine-default", "ApplyType": "static", "DataType": "integer", "AllowedValues": "0-1048576", "IsModifiable": true, "ApplyMethod": "pending-reboot", "SupportedEngineModes": ["provisioned"]}</t>
        </r>
      </text>
    </comment>
    <comment ref="E307" authorId="0">
      <text>
        <r>
          <rPr>
            <sz val="9"/>
            <color indexed="81"/>
            <rFont val="Meiryo UI"/>
            <family val="2"/>
          </rPr>
          <t>https://dev.mysql.com/doc/refman/8.4/en/performance-schema-system-variables.html#sysvar_performance_schema_max_file_handles
Community参考値でありAurora実効値ではありません。</t>
        </r>
      </text>
    </comment>
    <comment ref="M307"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8" authorId="0">
      <text>
        <r>
          <rPr>
            <sz val="9"/>
            <color indexed="81"/>
            <rFont val="Meiryo UI"/>
            <family val="2"/>
          </rPr>
          <t>APIメタデータ: {"ParameterName": "performance_schema_max_file_instances", "Description": "The maximum number of instrumented file objects.", "Source": "engine-default", "ApplyType": "static", "DataType": "integer", "AllowedValues": "-1-1048576", "IsModifiable": true, "ApplyMethod": "pending-reboot", "SupportedEngineModes": ["provisioned"]}</t>
        </r>
      </text>
    </comment>
    <comment ref="E308" authorId="0">
      <text>
        <r>
          <rPr>
            <sz val="9"/>
            <color indexed="81"/>
            <rFont val="Meiryo UI"/>
            <family val="2"/>
          </rPr>
          <t>https://dev.mysql.com/doc/refman/8.4/en/performance-schema-system-variables.html#sysvar_performance_schema_max_file_instances
Community参考値でありAurora実効値ではありません。</t>
        </r>
      </text>
    </comment>
    <comment ref="M308"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09" authorId="0">
      <text>
        <r>
          <rPr>
            <sz val="9"/>
            <color indexed="81"/>
            <rFont val="Meiryo UI"/>
            <family val="2"/>
          </rPr>
          <t>APIメタデータ: {"ParameterName": "performance_schema_max_index_stat", "Description": "The maximum number of indexes for which the Performance Schema maintains statistics.", "Source": "engine-default", "ApplyType": "static", "DataType": "integer", "AllowedValues": "-1-1048576", "IsModifiable": true, "ApplyMethod": "pending-reboot", "SupportedEngineModes": ["provisioned"]}</t>
        </r>
      </text>
    </comment>
    <comment ref="E309" authorId="0">
      <text>
        <r>
          <rPr>
            <sz val="9"/>
            <color indexed="81"/>
            <rFont val="Meiryo UI"/>
            <family val="2"/>
          </rPr>
          <t>https://dev.mysql.com/doc/refman/8.4/en/performance-schema-system-variables.html#sysvar_performance_schema_max_index_stat
Community参考値でありAurora実効値ではありません。</t>
        </r>
      </text>
    </comment>
    <comment ref="M309"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0" authorId="0">
      <text>
        <r>
          <rPr>
            <sz val="9"/>
            <color indexed="81"/>
            <rFont val="Meiryo UI"/>
            <family val="2"/>
          </rPr>
          <t>APIメタデータ: {"ParameterName": "performance_schema_max_memory_classes", "Description": "The maximum number of memory instruments.", "Source": "engine-default", "ApplyType": "static", "DataType": "integer", "AllowedValues": "-1-1024", "IsModifiable": true, "ApplyMethod": "pending-reboot", "SupportedEngineModes": ["provisioned"]}</t>
        </r>
      </text>
    </comment>
    <comment ref="E310" authorId="0">
      <text>
        <r>
          <rPr>
            <sz val="9"/>
            <color indexed="81"/>
            <rFont val="Meiryo UI"/>
            <family val="2"/>
          </rPr>
          <t>https://dev.mysql.com/doc/refman/8.4/en/performance-schema-system-variables.html#sysvar_performance_schema_max_memory_classes
Community参考値でありAurora実効値ではありません。</t>
        </r>
      </text>
    </comment>
    <comment ref="M310"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1" authorId="0">
      <text>
        <r>
          <rPr>
            <sz val="9"/>
            <color indexed="81"/>
            <rFont val="Meiryo UI"/>
            <family val="2"/>
          </rPr>
          <t>APIメタデータ: {"ParameterName": "performance_schema_max_metadata_locks", "Description": "The maximum number of metadata lock instruments.", "Source": "engine-default", "ApplyType": "static", "DataType": "integer", "AllowedValues": "-1-104857600", "IsModifiable": true, "ApplyMethod": "pending-reboot", "SupportedEngineModes": ["provisioned"]}</t>
        </r>
      </text>
    </comment>
    <comment ref="E311" authorId="0">
      <text>
        <r>
          <rPr>
            <sz val="9"/>
            <color indexed="81"/>
            <rFont val="Meiryo UI"/>
            <family val="2"/>
          </rPr>
          <t>https://dev.mysql.com/doc/refman/8.4/en/performance-schema-system-variables.html#sysvar_performance_schema_max_metadata_locks
Community参考値でありAurora実効値ではありません。</t>
        </r>
      </text>
    </comment>
    <comment ref="M311"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2" authorId="0">
      <text>
        <r>
          <rPr>
            <sz val="9"/>
            <color indexed="81"/>
            <rFont val="Meiryo UI"/>
            <family val="2"/>
          </rPr>
          <t>APIメタデータ: {"ParameterName": "performance_schema_max_mutex_classes", "Description": "The maximum number of mutex instruments.", "Source": "engine-default", "ApplyType": "static", "DataType": "integer", "AllowedValues": "0-256", "IsModifiable": true, "ApplyMethod": "pending-reboot", "SupportedEngineModes": ["provisioned"]}</t>
        </r>
      </text>
    </comment>
    <comment ref="E312" authorId="0">
      <text>
        <r>
          <rPr>
            <sz val="9"/>
            <color indexed="81"/>
            <rFont val="Meiryo UI"/>
            <family val="2"/>
          </rPr>
          <t>https://dev.mysql.com/doc/refman/8.4/en/performance-schema-system-variables.html#sysvar_performance_schema_max_mutex_classes
Community参考値でありAurora実効値ではありません。</t>
        </r>
      </text>
    </comment>
    <comment ref="M312"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3" authorId="0">
      <text>
        <r>
          <rPr>
            <sz val="9"/>
            <color indexed="81"/>
            <rFont val="Meiryo UI"/>
            <family val="2"/>
          </rPr>
          <t>APIメタデータ: {"ParameterName": "performance_schema_max_mutex_instances", "Description": "The maximum number of instrumented mutex objects.", "Source": "engine-default", "ApplyType": "static", "DataType": "integer", "AllowedValues": "-1-104857600", "IsModifiable": true, "ApplyMethod": "pending-reboot", "SupportedEngineModes": ["provisioned"]}</t>
        </r>
      </text>
    </comment>
    <comment ref="E313" authorId="0">
      <text>
        <r>
          <rPr>
            <sz val="9"/>
            <color indexed="81"/>
            <rFont val="Meiryo UI"/>
            <family val="2"/>
          </rPr>
          <t>https://dev.mysql.com/doc/refman/8.4/en/performance-schema-system-variables.html#sysvar_performance_schema_max_mutex_instances
Community参考値でありAurora実効値ではありません。</t>
        </r>
      </text>
    </comment>
    <comment ref="M313"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4" authorId="0">
      <text>
        <r>
          <rPr>
            <sz val="9"/>
            <color indexed="81"/>
            <rFont val="Meiryo UI"/>
            <family val="2"/>
          </rPr>
          <t>APIメタデータ: {"ParameterName": "performance_schema_max_prepared_statements_instances", "Description": "The maximum number of rows in the prepared_statements_instances table.", "Source": "engine-default", "ApplyType": "static", "DataType": "integer", "AllowedValues": "-1-1048576", "IsModifiable": true, "ApplyMethod": "pending-reboot", "SupportedEngineModes": ["provisioned"]}</t>
        </r>
      </text>
    </comment>
    <comment ref="E314" authorId="0">
      <text>
        <r>
          <rPr>
            <sz val="9"/>
            <color indexed="81"/>
            <rFont val="Meiryo UI"/>
            <family val="2"/>
          </rPr>
          <t>https://dev.mysql.com/doc/refman/8.4/en/performance-schema-system-variables.html#sysvar_performance_schema_max_prepared_statements_instances
Community参考値でありAurora実効値ではありません。</t>
        </r>
      </text>
    </comment>
    <comment ref="M314"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5" authorId="0">
      <text>
        <r>
          <rPr>
            <sz val="9"/>
            <color indexed="81"/>
            <rFont val="Meiryo UI"/>
            <family val="2"/>
          </rPr>
          <t>APIメタデータ: {"ParameterName": "performance_schema_max_program_instances", "Description": "The maximum number of stored programs for which the Performance Schema maintains statistics.", "Source": "engine-default", "ApplyType": "static", "DataType": "integer", "AllowedValues": "-1-1048576", "IsModifiable": true, "ApplyMethod": "pending-reboot", "SupportedEngineModes": ["provisioned"]}</t>
        </r>
      </text>
    </comment>
    <comment ref="E315" authorId="0">
      <text>
        <r>
          <rPr>
            <sz val="9"/>
            <color indexed="81"/>
            <rFont val="Meiryo UI"/>
            <family val="2"/>
          </rPr>
          <t>https://dev.mysql.com/doc/refman/8.4/en/performance-schema-system-variables.html#sysvar_performance_schema_max_program_instances
Community参考値でありAurora実効値ではありません。</t>
        </r>
      </text>
    </comment>
    <comment ref="M315"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6" authorId="0">
      <text>
        <r>
          <rPr>
            <sz val="9"/>
            <color indexed="81"/>
            <rFont val="Meiryo UI"/>
            <family val="2"/>
          </rPr>
          <t>APIメタデータ: {"ParameterName": "performance_schema_max_rwlock_classes", "Description": "The maximum number of rwlock instruments.", "Source": "engine-default", "ApplyType": "static", "DataType": "integer", "AllowedValues": "0-256", "IsModifiable": true, "ApplyMethod": "pending-reboot", "SupportedEngineModes": ["provisioned"]}</t>
        </r>
      </text>
    </comment>
    <comment ref="E316" authorId="0">
      <text>
        <r>
          <rPr>
            <sz val="9"/>
            <color indexed="81"/>
            <rFont val="Meiryo UI"/>
            <family val="2"/>
          </rPr>
          <t>https://dev.mysql.com/doc/refman/8.4/en/performance-schema-system-variables.html#sysvar_performance_schema_max_rwlock_classes
Community参考値でありAurora実効値ではありません。</t>
        </r>
      </text>
    </comment>
    <comment ref="M316"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7" authorId="0">
      <text>
        <r>
          <rPr>
            <sz val="9"/>
            <color indexed="81"/>
            <rFont val="Meiryo UI"/>
            <family val="2"/>
          </rPr>
          <t>APIメタデータ: {"ParameterName": "performance_schema_max_rwlock_instances", "Description": "The maximum number of instrumented rwlock objects.", "Source": "engine-default", "ApplyType": "static", "DataType": "integer", "AllowedValues": "-1-104857600", "IsModifiable": true, "ApplyMethod": "pending-reboot", "SupportedEngineModes": ["provisioned"]}</t>
        </r>
      </text>
    </comment>
    <comment ref="E317" authorId="0">
      <text>
        <r>
          <rPr>
            <sz val="9"/>
            <color indexed="81"/>
            <rFont val="Meiryo UI"/>
            <family val="2"/>
          </rPr>
          <t>https://dev.mysql.com/doc/refman/8.4/en/performance-schema-system-variables.html#sysvar_performance_schema_max_rwlock_instances
Community参考値でありAurora実効値ではありません。</t>
        </r>
      </text>
    </comment>
    <comment ref="M317"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8" authorId="0">
      <text>
        <r>
          <rPr>
            <sz val="9"/>
            <color indexed="81"/>
            <rFont val="Meiryo UI"/>
            <family val="2"/>
          </rPr>
          <t>APIメタデータ: {"ParameterName": "performance_schema_max_socket_classes", "Description": "The maximum number of socket instruments.", "Source": "engine-default", "ApplyType": "static", "DataType": "integer", "AllowedValues": "0-256", "IsModifiable": true, "ApplyMethod": "pending-reboot", "SupportedEngineModes": ["provisioned"]}</t>
        </r>
      </text>
    </comment>
    <comment ref="E318" authorId="0">
      <text>
        <r>
          <rPr>
            <sz val="9"/>
            <color indexed="81"/>
            <rFont val="Meiryo UI"/>
            <family val="2"/>
          </rPr>
          <t>https://dev.mysql.com/doc/refman/8.4/en/performance-schema-system-variables.html#sysvar_performance_schema_max_socket_classes
Community参考値でありAurora実効値ではありません。</t>
        </r>
      </text>
    </comment>
    <comment ref="M318"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19" authorId="0">
      <text>
        <r>
          <rPr>
            <sz val="9"/>
            <color indexed="81"/>
            <rFont val="Meiryo UI"/>
            <family val="2"/>
          </rPr>
          <t>APIメタデータ: {"ParameterName": "performance_schema_max_socket_instances", "Description": "The maximum number of instrumented socket objects.", "Source": "engine-default", "ApplyType": "static", "DataType": "integer", "AllowedValues": "-1-1048576", "IsModifiable": true, "ApplyMethod": "pending-reboot", "SupportedEngineModes": ["provisioned"]}</t>
        </r>
      </text>
    </comment>
    <comment ref="E319" authorId="0">
      <text>
        <r>
          <rPr>
            <sz val="9"/>
            <color indexed="81"/>
            <rFont val="Meiryo UI"/>
            <family val="2"/>
          </rPr>
          <t>https://dev.mysql.com/doc/refman/8.4/en/performance-schema-system-variables.html#sysvar_performance_schema_max_socket_instances
Community参考値でありAurora実効値ではありません。</t>
        </r>
      </text>
    </comment>
    <comment ref="M319"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0" authorId="0">
      <text>
        <r>
          <rPr>
            <sz val="9"/>
            <color indexed="81"/>
            <rFont val="Meiryo UI"/>
            <family val="2"/>
          </rPr>
          <t>APIメタデータ: {"ParameterName": "performance_schema_max_sql_text_length", "Description": "The maximum number of bytes used to store SQL statements in the SQL_TEXT column of the events_statements_current, events_statements_history, and events_statements_history_long statement event tables.", "Source": "engine-default", "ApplyType": "static", "DataType": "integer", "AllowedValues": "-1-1048576", "IsModifiable": true, "ApplyMethod": "pending-reboot", "SupportedEngineModes": ["provisioned"]}</t>
        </r>
      </text>
    </comment>
    <comment ref="E320" authorId="0">
      <text>
        <r>
          <rPr>
            <sz val="9"/>
            <color indexed="81"/>
            <rFont val="Meiryo UI"/>
            <family val="2"/>
          </rPr>
          <t>https://dev.mysql.com/doc/refman/8.4/en/performance-schema-system-variables.html#sysvar_performance_schema_max_sql_text_length
Community参考値でありAurora実効値ではありません。</t>
        </r>
      </text>
    </comment>
    <comment ref="M320"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1" authorId="0">
      <text>
        <r>
          <rPr>
            <sz val="9"/>
            <color indexed="81"/>
            <rFont val="Meiryo UI"/>
            <family val="2"/>
          </rPr>
          <t>APIメタデータ: {"ParameterName": "performance_schema_max_stage_classes", "Description": "The maximum number of stage instruments.", "Source": "engine-default", "ApplyType": "static", "DataType": "integer", "AllowedValues": "0-256", "IsModifiable": true, "ApplyMethod": "pending-reboot", "SupportedEngineModes": ["provisioned"]}</t>
        </r>
      </text>
    </comment>
    <comment ref="E321" authorId="0">
      <text>
        <r>
          <rPr>
            <sz val="9"/>
            <color indexed="81"/>
            <rFont val="Meiryo UI"/>
            <family val="2"/>
          </rPr>
          <t>https://dev.mysql.com/doc/refman/8.4/en/performance-schema-system-variables.html#sysvar_performance_schema_max_stage_classes
Community参考値でありAurora実効値ではありません。</t>
        </r>
      </text>
    </comment>
    <comment ref="M321"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2" authorId="0">
      <text>
        <r>
          <rPr>
            <sz val="9"/>
            <color indexed="81"/>
            <rFont val="Meiryo UI"/>
            <family val="2"/>
          </rPr>
          <t>APIメタデータ: {"ParameterName": "performance_schema_max_statement_classes", "Description": "The maximum number of statement instruments.", "Source": "engine-default", "ApplyType": "static", "DataType": "integer", "AllowedValues": "0-256", "IsModifiable": true, "ApplyMethod": "pending-reboot", "SupportedEngineModes": ["provisioned"]}</t>
        </r>
      </text>
    </comment>
    <comment ref="M322"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3" authorId="0">
      <text>
        <r>
          <rPr>
            <sz val="9"/>
            <color indexed="81"/>
            <rFont val="Meiryo UI"/>
            <family val="2"/>
          </rPr>
          <t>APIメタデータ: {"ParameterName": "performance_schema_max_statement_stack", "Description": "The maximum depth of nested stored program calls for which the Performance Schema maintains statistics.", "Source": "engine-default", "ApplyType": "static", "DataType": "integer", "AllowedValues": "1-256", "IsModifiable": true, "ApplyMethod": "pending-reboot", "SupportedEngineModes": ["provisioned"]}</t>
        </r>
      </text>
    </comment>
    <comment ref="E323" authorId="0">
      <text>
        <r>
          <rPr>
            <sz val="9"/>
            <color indexed="81"/>
            <rFont val="Meiryo UI"/>
            <family val="2"/>
          </rPr>
          <t>https://dev.mysql.com/doc/refman/8.4/en/performance-schema-system-variables.html#sysvar_performance_schema_max_statement_stack
Community参考値でありAurora実効値ではありません。</t>
        </r>
      </text>
    </comment>
    <comment ref="M323"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4" authorId="0">
      <text>
        <r>
          <rPr>
            <sz val="9"/>
            <color indexed="81"/>
            <rFont val="Meiryo UI"/>
            <family val="2"/>
          </rPr>
          <t>APIメタデータ: {"ParameterName": "performance_schema_max_table_handles", "Description": "The maximum number of opened table objects.", "Source": "engine-default", "ApplyType": "static", "DataType": "integer", "AllowedValues": "-1-1048576", "IsModifiable": true, "ApplyMethod": "pending-reboot", "SupportedEngineModes": ["provisioned"]}</t>
        </r>
      </text>
    </comment>
    <comment ref="E324" authorId="0">
      <text>
        <r>
          <rPr>
            <sz val="9"/>
            <color indexed="81"/>
            <rFont val="Meiryo UI"/>
            <family val="2"/>
          </rPr>
          <t>https://dev.mysql.com/doc/refman/8.4/en/performance-schema-system-variables.html#sysvar_performance_schema_max_table_handles
Community参考値でありAurora実効値ではありません。</t>
        </r>
      </text>
    </comment>
    <comment ref="M324"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5" authorId="0">
      <text>
        <r>
          <rPr>
            <sz val="9"/>
            <color indexed="81"/>
            <rFont val="Meiryo UI"/>
            <family val="2"/>
          </rPr>
          <t>APIメタデータ: {"ParameterName": "performance_schema_max_table_instances", "Description": "The maximum number of instrumented table objects.", "Source": "engine-default", "ApplyType": "static", "DataType": "integer", "AllowedValues": "-1-1048576", "IsModifiable": true, "ApplyMethod": "pending-reboot", "SupportedEngineModes": ["provisioned"]}</t>
        </r>
      </text>
    </comment>
    <comment ref="E325" authorId="0">
      <text>
        <r>
          <rPr>
            <sz val="9"/>
            <color indexed="81"/>
            <rFont val="Meiryo UI"/>
            <family val="2"/>
          </rPr>
          <t>https://dev.mysql.com/doc/refman/8.4/en/performance-schema-system-variables.html#sysvar_performance_schema_max_table_instances
Community参考値でありAurora実効値ではありません。</t>
        </r>
      </text>
    </comment>
    <comment ref="M325"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6" authorId="0">
      <text>
        <r>
          <rPr>
            <sz val="9"/>
            <color indexed="81"/>
            <rFont val="Meiryo UI"/>
            <family val="2"/>
          </rPr>
          <t>APIメタデータ: {"ParameterName": "performance_schema_max_table_lock_stat", "Description": "The maximum number of tables for which the Performance Schema maintains lock statistics.", "Source": "engine-default", "ApplyType": "static", "DataType": "integer", "AllowedValues": "-1-1048576", "IsModifiable": true, "ApplyMethod": "pending-reboot", "SupportedEngineModes": ["provisioned"]}</t>
        </r>
      </text>
    </comment>
    <comment ref="E326" authorId="0">
      <text>
        <r>
          <rPr>
            <sz val="9"/>
            <color indexed="81"/>
            <rFont val="Meiryo UI"/>
            <family val="2"/>
          </rPr>
          <t>https://dev.mysql.com/doc/refman/8.4/en/performance-schema-system-variables.html#sysvar_performance_schema_max_table_lock_stat
Community参考値でありAurora実効値ではありません。</t>
        </r>
      </text>
    </comment>
    <comment ref="M326"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7" authorId="0">
      <text>
        <r>
          <rPr>
            <sz val="9"/>
            <color indexed="81"/>
            <rFont val="Meiryo UI"/>
            <family val="2"/>
          </rPr>
          <t>APIメタデータ: {"ParameterName": "performance_schema_max_thread_classes", "Description": "The maximum number of thread instruments.", "Source": "engine-default", "ApplyType": "static", "DataType": "integer", "AllowedValues": "0-256", "IsModifiable": true, "ApplyMethod": "pending-reboot", "SupportedEngineModes": ["provisioned"]}</t>
        </r>
      </text>
    </comment>
    <comment ref="E327" authorId="0">
      <text>
        <r>
          <rPr>
            <sz val="9"/>
            <color indexed="81"/>
            <rFont val="Meiryo UI"/>
            <family val="2"/>
          </rPr>
          <t>https://dev.mysql.com/doc/refman/8.4/en/performance-schema-system-variables.html#sysvar_performance_schema_max_thread_classes
Community参考値でありAurora実効値ではありません。</t>
        </r>
      </text>
    </comment>
    <comment ref="M327"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8" authorId="0">
      <text>
        <r>
          <rPr>
            <sz val="9"/>
            <color indexed="81"/>
            <rFont val="Meiryo UI"/>
            <family val="2"/>
          </rPr>
          <t>APIメタデータ: {"ParameterName": "performance_schema_max_thread_instances", "Description": "The maximum number of instrumented thread objects.", "Source": "engine-default", "ApplyType": "static", "DataType": "integer", "AllowedValues": "-1-1048576", "IsModifiable": true, "ApplyMethod": "pending-reboot", "SupportedEngineModes": ["provisioned"]}</t>
        </r>
      </text>
    </comment>
    <comment ref="E328" authorId="0">
      <text>
        <r>
          <rPr>
            <sz val="9"/>
            <color indexed="81"/>
            <rFont val="Meiryo UI"/>
            <family val="2"/>
          </rPr>
          <t>https://dev.mysql.com/doc/refman/8.4/en/performance-schema-system-variables.html#sysvar_performance_schema_max_thread_instances
Community参考値でありAurora実効値ではありません。</t>
        </r>
      </text>
    </comment>
    <comment ref="M328"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29" authorId="0">
      <text>
        <r>
          <rPr>
            <sz val="9"/>
            <color indexed="81"/>
            <rFont val="Meiryo UI"/>
            <family val="2"/>
          </rPr>
          <t>APIメタデータ: {"ParameterName": "performance_schema_session_connect_attrs_size", "Description": "The amount of preallocated memory per thread used to hold connection attribute strings.", "Source": "engine-default", "ApplyType": "static", "DataType": "integer", "AllowedValues": "-1-1048576", "IsModifiable": true, "ApplyMethod": "pending-reboot", "SupportedEngineModes": ["provisioned"]}</t>
        </r>
      </text>
    </comment>
    <comment ref="E329" authorId="0">
      <text>
        <r>
          <rPr>
            <sz val="9"/>
            <color indexed="81"/>
            <rFont val="Meiryo UI"/>
            <family val="2"/>
          </rPr>
          <t>https://dev.mysql.com/doc/refman/8.4/en/performance-schema-system-variables.html#sysvar_performance_schema_session_connect_attrs_size
Community参考値でありAurora実効値ではありません。</t>
        </r>
      </text>
    </comment>
    <comment ref="M329"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30" authorId="0">
      <text>
        <r>
          <rPr>
            <sz val="9"/>
            <color indexed="81"/>
            <rFont val="Meiryo UI"/>
            <family val="2"/>
          </rPr>
          <t>APIメタデータ: {"ParameterName": "performance_schema_setup_actors_size", "Description": "The number of rows in the setup_actors table.", "Source": "engine-default", "ApplyType": "static", "DataType": "integer", "AllowedValues": "0-1024", "IsModifiable": true, "ApplyMethod": "pending-reboot", "SupportedEngineModes": ["provisioned"]}</t>
        </r>
      </text>
    </comment>
    <comment ref="E330" authorId="0">
      <text>
        <r>
          <rPr>
            <sz val="9"/>
            <color indexed="81"/>
            <rFont val="Meiryo UI"/>
            <family val="2"/>
          </rPr>
          <t>https://dev.mysql.com/doc/refman/8.4/en/performance-schema-system-variables.html#sysvar_performance_schema_setup_actors_size
Community参考値でありAurora実効値ではありません。</t>
        </r>
      </text>
    </comment>
    <comment ref="M330"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31" authorId="0">
      <text>
        <r>
          <rPr>
            <sz val="9"/>
            <color indexed="81"/>
            <rFont val="Meiryo UI"/>
            <family val="2"/>
          </rPr>
          <t>APIメタデータ: {"ParameterName": "performance_schema_setup_objects_size", "Description": "The number of rows in the setup_objects table.", "Source": "engine-default", "ApplyType": "static", "DataType": "integer", "AllowedValues": "-1-1048576", "IsModifiable": true, "ApplyMethod": "pending-reboot", "SupportedEngineModes": ["provisioned"]}</t>
        </r>
      </text>
    </comment>
    <comment ref="E331" authorId="0">
      <text>
        <r>
          <rPr>
            <sz val="9"/>
            <color indexed="81"/>
            <rFont val="Meiryo UI"/>
            <family val="2"/>
          </rPr>
          <t>https://dev.mysql.com/doc/refman/8.4/en/performance-schema-system-variables.html#sysvar_performance_schema_setup_objects_size
Community参考値でありAurora実効値ではありません。</t>
        </r>
      </text>
    </comment>
    <comment ref="M331"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32" authorId="0">
      <text>
        <r>
          <rPr>
            <sz val="9"/>
            <color indexed="81"/>
            <rFont val="Meiryo UI"/>
            <family val="2"/>
          </rPr>
          <t>APIメタデータ: {"ParameterName": "performance_schema_show_processlist", "Description": "The SHOW PROCESSLIST statement provides process information by collecting thread data from all active threads. To see how this parameter affect how this information is gatehred please consult the MySQL documentation", "Source": "engine-default", "ApplyType": "dynamic", "DataType": "boolean", "AllowedValues": "0,1", "IsModifiable": true, "ApplyMethod": "pending-reboot", "SupportedEngineModes": ["provisioned"]}</t>
        </r>
      </text>
    </comment>
    <comment ref="E332" authorId="0">
      <text>
        <r>
          <rPr>
            <sz val="9"/>
            <color indexed="81"/>
            <rFont val="Meiryo UI"/>
            <family val="2"/>
          </rPr>
          <t>https://dev.mysql.com/doc/refman/8.4/en/performance-schema-system-variables.html#sysvar_performance_schema_show_processlist
Community参考値でありAurora実効値ではありません。</t>
        </r>
      </text>
    </comment>
    <comment ref="M332"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33" authorId="0">
      <text>
        <r>
          <rPr>
            <sz val="9"/>
            <color indexed="81"/>
            <rFont val="Meiryo UI"/>
            <family val="2"/>
          </rPr>
          <t>APIメタデータ: {"ParameterName": "performance_schema_users_size", "Description": "The number of rows in the users table.", "Source": "engine-default", "ApplyType": "static", "DataType": "integer", "AllowedValues": "-1-1048576", "IsModifiable": true, "ApplyMethod": "pending-reboot", "SupportedEngineModes": ["provisioned"]}</t>
        </r>
      </text>
    </comment>
    <comment ref="E333" authorId="0">
      <text>
        <r>
          <rPr>
            <sz val="9"/>
            <color indexed="81"/>
            <rFont val="Meiryo UI"/>
            <family val="2"/>
          </rPr>
          <t>https://dev.mysql.com/doc/refman/8.4/en/performance-schema-system-variables.html#sysvar_performance_schema_users_size
Community参考値でありAurora実効値ではありません。</t>
        </r>
      </text>
    </comment>
    <comment ref="M333" authorId="0">
      <text>
        <r>
          <rPr>
            <sz val="9"/>
            <color indexed="81"/>
            <rFont val="Meiryo UI"/>
            <family val="2"/>
          </rPr>
          <t>https://docs.aws.amazon.com/AmazonRDS/latest/APIReference/API_DescribeDBClusterParameters.html
https://dev.mysql.com/doc/refman/8.4/en/performance-schema-system-variables.html
https://docs.aws.amazon.com/AmazonRDS/latest/AuroraUserGuide/USER_PerfInsights.Enabling.html</t>
        </r>
      </text>
    </comment>
    <comment ref="B334" authorId="0">
      <text>
        <r>
          <rPr>
            <sz val="9"/>
            <color indexed="81"/>
            <rFont val="Meiryo UI"/>
            <family val="2"/>
          </rPr>
          <t>APIメタデータ: {"ParameterName": "pid_file", "ParameterValue": "/rdsdbdata/log/mysql-{EndPointPort}.pid", "Description": "The path name of the process ID file. This file is used by other programs such as MySQLd_safe to determine the server's process ID.", "Source": "system", "ApplyType": "static", "DataType": "string", "IsModifiable": false, "ApplyMethod": "pending-reboot", "SupportedEngineModes": ["provisioned"]}</t>
        </r>
      </text>
    </comment>
    <comment ref="M33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35" authorId="0">
      <text>
        <r>
          <rPr>
            <sz val="9"/>
            <color indexed="81"/>
            <rFont val="Meiryo UI"/>
            <family val="2"/>
          </rPr>
          <t>APIメタデータ: {"ParameterName": "plugin_dir", "Description": "Directory searched by systems dynamic linker for UDF object files. Otherwise, user-defined function object files must be located the default directory.", "Source": "system", "ApplyType": "static", "DataType": "string", "IsModifiable": false, "ApplyMethod": "pending-reboot", "SupportedEngineModes": ["provisioned"]}</t>
        </r>
      </text>
    </comment>
    <comment ref="E335" authorId="0">
      <text>
        <r>
          <rPr>
            <sz val="9"/>
            <color indexed="81"/>
            <rFont val="Meiryo UI"/>
            <family val="2"/>
          </rPr>
          <t>https://dev.mysql.com/doc/refman/8.4/en/server-system-variables.html#sysvar_plugin_dir
Community参考値でありAurora実効値ではありません。</t>
        </r>
      </text>
    </comment>
    <comment ref="M33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36" authorId="0">
      <text>
        <r>
          <rPr>
            <sz val="9"/>
            <color indexed="81"/>
            <rFont val="Meiryo UI"/>
            <family val="2"/>
          </rPr>
          <t>APIメタデータ: {"ParameterName": "port", "ParameterValue": "{EndPointPort}", "Description": "The number of the port on which the server listens for TCP/IP connections.", "Source": "system", "ApplyType": "static", "DataType": "integer", "IsModifiable": false, "ApplyMethod": "pending-reboot", "SupportedEngineModes": ["provisioned"]}</t>
        </r>
      </text>
    </comment>
    <comment ref="E336" authorId="0">
      <text>
        <r>
          <rPr>
            <sz val="9"/>
            <color indexed="81"/>
            <rFont val="Meiryo UI"/>
            <family val="2"/>
          </rPr>
          <t>https://dev.mysql.com/doc/refman/8.4/en/server-options.html#sysvar_port
Community参考値でありAurora実効値ではありません。</t>
        </r>
      </text>
    </comment>
    <comment ref="M336"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37" authorId="0">
      <text>
        <r>
          <rPr>
            <sz val="9"/>
            <color indexed="81"/>
            <rFont val="Meiryo UI"/>
            <family val="2"/>
          </rPr>
          <t>APIメタデータ: {"ParameterName": "preload_buffer_size", "Description": "The size of the buffer that is allocated when preloading indexes.", "Source": "engine-default", "ApplyType": "dynamic", "DataType": "integer", "AllowedValues": "1024-1073741824", "IsModifiable": true, "ApplyMethod": "pending-reboot", "SupportedEngineModes": ["provisioned"]}</t>
        </r>
      </text>
    </comment>
    <comment ref="E337" authorId="0">
      <text>
        <r>
          <rPr>
            <sz val="9"/>
            <color indexed="81"/>
            <rFont val="Meiryo UI"/>
            <family val="2"/>
          </rPr>
          <t>https://dev.mysql.com/doc/refman/8.4/en/server-system-variables.html#sysvar_preload_buffer_size
Community参考値でありAurora実効値ではありません。</t>
        </r>
      </text>
    </comment>
    <comment ref="M337"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338" authorId="0">
      <text>
        <r>
          <rPr>
            <sz val="9"/>
            <color indexed="81"/>
            <rFont val="Meiryo UI"/>
            <family val="2"/>
          </rPr>
          <t>APIメタデータ: {"ParameterName": "profiling_history_size", "Description": "The number of statements for which to maintain profiling if profiling is enabled.", "Source": "engine-default", "ApplyType": "dynamic", "DataType": "integer", "AllowedValues": "0-100", "IsModifiable": true, "ApplyMethod": "pending-reboot", "SupportedEngineModes": ["provisioned"]}</t>
        </r>
      </text>
    </comment>
    <comment ref="M33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39" authorId="0">
      <text>
        <r>
          <rPr>
            <sz val="9"/>
            <color indexed="81"/>
            <rFont val="Meiryo UI"/>
            <family val="2"/>
          </rPr>
          <t>APIメタデータ: {"ParameterName": "query_alloc_block_size", "Description": "The allocation size of memory blocks that are allocated for objects created during statement parsing and execution. May help resolve fragmentation problems.", "Source": "engine-default", "ApplyType": "dynamic", "DataType": "integer", "AllowedValues": "1024-18446744073709547520", "IsModifiable": true, "ApplyMethod": "pending-reboot", "SupportedEngineModes": ["provisioned"]}</t>
        </r>
      </text>
    </comment>
    <comment ref="E339" authorId="0">
      <text>
        <r>
          <rPr>
            <sz val="9"/>
            <color indexed="81"/>
            <rFont val="Meiryo UI"/>
            <family val="2"/>
          </rPr>
          <t>https://dev.mysql.com/doc/refman/8.4/en/server-system-variables.html#sysvar_query_alloc_block_size
Community参考値でありAurora実効値ではありません。</t>
        </r>
      </text>
    </comment>
    <comment ref="M33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40" authorId="0">
      <text>
        <r>
          <rPr>
            <sz val="9"/>
            <color indexed="81"/>
            <rFont val="Meiryo UI"/>
            <family val="2"/>
          </rPr>
          <t>APIメタデータ: {"ParameterName": "query_prealloc_size", "Description": "Increased size might help improve perf for complex queries (i.e. Reduces server memory allocation)", "Source": "engine-default", "ApplyType": "dynamic", "DataType": "integer", "AllowedValues": "8192-18446744073709547520", "IsModifiable": true, "ApplyMethod": "pending-reboot", "SupportedEngineModes": ["provisioned"]}</t>
        </r>
      </text>
    </comment>
    <comment ref="E340" authorId="0">
      <text>
        <r>
          <rPr>
            <sz val="9"/>
            <color indexed="81"/>
            <rFont val="Meiryo UI"/>
            <family val="2"/>
          </rPr>
          <t>https://dev.mysql.com/doc/refman/8.4/en/server-system-variables.html#sysvar_query_prealloc_size
Community参考値でありAurora実効値ではありません。</t>
        </r>
      </text>
    </comment>
    <comment ref="M34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41" authorId="0">
      <text>
        <r>
          <rPr>
            <sz val="9"/>
            <color indexed="81"/>
            <rFont val="Meiryo UI"/>
            <family val="2"/>
          </rPr>
          <t>APIメタデータ: {"ParameterName": "range_alloc_block_size", "Description": "The size of blocks that are allocated when doing range optimization.", "Source": "engine-default", "ApplyType": "dynamic", "DataType": "integer", "AllowedValues": "4096-18446744073709547520", "IsModifiable": true, "ApplyMethod": "pending-reboot", "SupportedEngineModes": ["provisioned"]}</t>
        </r>
      </text>
    </comment>
    <comment ref="E341" authorId="0">
      <text>
        <r>
          <rPr>
            <sz val="9"/>
            <color indexed="81"/>
            <rFont val="Meiryo UI"/>
            <family val="2"/>
          </rPr>
          <t>https://dev.mysql.com/doc/refman/8.4/en/server-system-variables.html#sysvar_range_alloc_block_size
Community参考値でありAurora実効値ではありません。</t>
        </r>
      </text>
    </comment>
    <comment ref="M341" authorId="0">
      <text>
        <r>
          <rPr>
            <sz val="9"/>
            <color indexed="81"/>
            <rFont val="Meiryo UI"/>
            <family val="2"/>
          </rPr>
          <t>https://docs.aws.amazon.com/AmazonRDS/latest/APIReference/API_DescribeDBClusterParameters.html
https://dev.mysql.com/doc/refman/8.4/en/server-system-variables.html</t>
        </r>
      </text>
    </comment>
    <comment ref="B342" authorId="0">
      <text>
        <r>
          <rPr>
            <sz val="9"/>
            <color indexed="81"/>
            <rFont val="Meiryo UI"/>
            <family val="2"/>
          </rPr>
          <t>APIメタデータ: {"ParameterName": "range_optimizer_max_mem_size", "Description": "The limit on memory consumption for the range optimizer.", "Source": "engine-default", "ApplyType": "dynamic", "DataType": "integer", "AllowedValues": "0-18446744073709551615", "IsModifiable": true, "ApplyMethod": "pending-reboot", "SupportedEngineModes": ["provisioned"]}</t>
        </r>
      </text>
    </comment>
    <comment ref="E342" authorId="0">
      <text>
        <r>
          <rPr>
            <sz val="9"/>
            <color indexed="81"/>
            <rFont val="Meiryo UI"/>
            <family val="2"/>
          </rPr>
          <t>https://dev.mysql.com/doc/refman/8.4/en/server-system-variables.html#sysvar_range_optimizer_max_mem_size
Community参考値でありAurora実効値ではありません。</t>
        </r>
      </text>
    </comment>
    <comment ref="M342" authorId="0">
      <text>
        <r>
          <rPr>
            <sz val="9"/>
            <color indexed="81"/>
            <rFont val="Meiryo UI"/>
            <family val="2"/>
          </rPr>
          <t>https://docs.aws.amazon.com/AmazonRDS/latest/APIReference/API_DescribeDBClusterParameters.html
https://dev.mysql.com/doc/refman/8.4/en/server-system-variables.html</t>
        </r>
      </text>
    </comment>
    <comment ref="B343" authorId="0">
      <text>
        <r>
          <rPr>
            <sz val="9"/>
            <color indexed="81"/>
            <rFont val="Meiryo UI"/>
            <family val="2"/>
          </rPr>
          <t>APIメタデータ: {"ParameterName": "read_buffer_size", "ParameterValue": "262144", "Description": "Each thread that does a sequential scan allocates this buffer. Increased value may help perf if performing many sequential scans.", "Source": "system", "ApplyType": "dynamic", "DataType": "integer", "AllowedValues": "8200-2147479552", "IsModifiable": true, "ApplyMethod": "pending-reboot", "SupportedEngineModes": ["provisioned"]}</t>
        </r>
      </text>
    </comment>
    <comment ref="E343" authorId="0">
      <text>
        <r>
          <rPr>
            <sz val="9"/>
            <color indexed="81"/>
            <rFont val="Meiryo UI"/>
            <family val="2"/>
          </rPr>
          <t>https://dev.mysql.com/doc/refman/8.4/en/server-system-variables.html#sysvar_read_buffer_size
Community参考値でありAurora実効値ではありません。</t>
        </r>
      </text>
    </comment>
    <comment ref="M343"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344" authorId="0">
      <text>
        <r>
          <rPr>
            <sz val="9"/>
            <color indexed="81"/>
            <rFont val="Meiryo UI"/>
            <family val="2"/>
          </rPr>
          <t>APIメタデータ: {"ParameterName": "read_only", "ParameterValue": "0", "Description": "When it is enabled, the server permits no updates except from updates performed by replica threads.", "Source": "system", "ApplyType": "dynamic", "DataType": "boolean", "AllowedValues": "0,1,{TrueIfClusterReplica}", "IsModifiable": true, "ApplyMethod": "pending-reboot", "SupportedEngineModes": ["provisioned"]}</t>
        </r>
      </text>
    </comment>
    <comment ref="E344" authorId="0">
      <text>
        <r>
          <rPr>
            <sz val="9"/>
            <color indexed="81"/>
            <rFont val="Meiryo UI"/>
            <family val="2"/>
          </rPr>
          <t>https://dev.mysql.com/doc/refman/8.4/en/server-system-variables.html#sysvar_read_only
Community参考値でありAurora実効値ではありません。</t>
        </r>
      </text>
    </comment>
    <comment ref="M344" authorId="0">
      <text>
        <r>
          <rPr>
            <sz val="9"/>
            <color indexed="81"/>
            <rFont val="Meiryo UI"/>
            <family val="2"/>
          </rPr>
          <t>https://docs.aws.amazon.com/AmazonRDS/latest/APIReference/API_DescribeDBClusterParameters.html
https://docs.aws.amazon.com/AmazonRDS/latest/AuroraUserGuide/rds-proxy-gdb.html
https://docs.aws.amazon.com/AmazonRDS/latest/AuroraUserGuide/AuroraMySQL.Reference.ParameterGroups.html</t>
        </r>
      </text>
    </comment>
    <comment ref="B345" authorId="0">
      <text>
        <r>
          <rPr>
            <sz val="9"/>
            <color indexed="81"/>
            <rFont val="Meiryo UI"/>
            <family val="2"/>
          </rPr>
          <t>APIメタデータ: {"ParameterName": "read_rnd_buffer_size", "ParameterValue": "524288", "Description": "Avoids disk reads when reading rows in sorted order following a key-sort operation. Large values can improve ORDER BY perf.", "Source": "system", "ApplyType": "dynamic", "DataType": "integer", "AllowedValues": "8200-2147479552", "IsModifiable": true, "ApplyMethod": "pending-reboot", "SupportedEngineModes": ["provisioned"]}</t>
        </r>
      </text>
    </comment>
    <comment ref="E345" authorId="0">
      <text>
        <r>
          <rPr>
            <sz val="9"/>
            <color indexed="81"/>
            <rFont val="Meiryo UI"/>
            <family val="2"/>
          </rPr>
          <t>https://dev.mysql.com/doc/refman/8.4/en/server-system-variables.html#sysvar_read_rnd_buffer_size
Community参考値でありAurora実効値ではありません。</t>
        </r>
      </text>
    </comment>
    <comment ref="M345"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346" authorId="0">
      <text>
        <r>
          <rPr>
            <sz val="9"/>
            <color indexed="81"/>
            <rFont val="Meiryo UI"/>
            <family val="2"/>
          </rPr>
          <t>APIメタデータ: {"ParameterName": "regexp_stack_limit", "Description": "Stack size limit for regular expressions matches.", "Source": "engine-default", "ApplyType": "dynamic", "DataType": "integer", "AllowedValues": "0-2147483647", "IsModifiable": true, "ApplyMethod": "pending-reboot", "SupportedEngineModes": ["provisioned"]}</t>
        </r>
      </text>
    </comment>
    <comment ref="E346" authorId="0">
      <text>
        <r>
          <rPr>
            <sz val="9"/>
            <color indexed="81"/>
            <rFont val="Meiryo UI"/>
            <family val="2"/>
          </rPr>
          <t>https://dev.mysql.com/doc/refman/8.4/en/server-system-variables.html#sysvar_regexp_stack_limit
Community参考値でありAurora実効値ではありません。</t>
        </r>
      </text>
    </comment>
    <comment ref="M346" authorId="0">
      <text>
        <r>
          <rPr>
            <sz val="9"/>
            <color indexed="81"/>
            <rFont val="Meiryo UI"/>
            <family val="2"/>
          </rPr>
          <t>https://docs.aws.amazon.com/AmazonRDS/latest/APIReference/API_DescribeDBClusterParameters.html
https://dev.mysql.com/doc/refman/8.4/en/server-system-variables.html</t>
        </r>
      </text>
    </comment>
    <comment ref="B347" authorId="0">
      <text>
        <r>
          <rPr>
            <sz val="9"/>
            <color indexed="81"/>
            <rFont val="Meiryo UI"/>
            <family val="2"/>
          </rPr>
          <t>APIメタデータ: {"ParameterName": "regexp_time_limit", "Description": "Timeout for regular expressions matches, in steps of the match engine, typically on the order of milliseconds", "Source": "engine-default", "ApplyType": "dynamic", "DataType": "integer", "AllowedValues": "0-2147483647", "IsModifiable": true, "ApplyMethod": "pending-reboot", "SupportedEngineModes": ["provisioned"]}</t>
        </r>
      </text>
    </comment>
    <comment ref="E347" authorId="0">
      <text>
        <r>
          <rPr>
            <sz val="9"/>
            <color indexed="81"/>
            <rFont val="Meiryo UI"/>
            <family val="2"/>
          </rPr>
          <t>https://dev.mysql.com/doc/refman/8.4/en/server-system-variables.html#sysvar_regexp_time_limit
Community参考値でありAurora実効値ではありません。</t>
        </r>
      </text>
    </comment>
    <comment ref="M347" authorId="0">
      <text>
        <r>
          <rPr>
            <sz val="9"/>
            <color indexed="81"/>
            <rFont val="Meiryo UI"/>
            <family val="2"/>
          </rPr>
          <t>https://docs.aws.amazon.com/AmazonRDS/latest/APIReference/API_DescribeDBClusterParameters.html
https://dev.mysql.com/doc/refman/8.4/en/server-system-variables.html</t>
        </r>
      </text>
    </comment>
    <comment ref="B348" authorId="0">
      <text>
        <r>
          <rPr>
            <sz val="9"/>
            <color indexed="81"/>
            <rFont val="Meiryo UI"/>
            <family val="2"/>
          </rPr>
          <t>APIメタデータ: {"ParameterName": "relay-log", "ParameterValue": "/rdsdbdata/log/relaylog/relaylog", "Description": "The basename for the relay log.", "Source": "system", "ApplyType": "static", "DataType": "string", "IsModifiable": false, "ApplyMethod": "pending-reboot", "SupportedEngineModes": ["provisioned"]}</t>
        </r>
      </text>
    </comment>
    <comment ref="M348"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49" authorId="0">
      <text>
        <r>
          <rPr>
            <sz val="9"/>
            <color indexed="81"/>
            <rFont val="Meiryo UI"/>
            <family val="2"/>
          </rPr>
          <t>APIメタデータ: {"ParameterName": "relay_log_recovery", "ParameterValue": "1", "Description": "Enables automatic relay log recovery immediately following server startup.", "Source": "system", "ApplyType": "dynamic", "DataType": "boolean", "AllowedValues": "0,1", "IsModifiable": false, "ApplyMethod": "pending-reboot", "SupportedEngineModes": ["provisioned"]}</t>
        </r>
      </text>
    </comment>
    <comment ref="E349" authorId="0">
      <text>
        <r>
          <rPr>
            <sz val="9"/>
            <color indexed="81"/>
            <rFont val="Meiryo UI"/>
            <family val="2"/>
          </rPr>
          <t>https://dev.mysql.com/doc/refman/8.4/en/replication-options-replica.html#sysvar_relay_log_recovery
Community参考値でありAurora実効値ではありません。</t>
        </r>
      </text>
    </comment>
    <comment ref="M349"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0" authorId="0">
      <text>
        <r>
          <rPr>
            <sz val="9"/>
            <color indexed="81"/>
            <rFont val="Meiryo UI"/>
            <family val="2"/>
          </rPr>
          <t>APIメタデータ: {"ParameterName": "relay-log-space-limit", "Description": "The maximum amount of space to use for all relay logs.", "Source": "engine-default", "ApplyType": "static", "DataType": "integer", "AllowedValues": "0-4294967295", "IsModifiable": true, "ApplyMethod": "pending-reboot", "SupportedEngineModes": ["provisioned"]}</t>
        </r>
      </text>
    </comment>
    <comment ref="E350" authorId="0">
      <text>
        <r>
          <rPr>
            <sz val="9"/>
            <color indexed="81"/>
            <rFont val="Meiryo UI"/>
            <family val="2"/>
          </rPr>
          <t>https://dev.mysql.com/doc/refman/8.4/en/replication-options-replica.html#sysvar_relay_log_space_limit
Community参考値でありAurora実効値ではありません。</t>
        </r>
      </text>
    </comment>
    <comment ref="M350"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1" authorId="0">
      <text>
        <r>
          <rPr>
            <sz val="9"/>
            <color indexed="81"/>
            <rFont val="Meiryo UI"/>
            <family val="2"/>
          </rPr>
          <t>APIメタデータ: {"ParameterName": "replica_checkpoint_group", "Description": "Sets the maximum number of transactions that can be processed by a multi-threaded replica before a checkpoint operation is called to update its status as shown by SHOW REPLICA STATUS.", "Source": "engine-default", "ApplyType": "dynamic", "DataType": "integer", "AllowedValues": "32-524280", "IsModifiable": true, "ApplyMethod": "pending-reboot", "SupportedEngineModes": ["provisioned"]}</t>
        </r>
      </text>
    </comment>
    <comment ref="E351" authorId="0">
      <text>
        <r>
          <rPr>
            <sz val="9"/>
            <color indexed="81"/>
            <rFont val="Meiryo UI"/>
            <family val="2"/>
          </rPr>
          <t>https://dev.mysql.com/doc/refman/8.4/en/replication-options-replica.html#sysvar_replica_checkpoint_group
Community参考値でありAurora実効値ではありません。</t>
        </r>
      </text>
    </comment>
    <comment ref="M351"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2" authorId="0">
      <text>
        <r>
          <rPr>
            <sz val="9"/>
            <color indexed="81"/>
            <rFont val="Meiryo UI"/>
            <family val="2"/>
          </rPr>
          <t>APIメタデータ: {"ParameterName": "replica_checkpoint_period", "Description": "Sets the maximum time (in milliseconds) that is allowed to pass before a checkpoint operation is called to update the status of a multi-threaded replica as shown by SHOW REPLICA STATUS.", "Source": "engine-default", "ApplyType": "dynamic", "DataType": "integer", "AllowedValues": "1-4294967295", "IsModifiable": true, "ApplyMethod": "pending-reboot", "SupportedEngineModes": ["provisioned"]}</t>
        </r>
      </text>
    </comment>
    <comment ref="E352" authorId="0">
      <text>
        <r>
          <rPr>
            <sz val="9"/>
            <color indexed="81"/>
            <rFont val="Meiryo UI"/>
            <family val="2"/>
          </rPr>
          <t>https://dev.mysql.com/doc/refman/8.4/en/replication-options-replica.html#sysvar_replica_checkpoint_period
Community参考値でありAurora実効値ではありません。</t>
        </r>
      </text>
    </comment>
    <comment ref="M352"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3" authorId="0">
      <text>
        <r>
          <rPr>
            <sz val="9"/>
            <color indexed="81"/>
            <rFont val="Meiryo UI"/>
            <family val="2"/>
          </rPr>
          <t>APIメタデータ: {"ParameterName": "replica_parallel_type", "Description": "Enable parallel execution on the replica of all uncommitted threads already in the prepare phase, without violating consistency.", "Source": "engine-default", "ApplyType": "dynamic", "DataType": "string", "AllowedValues": "DATABASE,LOGICAL_CLOCK", "IsModifiable": true, "ApplyMethod": "pending-reboot", "SupportedEngineModes": ["provisioned"]}</t>
        </r>
      </text>
    </comment>
    <comment ref="E353" authorId="0">
      <text>
        <r>
          <rPr>
            <sz val="9"/>
            <color indexed="81"/>
            <rFont val="Meiryo UI"/>
            <family val="2"/>
          </rPr>
          <t>https://dev.mysql.com/doc/refman/8.4/en/replication-options-replica.html#sysvar_replica_parallel_type
Community参考値でありAurora実効値ではありません。</t>
        </r>
      </text>
    </comment>
    <comment ref="M353"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4" authorId="0">
      <text>
        <r>
          <rPr>
            <sz val="9"/>
            <color indexed="81"/>
            <rFont val="Meiryo UI"/>
            <family val="2"/>
          </rPr>
          <t>APIメタデータ: {"ParameterName": "replica_parallel_workers", "Description": "Sets the number of replica worker threads for executing replication events (transactions) in parallel. Setting this variable to 0 (the default) disables parallel execution.", "Source": "engine-default", "ApplyType": "dynamic", "DataType": "integer", "AllowedValues": "0-1024", "IsModifiable": true, "ApplyMethod": "pending-reboot", "SupportedEngineModes": ["provisioned"]}</t>
        </r>
      </text>
    </comment>
    <comment ref="E354" authorId="0">
      <text>
        <r>
          <rPr>
            <sz val="9"/>
            <color indexed="81"/>
            <rFont val="Meiryo UI"/>
            <family val="2"/>
          </rPr>
          <t>https://dev.mysql.com/doc/refman/8.4/en/replication-options-replica.html#sysvar_replica_parallel_workers
Community参考値でありAurora実効値ではありません。</t>
        </r>
      </text>
    </comment>
    <comment ref="M354"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5" authorId="0">
      <text>
        <r>
          <rPr>
            <sz val="9"/>
            <color indexed="81"/>
            <rFont val="Meiryo UI"/>
            <family val="2"/>
          </rPr>
          <t>APIメタデータ: {"ParameterName": "replica_pending_jobs_size_max", "Description": "For multithreaded replicas, this option sets the maximum amount of memory (in bytes) available to replica worker queues holding events not yet applied.", "Source": "engine-default", "ApplyType": "dynamic", "DataType": "integer", "AllowedValues": "1024-18446744073709547520", "IsModifiable": true, "ApplyMethod": "pending-reboot", "SupportedEngineModes": ["provisioned"]}</t>
        </r>
      </text>
    </comment>
    <comment ref="E355" authorId="0">
      <text>
        <r>
          <rPr>
            <sz val="9"/>
            <color indexed="81"/>
            <rFont val="Meiryo UI"/>
            <family val="2"/>
          </rPr>
          <t>https://dev.mysql.com/doc/refman/8.4/en/replication-options-replica.html#sysvar_replica_pending_jobs_size_max
Community参考値でありAurora実効値ではありません。</t>
        </r>
      </text>
    </comment>
    <comment ref="M355"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6" authorId="0">
      <text>
        <r>
          <rPr>
            <sz val="9"/>
            <color indexed="81"/>
            <rFont val="Meiryo UI"/>
            <family val="2"/>
          </rPr>
          <t>APIメタデータ: {"ParameterName": "replica_preserve_commit_order", "Description": "For a replica with binary logging enabled, setting replica_preserve_commit_order=1 guarantees transactions are written to the replica binary log in the same order they appear in the relay logs", "Source": "engine-default", "ApplyType": "dynamic", "DataType": "string", "AllowedValues": "ON,OFF", "IsModifiable": true, "ApplyMethod": "pending-reboot", "SupportedEngineModes": ["provisioned"]}</t>
        </r>
      </text>
    </comment>
    <comment ref="E356" authorId="0">
      <text>
        <r>
          <rPr>
            <sz val="9"/>
            <color indexed="81"/>
            <rFont val="Meiryo UI"/>
            <family val="2"/>
          </rPr>
          <t>https://dev.mysql.com/doc/refman/8.4/en/replication-options-replica.html#sysvar_replica_preserve_commit_order
Community参考値でありAurora実効値ではありません。</t>
        </r>
      </text>
    </comment>
    <comment ref="M356"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7" authorId="0">
      <text>
        <r>
          <rPr>
            <sz val="9"/>
            <color indexed="81"/>
            <rFont val="Meiryo UI"/>
            <family val="2"/>
          </rPr>
          <t>APIメタデータ: {"ParameterName": "replica-skip-errors", "Description": "This variable causes the replica SQL thread to continue replication when a statement returns any of the errors listed in the variable value.", "Source": "engine-default", "ApplyType": "static", "DataType": "list", "AllowedValues": "OFF,all,ddl_exist_errors,&lt;integer&gt;", "IsModifiable": true, "ApplyMethod": "pending-reboot", "SupportedEngineModes": ["provisioned"]}</t>
        </r>
      </text>
    </comment>
    <comment ref="E357" authorId="0">
      <text>
        <r>
          <rPr>
            <sz val="9"/>
            <color indexed="81"/>
            <rFont val="Meiryo UI"/>
            <family val="2"/>
          </rPr>
          <t>https://dev.mysql.com/doc/refman/8.4/en/replication-options-replica.html#sysvar_replica_skip_errors
Community参考値でありAurora実効値ではありません。</t>
        </r>
      </text>
    </comment>
    <comment ref="M357"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8" authorId="0">
      <text>
        <r>
          <rPr>
            <sz val="9"/>
            <color indexed="81"/>
            <rFont val="Meiryo UI"/>
            <family val="2"/>
          </rPr>
          <t>APIメタデータ: {"ParameterName": "replica_sql_verify_checksum", "Description": "When this option is enabled, the replica examines checksums read from the relay log, in the event of a mismatch, the replica stops with an error.", "Source": "engine-default", "ApplyType": "dynamic", "DataType": "boolean", "AllowedValues": "0,1", "IsModifiable": true, "ApplyMethod": "pending-reboot", "SupportedEngineModes": ["provisioned"]}</t>
        </r>
      </text>
    </comment>
    <comment ref="E358" authorId="0">
      <text>
        <r>
          <rPr>
            <sz val="9"/>
            <color indexed="81"/>
            <rFont val="Meiryo UI"/>
            <family val="2"/>
          </rPr>
          <t>https://dev.mysql.com/doc/refman/8.4/en/replication-options-replica.html#sysvar_replica_sql_verify_checksum
Community参考値でありAurora実効値ではありません。</t>
        </r>
      </text>
    </comment>
    <comment ref="M358"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59" authorId="0">
      <text>
        <r>
          <rPr>
            <sz val="9"/>
            <color indexed="81"/>
            <rFont val="Meiryo UI"/>
            <family val="2"/>
          </rPr>
          <t>APIメタデータ: {"ParameterName": "replicate-do-db", "Description": "Creates a replication filter using the name of a database", "Source": "engine-default", "ApplyType": "dynamic", "DataType": "list", "IsModifiable": true, "ApplyMethod": "pending-reboot", "SupportedEngineModes": ["provisioned"]}</t>
        </r>
      </text>
    </comment>
    <comment ref="M359"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60" authorId="0">
      <text>
        <r>
          <rPr>
            <sz val="9"/>
            <color indexed="81"/>
            <rFont val="Meiryo UI"/>
            <family val="2"/>
          </rPr>
          <t>APIメタデータ: {"ParameterName": "replicate-do-table", "Description": "Creates a replication filter using the name of a table", "Source": "engine-default", "ApplyType": "dynamic", "DataType": "list", "IsModifiable": true, "ApplyMethod": "pending-reboot", "SupportedEngineModes": ["provisioned"]}</t>
        </r>
      </text>
    </comment>
    <comment ref="M360"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61" authorId="0">
      <text>
        <r>
          <rPr>
            <sz val="9"/>
            <color indexed="81"/>
            <rFont val="Meiryo UI"/>
            <family val="2"/>
          </rPr>
          <t>APIメタデータ: {"ParameterName": "replicate-ignore-db", "Description": "Creates a replication ignore filter using the name of a database", "Source": "engine-default", "ApplyType": "dynamic", "DataType": "list", "IsModifiable": true, "ApplyMethod": "pending-reboot", "SupportedEngineModes": ["provisioned"]}</t>
        </r>
      </text>
    </comment>
    <comment ref="M361"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62" authorId="0">
      <text>
        <r>
          <rPr>
            <sz val="9"/>
            <color indexed="81"/>
            <rFont val="Meiryo UI"/>
            <family val="2"/>
          </rPr>
          <t>APIメタデータ: {"ParameterName": "replicate-ignore-table", "Description": "Creates a replication ignore filter using the name of a table", "Source": "engine-default", "ApplyType": "dynamic", "DataType": "list", "IsModifiable": true, "ApplyMethod": "pending-reboot", "SupportedEngineModes": ["provisioned"]}</t>
        </r>
      </text>
    </comment>
    <comment ref="M362"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63" authorId="0">
      <text>
        <r>
          <rPr>
            <sz val="9"/>
            <color indexed="81"/>
            <rFont val="Meiryo UI"/>
            <family val="2"/>
          </rPr>
          <t>APIメタデータ: {"ParameterName": "replicate-wild-do-table", "Description": "Creates a replication filter using the pattern of a table name", "Source": "engine-default", "ApplyType": "dynamic", "DataType": "list", "IsModifiable": true, "ApplyMethod": "pending-reboot", "SupportedEngineModes": ["provisioned"]}</t>
        </r>
      </text>
    </comment>
    <comment ref="M363"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64" authorId="0">
      <text>
        <r>
          <rPr>
            <sz val="9"/>
            <color indexed="81"/>
            <rFont val="Meiryo UI"/>
            <family val="2"/>
          </rPr>
          <t>APIメタデータ: {"ParameterName": "replicate-wild-ignore-table", "Description": "Creates a replication ignore filter using the pattern of a table name", "Source": "engine-default", "ApplyType": "dynamic", "DataType": "list", "IsModifiable": true, "ApplyMethod": "pending-reboot", "SupportedEngineModes": ["provisioned"]}</t>
        </r>
      </text>
    </comment>
    <comment ref="M364"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65" authorId="0">
      <text>
        <r>
          <rPr>
            <sz val="9"/>
            <color indexed="81"/>
            <rFont val="Meiryo UI"/>
            <family val="2"/>
          </rPr>
          <t>APIメタデータ: {"ParameterName": "replica_transaction_retries", "Description": "Sets the maximum number of times for replication SQL threads on a single-threaded or multithreaded replica to automatically retry failed transactions before stopping.", "Source": "engine-default", "ApplyType": "dynamic", "DataType": "integer", "AllowedValues": "0-4294967295", "IsModifiable": true, "ApplyMethod": "pending-reboot", "SupportedEngineModes": ["provisioned"]}</t>
        </r>
      </text>
    </comment>
    <comment ref="E365" authorId="0">
      <text>
        <r>
          <rPr>
            <sz val="9"/>
            <color indexed="81"/>
            <rFont val="Meiryo UI"/>
            <family val="2"/>
          </rPr>
          <t>https://dev.mysql.com/doc/refman/8.4/en/replication-options-replica.html#sysvar_replica_transaction_retries
Community参考値でありAurora実効値ではありません。</t>
        </r>
      </text>
    </comment>
    <comment ref="M365"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66" authorId="0">
      <text>
        <r>
          <rPr>
            <sz val="9"/>
            <color indexed="81"/>
            <rFont val="Meiryo UI"/>
            <family val="2"/>
          </rPr>
          <t>APIメタデータ: {"ParameterName": "replica_type_conversions", "Description": "Set of replica type conversions that are enabled. Legal values are: ALL_LOSSY to enable lossy conversions and ALL_NON_LOSSY to enable non-lossy conversions. If the variable is assigned the empty set, no conversions are allowed and it is expected that the types match exactly.", "Source": "engine-default", "ApplyType": "static", "DataType": "list", "AllowedValues": "ALL_LOSSY, ALL_NON_LOSSY, ALL_SIGNED, ALL_UNSIGNED", "IsModifiable": true, "ApplyMethod": "pending-reboot", "SupportedEngineModes": ["provisioned"]}</t>
        </r>
      </text>
    </comment>
    <comment ref="E366" authorId="0">
      <text>
        <r>
          <rPr>
            <sz val="9"/>
            <color indexed="81"/>
            <rFont val="Meiryo UI"/>
            <family val="2"/>
          </rPr>
          <t>https://dev.mysql.com/doc/refman/8.4/en/replication-options-replica.html#sysvar_replica_type_conversions
Community参考値でありAurora実効値ではありません。</t>
        </r>
      </text>
    </comment>
    <comment ref="M366"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367" authorId="0">
      <text>
        <r>
          <rPr>
            <sz val="9"/>
            <color indexed="81"/>
            <rFont val="Meiryo UI"/>
            <family val="2"/>
          </rPr>
          <t>APIメタデータ: {"ParameterName": "require_secure_transport", "ParameterValue": "ON", "Description": "Whether client connections to the server are required to use some form of secure transport.", "Source": "engine-default", "ApplyType": "dynamic", "DataType": "string", "AllowedValues": "ON,OFF", "IsModifiable": true, "ApplyMethod": "pending-reboot", "SupportedEngineModes": ["provisioned"]}</t>
        </r>
      </text>
    </comment>
    <comment ref="E367" authorId="0">
      <text>
        <r>
          <rPr>
            <sz val="9"/>
            <color indexed="81"/>
            <rFont val="Meiryo UI"/>
            <family val="2"/>
          </rPr>
          <t>https://dev.mysql.com/doc/refman/8.4/en/server-system-variables.html#sysvar_require_secure_transport
Community参考値でありAurora実効値ではありません。</t>
        </r>
      </text>
    </comment>
    <comment ref="M367" authorId="0">
      <text>
        <r>
          <rPr>
            <sz val="9"/>
            <color indexed="81"/>
            <rFont val="Meiryo UI"/>
            <family val="2"/>
          </rPr>
          <t>https://docs.aws.amazon.com/AmazonRDS/latest/APIReference/API_DescribeDBClusterParameters.html
https://docs.aws.amazon.com/AmazonRDS/latest/AuroraUserGuide/AuroraMySQL.Upgrade-v3-v84-security.html
https://dev.mysql.com/doc/connector-j/en/connector-j-reference-using-ssl.html</t>
        </r>
      </text>
    </comment>
    <comment ref="B368" authorId="0">
      <text>
        <r>
          <rPr>
            <sz val="9"/>
            <color indexed="81"/>
            <rFont val="Meiryo UI"/>
            <family val="2"/>
          </rPr>
          <t>APIメタデータ: {"ParameterName": "restrict_fk_on_non_standard_key", "ParameterValue": "1", "Description": "Disallow the creation of foreign keys referencing non-unique key or partial key.", "Source": "engine-default", "ApplyType": "dynamic", "DataType": "boolean", "AllowedValues": "0,1", "IsModifiable": true, "ApplyMethod": "pending-reboot", "SupportedEngineModes": ["provisioned"]}</t>
        </r>
      </text>
    </comment>
    <comment ref="E368" authorId="0">
      <text>
        <r>
          <rPr>
            <sz val="9"/>
            <color indexed="81"/>
            <rFont val="Meiryo UI"/>
            <family val="2"/>
          </rPr>
          <t>https://dev.mysql.com/doc/refman/8.4/en/server-system-variables.html#sysvar_restrict_fk_on_non_standard_key
Community参考値でありAurora実効値ではありません。</t>
        </r>
      </text>
    </comment>
    <comment ref="M368" authorId="0">
      <text>
        <r>
          <rPr>
            <sz val="9"/>
            <color indexed="81"/>
            <rFont val="Meiryo UI"/>
            <family val="2"/>
          </rPr>
          <t>https://docs.aws.amazon.com/AmazonRDS/latest/APIReference/API_DescribeDBClusterParameters.html
https://docs.aws.amazon.com/AmazonRDS/latest/AuroraUserGuide/AuroraMySQL.MySQL84.html</t>
        </r>
      </text>
    </comment>
    <comment ref="B369" authorId="0">
      <text>
        <r>
          <rPr>
            <sz val="9"/>
            <color indexed="81"/>
            <rFont val="Meiryo UI"/>
            <family val="2"/>
          </rPr>
          <t>APIメタデータ: {"ParameterName": "rpl_read_size", "Description": "Sets the minimum amount of data in bytes which is read from binary log files and relay log files.", "Source": "engine-default", "ApplyType": "dynamic", "DataType": "integer", "AllowedValues": "8192-4294959104", "IsModifiable": true, "ApplyMethod": "pending-reboot", "SupportedEngineModes": ["provisioned"]}</t>
        </r>
      </text>
    </comment>
    <comment ref="E369" authorId="0">
      <text>
        <r>
          <rPr>
            <sz val="9"/>
            <color indexed="81"/>
            <rFont val="Meiryo UI"/>
            <family val="2"/>
          </rPr>
          <t>https://dev.mysql.com/doc/refman/8.4/en/replication-options-replica.html#sysvar_rpl_read_size
Community参考値でありAurora実効値ではありません。</t>
        </r>
      </text>
    </comment>
    <comment ref="M36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70" authorId="0">
      <text>
        <r>
          <rPr>
            <sz val="9"/>
            <color indexed="81"/>
            <rFont val="Meiryo UI"/>
            <family val="2"/>
          </rPr>
          <t>APIメタデータ: {"ParameterName": "safe-user-create", "Description": "If this option is enabled, a user cannot create new MySQL users by using the GRANT  statement unless the user has the INSERT privilege for the mysql.user table or any column in the table.", "Source": "engine-default", "ApplyType": "static", "DataType": "boolean", "AllowedValues": "0,1", "IsModifiable": true, "ApplyMethod": "pending-reboot", "SupportedEngineModes": ["provisioned"]}</t>
        </r>
      </text>
    </comment>
    <comment ref="M37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71" authorId="0">
      <text>
        <r>
          <rPr>
            <sz val="9"/>
            <color indexed="81"/>
            <rFont val="Meiryo UI"/>
            <family val="2"/>
          </rPr>
          <t>APIメタデータ: {"ParameterName": "schema_definition_cache", "Description": "Defines a limit for the number of schema definition objects, both used and unused, that can be kept in the dictionary object cache.", "Source": "engine-default", "ApplyType": "dynamic", "DataType": "integer", "AllowedValues": "256-524288", "IsModifiable": true, "ApplyMethod": "pending-reboot", "SupportedEngineModes": ["provisioned"]}</t>
        </r>
      </text>
    </comment>
    <comment ref="E371" authorId="0">
      <text>
        <r>
          <rPr>
            <sz val="9"/>
            <color indexed="81"/>
            <rFont val="Meiryo UI"/>
            <family val="2"/>
          </rPr>
          <t>https://dev.mysql.com/doc/refman/8.4/en/server-system-variables.html#sysvar_schema_definition_cache
Community参考値でありAurora実効値ではありません。</t>
        </r>
      </text>
    </comment>
    <comment ref="M371"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372" authorId="0">
      <text>
        <r>
          <rPr>
            <sz val="9"/>
            <color indexed="81"/>
            <rFont val="Meiryo UI"/>
            <family val="2"/>
          </rPr>
          <t>APIメタデータ: {"ParameterName": "secure_file_priv", "ParameterValue": "/tmp", "Description": "Limits the effect of LOAD_FILE(), LOAD_DATA, and SELECT ??? INTO OUTFILE to specified directory.", "Source": "system", "ApplyType": "static", "DataType": "string", "IsModifiable": false, "ApplyMethod": "pending-reboot", "SupportedEngineModes": ["provisioned"]}</t>
        </r>
      </text>
    </comment>
    <comment ref="E372" authorId="0">
      <text>
        <r>
          <rPr>
            <sz val="9"/>
            <color indexed="81"/>
            <rFont val="Meiryo UI"/>
            <family val="2"/>
          </rPr>
          <t>https://dev.mysql.com/doc/refman/8.4/en/server-system-variables.html#sysvar_secure_file_priv
Community参考値でありAurora実効値ではありません。</t>
        </r>
      </text>
    </comment>
    <comment ref="M37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73" authorId="0">
      <text>
        <r>
          <rPr>
            <sz val="9"/>
            <color indexed="81"/>
            <rFont val="Meiryo UI"/>
            <family val="2"/>
          </rPr>
          <t>APIメタデータ: {"ParameterName": "server_audit_events", "Description": "If set it specifies the set of types of events to log", "Source": "engine-default", "ApplyType": "dynamic", "DataType": "list", "AllowedValues": "CONNECT,QUERY,QUERY_DCL,QUERY_DDL,QUERY_DML,TABLE", "IsModifiable": true, "ApplyMethod": "pending-reboot", "SupportedEngineModes": ["provisioned"]}</t>
        </r>
      </text>
    </comment>
    <comment ref="M373"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74" authorId="0">
      <text>
        <r>
          <rPr>
            <sz val="9"/>
            <color indexed="81"/>
            <rFont val="Meiryo UI"/>
            <family val="2"/>
          </rPr>
          <t>APIメタデータ: {"ParameterName": "server_audit_excl_users", "Description": "If not empty, it contains the list of users whose activity will NOT be logged", "Source": "engine-default", "ApplyType": "dynamic", "DataType": "string", "IsModifiable": true, "ApplyMethod": "pending-reboot", "SupportedEngineModes": ["provisioned"]}</t>
        </r>
      </text>
    </comment>
    <comment ref="M374"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75" authorId="0">
      <text>
        <r>
          <rPr>
            <sz val="9"/>
            <color indexed="81"/>
            <rFont val="Meiryo UI"/>
            <family val="2"/>
          </rPr>
          <t>APIメタデータ: {"ParameterName": "server_audit_incl_users", "Description": "If not empty, it contains a comma-delimited list of users whose activity will be logged", "Source": "engine-default", "ApplyType": "dynamic", "DataType": "string", "IsModifiable": true, "ApplyMethod": "pending-reboot", "SupportedEngineModes": ["provisioned"]}</t>
        </r>
      </text>
    </comment>
    <comment ref="M375"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76" authorId="0">
      <text>
        <r>
          <rPr>
            <sz val="9"/>
            <color indexed="81"/>
            <rFont val="Meiryo UI"/>
            <family val="2"/>
          </rPr>
          <t>APIメタデータ: {"ParameterName": "server_audit_logging", "Description": "Enables audit logging", "Source": "engine-default", "ApplyType": "dynamic", "DataType": "boolean", "AllowedValues": "0,1", "IsModifiable": true, "ApplyMethod": "pending-reboot", "SupportedEngineModes": ["provisioned"]}</t>
        </r>
      </text>
    </comment>
    <comment ref="M376"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77" authorId="0">
      <text>
        <r>
          <rPr>
            <sz val="9"/>
            <color indexed="81"/>
            <rFont val="Meiryo UI"/>
            <family val="2"/>
          </rPr>
          <t>APIメタデータ: {"ParameterName": "server_audit_logs_upload", "ParameterValue": "0", "Description": "Enables audit log upload to CloudWatch Logs", "Source": "engine-default", "ApplyType": "dynamic", "DataType": "boolean", "AllowedValues": "0,1", "IsModifiable": true, "ApplyMethod": "pending-reboot", "SupportedEngineModes": ["provisioned"]}</t>
        </r>
      </text>
    </comment>
    <comment ref="M377"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78" authorId="0">
      <text>
        <r>
          <rPr>
            <sz val="9"/>
            <color indexed="81"/>
            <rFont val="Meiryo UI"/>
            <family val="2"/>
          </rPr>
          <t>APIメタデータ: {"ParameterName": "server_audit_query_log_limit", "Description": "Limit on the length of the query string in an audit log record", "Source": "engine-default", "ApplyType": "dynamic", "DataType": "integer", "AllowedValues": "1024-1073741824", "IsModifiable": true, "ApplyMethod": "pending-reboot", "SupportedEngineModes": ["provisioned"]}</t>
        </r>
      </text>
    </comment>
    <comment ref="M378"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79" authorId="0">
      <text>
        <r>
          <rPr>
            <sz val="9"/>
            <color indexed="81"/>
            <rFont val="Meiryo UI"/>
            <family val="2"/>
          </rPr>
          <t>APIメタデータ: {"ParameterName": "server_id", "ParameterValue": "{ServerId}", "Description": "Integer value used to identify the instance in a replication group", "Source": "system", "ApplyType": "dynamic", "DataType": "integer", "IsModifiable": false, "ApplyMethod": "pending-reboot", "SupportedEngineModes": ["provisioned"]}</t>
        </r>
      </text>
    </comment>
    <comment ref="M37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80" authorId="0">
      <text>
        <r>
          <rPr>
            <sz val="9"/>
            <color indexed="81"/>
            <rFont val="Meiryo UI"/>
            <family val="2"/>
          </rPr>
          <t>APIメタデータ: {"ParameterName": "show_create_table_verbosity", "Description": "Enabling show_create_table_verbosity causes SHOW CREATE TABLE to display ROW_FORMAT regardless of whether it is the default format", "Source": "engine-default", "ApplyType": "dynamic", "DataType": "boolean", "AllowedValues": "0,1", "IsModifiable": true, "ApplyMethod": "pending-reboot", "SupportedEngineModes": ["provisioned"]}</t>
        </r>
      </text>
    </comment>
    <comment ref="E380" authorId="0">
      <text>
        <r>
          <rPr>
            <sz val="9"/>
            <color indexed="81"/>
            <rFont val="Meiryo UI"/>
            <family val="2"/>
          </rPr>
          <t>https://dev.mysql.com/doc/refman/8.4/en/server-system-variables.html#sysvar_show_create_table_verbosity
Community参考値でありAurora実効値ではありません。</t>
        </r>
      </text>
    </comment>
    <comment ref="M38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81" authorId="0">
      <text>
        <r>
          <rPr>
            <sz val="9"/>
            <color indexed="81"/>
            <rFont val="Meiryo UI"/>
            <family val="2"/>
          </rPr>
          <t>APIメタデータ: {"ParameterName": "show_gipk_in_create_table_and_information_schema", "Description": "Whether generated invisible primary keys are visible in the output of SHOW statements and in Information Schema tables.", "Source": "engine-default", "ApplyType": "dynamic", "DataType": "boolean", "AllowedValues": "0,1", "IsModifiable": true, "ApplyMethod": "pending-reboot", "SupportedEngineModes": ["provisioned"]}</t>
        </r>
      </text>
    </comment>
    <comment ref="E381" authorId="0">
      <text>
        <r>
          <rPr>
            <sz val="9"/>
            <color indexed="81"/>
            <rFont val="Meiryo UI"/>
            <family val="2"/>
          </rPr>
          <t>https://dev.mysql.com/doc/refman/8.4/en/server-system-variables.html#sysvar_show_gipk_in_create_table_and_information_schema
Community参考値でありAurora実効値ではありません。</t>
        </r>
      </text>
    </comment>
    <comment ref="M38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82" authorId="0">
      <text>
        <r>
          <rPr>
            <sz val="9"/>
            <color indexed="81"/>
            <rFont val="Meiryo UI"/>
            <family val="2"/>
          </rPr>
          <t>APIメタデータ: {"ParameterName": "skip_external_locking", "Description": "Uses OS locking instead of internal", "Source": "engine-default", "ApplyType": "static", "DataType": "boolean", "AllowedValues": "0,1", "IsModifiable": false, "ApplyMethod": "pending-reboot", "SupportedEngineModes": ["provisioned"]}</t>
        </r>
      </text>
    </comment>
    <comment ref="E382" authorId="0">
      <text>
        <r>
          <rPr>
            <sz val="9"/>
            <color indexed="81"/>
            <rFont val="Meiryo UI"/>
            <family val="2"/>
          </rPr>
          <t>https://dev.mysql.com/doc/refman/8.4/en/server-system-variables.html#sysvar_skip_external_locking
Community参考値でありAurora実効値ではありません。</t>
        </r>
      </text>
    </comment>
    <comment ref="M38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83" authorId="0">
      <text>
        <r>
          <rPr>
            <sz val="9"/>
            <color indexed="81"/>
            <rFont val="Meiryo UI"/>
            <family val="2"/>
          </rPr>
          <t>APIメタデータ: {"ParameterName": "skip_name_resolve", "ParameterValue": "1", "Description": "Host names are not resolved. All Host column values in the grant tables must be IP numbers or localhost.", "Source": "system", "ApplyType": "static", "DataType": "boolean", "AllowedValues": "0,1", "IsModifiable": false, "ApplyMethod": "pending-reboot", "SupportedEngineModes": ["provisioned"]}</t>
        </r>
      </text>
    </comment>
    <comment ref="E383" authorId="0">
      <text>
        <r>
          <rPr>
            <sz val="9"/>
            <color indexed="81"/>
            <rFont val="Meiryo UI"/>
            <family val="2"/>
          </rPr>
          <t>https://dev.mysql.com/doc/refman/8.4/en/server-system-variables.html#sysvar_skip_name_resolve
Community参考値でありAurora実効値ではありません。</t>
        </r>
      </text>
    </comment>
    <comment ref="M38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84" authorId="0">
      <text>
        <r>
          <rPr>
            <sz val="9"/>
            <color indexed="81"/>
            <rFont val="Meiryo UI"/>
            <family val="2"/>
          </rPr>
          <t>APIメタデータ: {"ParameterName": "skip-replica-start", "ParameterValue": "1", "Description": "Tells the replica server not to start the replica threads when the server starts.", "Source": "system", "ApplyType": "static", "DataType": "boolean", "AllowedValues": "0,1", "IsModifiable": false, "ApplyMethod": "pending-reboot", "SupportedEngineModes": ["provisioned"]}</t>
        </r>
      </text>
    </comment>
    <comment ref="E384" authorId="0">
      <text>
        <r>
          <rPr>
            <sz val="9"/>
            <color indexed="81"/>
            <rFont val="Meiryo UI"/>
            <family val="2"/>
          </rPr>
          <t>https://dev.mysql.com/doc/refman/8.4/en/replication-options-replica.html#sysvar_skip_replica_start
Community参考値でありAurora実効値ではありません。</t>
        </r>
      </text>
    </comment>
    <comment ref="M38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85" authorId="0">
      <text>
        <r>
          <rPr>
            <sz val="9"/>
            <color indexed="81"/>
            <rFont val="Meiryo UI"/>
            <family val="2"/>
          </rPr>
          <t>APIメタデータ: {"ParameterName": "skip_show_database", "Description": "SHOW DATABASES statement is allowed only to users who have the SHOW DATABASES privilege", "Source": "engine-default", "ApplyType": "static", "DataType": "boolean", "AllowedValues": "0,1", "IsModifiable": true, "ApplyMethod": "pending-reboot", "SupportedEngineModes": ["provisioned"]}</t>
        </r>
      </text>
    </comment>
    <comment ref="E385" authorId="0">
      <text>
        <r>
          <rPr>
            <sz val="9"/>
            <color indexed="81"/>
            <rFont val="Meiryo UI"/>
            <family val="2"/>
          </rPr>
          <t>https://dev.mysql.com/doc/refman/8.4/en/server-options.html#sysvar_skip_show_database
Community参考値でありAurora実効値ではありません。</t>
        </r>
      </text>
    </comment>
    <comment ref="M38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86" authorId="0">
      <text>
        <r>
          <rPr>
            <sz val="9"/>
            <color indexed="81"/>
            <rFont val="Meiryo UI"/>
            <family val="2"/>
          </rPr>
          <t>APIメタデータ: {"ParameterName": "slow_launch_time", "Description": "Increments Slow_launch_threads if creating thread takes longer than this many seconds.", "Source": "engine-default", "ApplyType": "dynamic", "DataType": "integer", "AllowedValues": "0-31536000", "IsModifiable": true, "ApplyMethod": "pending-reboot", "SupportedEngineModes": ["provisioned"]}</t>
        </r>
      </text>
    </comment>
    <comment ref="E386" authorId="0">
      <text>
        <r>
          <rPr>
            <sz val="9"/>
            <color indexed="81"/>
            <rFont val="Meiryo UI"/>
            <family val="2"/>
          </rPr>
          <t>https://dev.mysql.com/doc/refman/8.4/en/server-system-variables.html#sysvar_slow_launch_time
Community参考値でありAurora実効値ではありません。</t>
        </r>
      </text>
    </comment>
    <comment ref="M386"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87" authorId="0">
      <text>
        <r>
          <rPr>
            <sz val="9"/>
            <color indexed="81"/>
            <rFont val="Meiryo UI"/>
            <family val="2"/>
          </rPr>
          <t>APIメタデータ: {"ParameterName": "slow_query_log", "Description": "Enable or disable the slow query log", "Source": "engine-default", "ApplyType": "dynamic", "DataType": "boolean", "AllowedValues": "0,1", "IsModifiable": true, "ApplyMethod": "pending-reboot", "SupportedEngineModes": ["provisioned"]}</t>
        </r>
      </text>
    </comment>
    <comment ref="E387" authorId="0">
      <text>
        <r>
          <rPr>
            <sz val="9"/>
            <color indexed="81"/>
            <rFont val="Meiryo UI"/>
            <family val="2"/>
          </rPr>
          <t>https://dev.mysql.com/doc/refman/8.4/en/server-system-variables.html#sysvar_slow_query_log
Community参考値でありAurora実効値ではありません。</t>
        </r>
      </text>
    </comment>
    <comment ref="M387"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88" authorId="0">
      <text>
        <r>
          <rPr>
            <sz val="9"/>
            <color indexed="81"/>
            <rFont val="Meiryo UI"/>
            <family val="2"/>
          </rPr>
          <t>APIメタデータ: {"ParameterName": "slow_query_log_file", "ParameterValue": "/rdsdbdata/log/slowquery/mysql-slowquery.log", "Description": "Location of the mysql slow query log file.", "Source": "system", "ApplyType": "dynamic", "DataType": "string", "IsModifiable": false, "ApplyMethod": "pending-reboot", "SupportedEngineModes": ["provisioned"]}</t>
        </r>
      </text>
    </comment>
    <comment ref="E388" authorId="0">
      <text>
        <r>
          <rPr>
            <sz val="9"/>
            <color indexed="81"/>
            <rFont val="Meiryo UI"/>
            <family val="2"/>
          </rPr>
          <t>https://dev.mysql.com/doc/refman/8.4/en/server-system-variables.html#sysvar_slow_query_log_file
Community参考値でありAurora実効値ではありません。</t>
        </r>
      </text>
    </comment>
    <comment ref="M388" authorId="0">
      <text>
        <r>
          <rPr>
            <sz val="9"/>
            <color indexed="81"/>
            <rFont val="Meiryo UI"/>
            <family val="2"/>
          </rPr>
          <t>https://docs.aws.amazon.com/AmazonRDS/latest/APIReference/API_DescribeDBClusterParameters.html
https://docs.aws.amazon.com/AmazonRDS/latest/AuroraUserGuide/AuroraMySQL.Reference.ParameterGroups.html</t>
        </r>
      </text>
    </comment>
    <comment ref="B389" authorId="0">
      <text>
        <r>
          <rPr>
            <sz val="9"/>
            <color indexed="81"/>
            <rFont val="Meiryo UI"/>
            <family val="2"/>
          </rPr>
          <t>APIメタデータ: {"ParameterName": "socket", "ParameterValue": "/tmp/mysql.sock", "Description": "(UNIX) socket file and (WINDOWS) named pipe used for local connections.", "Source": "system", "ApplyType": "static", "DataType": "string", "IsModifiable": false, "ApplyMethod": "pending-reboot", "SupportedEngineModes": ["provisioned"]}</t>
        </r>
      </text>
    </comment>
    <comment ref="E389" authorId="0">
      <text>
        <r>
          <rPr>
            <sz val="9"/>
            <color indexed="81"/>
            <rFont val="Meiryo UI"/>
            <family val="2"/>
          </rPr>
          <t>https://dev.mysql.com/doc/refman/8.4/en/server-options.html#sysvar_socket
Community参考値でありAurora実効値ではありません。</t>
        </r>
      </text>
    </comment>
    <comment ref="M389"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90" authorId="0">
      <text>
        <r>
          <rPr>
            <sz val="9"/>
            <color indexed="81"/>
            <rFont val="Meiryo UI"/>
            <family val="2"/>
          </rPr>
          <t>APIメタデータ: {"ParameterName": "sort_buffer_size", "Description": "Larger value improves perf for ORDER BY or GROUP BY operations.", "Source": "engine-default", "ApplyType": "dynamic", "DataType": "integer", "AllowedValues": "32768-18446744073709551615", "IsModifiable": true, "ApplyMethod": "pending-reboot", "SupportedEngineModes": ["provisioned"]}</t>
        </r>
      </text>
    </comment>
    <comment ref="E390" authorId="0">
      <text>
        <r>
          <rPr>
            <sz val="9"/>
            <color indexed="81"/>
            <rFont val="Meiryo UI"/>
            <family val="2"/>
          </rPr>
          <t>https://dev.mysql.com/doc/refman/8.4/en/server-system-variables.html#sysvar_sort_buffer_size
Community参考値でありAurora実効値ではありません。</t>
        </r>
      </text>
    </comment>
    <comment ref="M390"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391" authorId="0">
      <text>
        <r>
          <rPr>
            <sz val="9"/>
            <color indexed="81"/>
            <rFont val="Meiryo UI"/>
            <family val="2"/>
          </rPr>
          <t>APIメタデータ: {"ParameterName": "source_verify_checksum", "Description": "Enabling this variable causes the source to examine checksums when reading from the binary log.", "Source": "engine-default", "ApplyType": "dynamic", "DataType": "boolean", "AllowedValues": "0,1", "IsModifiable": true, "ApplyMethod": "pending-reboot", "SupportedEngineModes": ["provisioned"]}</t>
        </r>
      </text>
    </comment>
    <comment ref="E391" authorId="0">
      <text>
        <r>
          <rPr>
            <sz val="9"/>
            <color indexed="81"/>
            <rFont val="Meiryo UI"/>
            <family val="2"/>
          </rPr>
          <t>https://dev.mysql.com/doc/refman/8.4/en/replication-options-binary-log.html#sysvar_source_verify_checksum
Community参考値でありAurora実効値ではありません。</t>
        </r>
      </text>
    </comment>
    <comment ref="M391"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392" authorId="0">
      <text>
        <r>
          <rPr>
            <sz val="9"/>
            <color indexed="81"/>
            <rFont val="Meiryo UI"/>
            <family val="2"/>
          </rPr>
          <t>APIメタデータ: {"ParameterName": "sql_generate_invisible_primary_key", "Description": "Whether this server adds a generated invisible primary key to any InnoDB table that is created without one.", "Source": "engine-default", "ApplyType": "dynamic", "DataType": "boolean", "AllowedValues": "0,1", "IsModifiable": true, "ApplyMethod": "pending-reboot", "SupportedEngineModes": ["provisioned"]}</t>
        </r>
      </text>
    </comment>
    <comment ref="E392" authorId="0">
      <text>
        <r>
          <rPr>
            <sz val="9"/>
            <color indexed="81"/>
            <rFont val="Meiryo UI"/>
            <family val="2"/>
          </rPr>
          <t>https://dev.mysql.com/doc/refman/8.4/en/server-system-variables.html#sysvar_sql_generate_invisible_primary_key
Community参考値でありAurora実効値ではありません。</t>
        </r>
      </text>
    </comment>
    <comment ref="M392" authorId="0">
      <text>
        <r>
          <rPr>
            <sz val="9"/>
            <color indexed="81"/>
            <rFont val="Meiryo UI"/>
            <family val="2"/>
          </rPr>
          <t>https://docs.aws.amazon.com/AmazonRDS/latest/APIReference/API_DescribeDBClusterParameters.html
https://dev.mysql.com/doc/refman/8.4/en/server-system-variables.html</t>
        </r>
      </text>
    </comment>
    <comment ref="B393" authorId="0">
      <text>
        <r>
          <rPr>
            <sz val="9"/>
            <color indexed="81"/>
            <rFont val="Meiryo UI"/>
            <family val="2"/>
          </rPr>
          <t>APIメタデータ: {"ParameterName": "sql_mode", "ParameterValue": "0", "Description": "Current SQL Server Mode.", "Source": "system", "ApplyType": "dynamic", "DataType": "list", "AllowedValues": "0,ANSI,ALLOW_INVALID_DATES,ANSI_QUOTES,ERROR_FOR_DIVISION_BY_ZERO,HIGH_NOT_PRECEDENCE,IGNORE_SPACE,NO_AUTO_VALUE_ON_ZERO,NO_BACKSLASH_ESCAPES,NO_DIR_IN_CREATE,NO_ENGINE_SUBSTITUTION,NO_UNSIGNED_SUBTRACTION,NO_ZERO_DATE,NO_ZERO_IN_DATE,ONLY_FULL_GROUP_BY,PAD_CHAR_TO_FULL_LENGTH,PIPES_AS_CONCAT,REAL_AS_FLOAT,STRICT_ALL_TABLES,STRICT_TRANS_TABLES,TRADITIONAL,TIME_TRUNCATE_FRACTIONAL", "IsModifiable": true, "ApplyMethod": "pending-reboot", "SupportedEngineModes": ["provisioned"]}</t>
        </r>
      </text>
    </comment>
    <comment ref="E393" authorId="0">
      <text>
        <r>
          <rPr>
            <sz val="9"/>
            <color indexed="81"/>
            <rFont val="Meiryo UI"/>
            <family val="2"/>
          </rPr>
          <t>https://dev.mysql.com/doc/refman/8.4/en/server-options.html#sysvar_sql_mode
Community参考値でありAurora実効値ではありません。</t>
        </r>
      </text>
    </comment>
    <comment ref="M393" authorId="0">
      <text>
        <r>
          <rPr>
            <sz val="9"/>
            <color indexed="81"/>
            <rFont val="Meiryo UI"/>
            <family val="2"/>
          </rPr>
          <t>https://docs.aws.amazon.com/AmazonRDS/latest/APIReference/API_DescribeDBClusterParameters.html
https://dev.mysql.com/doc/refman/8.4/en/server-system-variables.html</t>
        </r>
      </text>
    </comment>
    <comment ref="B394" authorId="0">
      <text>
        <r>
          <rPr>
            <sz val="9"/>
            <color indexed="81"/>
            <rFont val="Meiryo UI"/>
            <family val="2"/>
          </rPr>
          <t>APIメタデータ: {"ParameterName": "sql_select_limit", "Description": "The maximum number of rows to return from SELECT statements.", "Source": "engine-default", "ApplyType": "dynamic", "DataType": "integer", "AllowedValues": "0-18446744073709551615", "IsModifiable": true, "ApplyMethod": "pending-reboot", "SupportedEngineModes": ["provisioned"]}</t>
        </r>
      </text>
    </comment>
    <comment ref="E394" authorId="0">
      <text>
        <r>
          <rPr>
            <sz val="9"/>
            <color indexed="81"/>
            <rFont val="Meiryo UI"/>
            <family val="2"/>
          </rPr>
          <t>https://dev.mysql.com/doc/refman/8.4/en/server-system-variables.html#sysvar_sql_select_limit
Community参考値でありAurora実効値ではありません。</t>
        </r>
      </text>
    </comment>
    <comment ref="M394" authorId="0">
      <text>
        <r>
          <rPr>
            <sz val="9"/>
            <color indexed="81"/>
            <rFont val="Meiryo UI"/>
            <family val="2"/>
          </rPr>
          <t>https://docs.aws.amazon.com/AmazonRDS/latest/APIReference/API_DescribeDBClusterParameters.html
https://dev.mysql.com/doc/refman/8.4/en/server-system-variables.html</t>
        </r>
      </text>
    </comment>
    <comment ref="B395" authorId="0">
      <text>
        <r>
          <rPr>
            <sz val="9"/>
            <color indexed="81"/>
            <rFont val="Meiryo UI"/>
            <family val="2"/>
          </rPr>
          <t>APIメタデータ: {"ParameterName": "ssl_cipher", "ParameterValue": "ECDHE-ECDSA-AES128-GCM-SHA256,ECDHE-ECDSA-AES256-GCM-SHA384,ECDHE-RSA-AES128-GCM-SHA256,ECDHE-RSA-AES256-GCM-SHA384", "Description": "The list of permissible ciphers for connection encryption. Certain allowable cipher values in this list may not be supported by all engine versions.  Please refer to configurable SSL ciphers documentation.", "Source": "system", "ApplyType": "dynamic", "DataType": "list", "AllowedValues": "ECDHE-ECDSA-AES128-GCM-SHA256,ECDHE-ECDSA-AES256-GCM-SHA384,ECDHE-RSA-AES128-GCM-SHA256,ECDHE-RSA-AES256-GCM-SHA384", "IsModifiable": true, "ApplyMethod": "pending-reboot", "SupportedEngineModes": ["provisioned"]}</t>
        </r>
      </text>
    </comment>
    <comment ref="E395" authorId="0">
      <text>
        <r>
          <rPr>
            <sz val="9"/>
            <color indexed="81"/>
            <rFont val="Meiryo UI"/>
            <family val="2"/>
          </rPr>
          <t>https://dev.mysql.com/doc/refman/8.4/en/server-system-variables.html#sysvar_ssl_cipher
Community参考値でありAurora実効値ではありません。</t>
        </r>
      </text>
    </comment>
    <comment ref="M395"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396" authorId="0">
      <text>
        <r>
          <rPr>
            <sz val="9"/>
            <color indexed="81"/>
            <rFont val="Meiryo UI"/>
            <family val="2"/>
          </rPr>
          <t>APIメタデータ: {"ParameterName": "ssl_session_cache_mode", "Description": "Controls whether to enable the session cache in memory on the server side and session-ticket generation by the server.", "Source": "engine-default", "ApplyType": "dynamic", "DataType": "boolean", "AllowedValues": "0,1", "IsModifiable": true, "ApplyMethod": "pending-reboot", "SupportedEngineModes": ["provisioned"]}</t>
        </r>
      </text>
    </comment>
    <comment ref="E396" authorId="0">
      <text>
        <r>
          <rPr>
            <sz val="9"/>
            <color indexed="81"/>
            <rFont val="Meiryo UI"/>
            <family val="2"/>
          </rPr>
          <t>https://dev.mysql.com/doc/refman/8.4/en/server-system-variables.html#sysvar_ssl_session_cache_mode
Community参考値でありAurora実効値ではありません。</t>
        </r>
      </text>
    </comment>
    <comment ref="M396"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397" authorId="0">
      <text>
        <r>
          <rPr>
            <sz val="9"/>
            <color indexed="81"/>
            <rFont val="Meiryo UI"/>
            <family val="2"/>
          </rPr>
          <t>APIメタデータ: {"ParameterName": "ssl_session_cache_timeout", "Description": "Sets a period of time during which prior session reuse is permitted when establishing a new encrypted connection to the server.", "Source": "engine-default", "ApplyType": "dynamic", "DataType": "integer", "AllowedValues": "0-84600", "IsModifiable": true, "ApplyMethod": "pending-reboot", "SupportedEngineModes": ["provisioned"]}</t>
        </r>
      </text>
    </comment>
    <comment ref="E397" authorId="0">
      <text>
        <r>
          <rPr>
            <sz val="9"/>
            <color indexed="81"/>
            <rFont val="Meiryo UI"/>
            <family val="2"/>
          </rPr>
          <t>https://dev.mysql.com/doc/refman/8.4/en/server-system-variables.html#sysvar_ssl_session_cache_timeout
Community参考値でありAurora実効値ではありません。</t>
        </r>
      </text>
    </comment>
    <comment ref="M397"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398" authorId="0">
      <text>
        <r>
          <rPr>
            <sz val="9"/>
            <color indexed="81"/>
            <rFont val="Meiryo UI"/>
            <family val="2"/>
          </rPr>
          <t>APIメタデータ: {"ParameterName": "stored_program_cache", "Description": "Sets a soft upper limit for the number of cached stored routines per connection.", "Source": "engine-default", "ApplyType": "dynamic", "DataType": "integer", "AllowedValues": "256-524288", "IsModifiable": true, "ApplyMethod": "pending-reboot", "SupportedEngineModes": ["provisioned"]}</t>
        </r>
      </text>
    </comment>
    <comment ref="E398" authorId="0">
      <text>
        <r>
          <rPr>
            <sz val="9"/>
            <color indexed="81"/>
            <rFont val="Meiryo UI"/>
            <family val="2"/>
          </rPr>
          <t>https://dev.mysql.com/doc/refman/8.4/en/server-system-variables.html#sysvar_stored_program_cache
Community参考値でありAurora実効値ではありません。</t>
        </r>
      </text>
    </comment>
    <comment ref="M398"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399" authorId="0">
      <text>
        <r>
          <rPr>
            <sz val="9"/>
            <color indexed="81"/>
            <rFont val="Meiryo UI"/>
            <family val="2"/>
          </rPr>
          <t>APIメタデータ: {"ParameterName": "stored_program_definition_cache", "Description": "Defines a limit for the number of stored program definition objects, both used and unused, that can be kept in the dictionary object cache.", "Source": "engine-default", "ApplyType": "dynamic", "DataType": "integer", "AllowedValues": "256-524288", "IsModifiable": true, "ApplyMethod": "pending-reboot", "SupportedEngineModes": ["provisioned"]}</t>
        </r>
      </text>
    </comment>
    <comment ref="E399" authorId="0">
      <text>
        <r>
          <rPr>
            <sz val="9"/>
            <color indexed="81"/>
            <rFont val="Meiryo UI"/>
            <family val="2"/>
          </rPr>
          <t>https://dev.mysql.com/doc/refman/8.4/en/server-system-variables.html#sysvar_stored_program_definition_cache
Community参考値でありAurora実効値ではありません。</t>
        </r>
      </text>
    </comment>
    <comment ref="M399"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00" authorId="0">
      <text>
        <r>
          <rPr>
            <sz val="9"/>
            <color indexed="81"/>
            <rFont val="Meiryo UI"/>
            <family val="2"/>
          </rPr>
          <t>APIメタデータ: {"ParameterName": "sync_binlog", "ParameterValue": "1", "Description": "Sync binlog (MySQL flush to disk or rely on OS)", "Source": "system", "ApplyType": "dynamic", "DataType": "integer", "AllowedValues": "0-18446744073709547520", "IsModifiable": false, "ApplyMethod": "pending-reboot", "SupportedEngineModes": ["provisioned"]}</t>
        </r>
      </text>
    </comment>
    <comment ref="E400" authorId="0">
      <text>
        <r>
          <rPr>
            <sz val="9"/>
            <color indexed="81"/>
            <rFont val="Meiryo UI"/>
            <family val="2"/>
          </rPr>
          <t>https://dev.mysql.com/doc/refman/8.4/en/replication-options-binary-log.html#sysvar_sync_binlog
Community参考値でありAurora実効値ではありません。</t>
        </r>
      </text>
    </comment>
    <comment ref="M40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01" authorId="0">
      <text>
        <r>
          <rPr>
            <sz val="9"/>
            <color indexed="81"/>
            <rFont val="Meiryo UI"/>
            <family val="2"/>
          </rPr>
          <t>APIメタデータ: {"ParameterName": "sync_relay_log_info", "Description": "The number of transactions after which the replica updates the applier metadata repository. A zero value means that the file contents are only flushed by the operating system.", "Source": "engine-default", "ApplyType": "dynamic", "DataType": "integer", "AllowedValues": "0-18446744073709547520", "IsModifiable": true, "ApplyMethod": "pending-reboot", "SupportedEngineModes": ["provisioned"]}</t>
        </r>
      </text>
    </comment>
    <comment ref="E401" authorId="0">
      <text>
        <r>
          <rPr>
            <sz val="9"/>
            <color indexed="81"/>
            <rFont val="Meiryo UI"/>
            <family val="2"/>
          </rPr>
          <t>https://dev.mysql.com/doc/refman/8.4/en/replication-options-replica.html#sysvar_sync_relay_log_info
Community参考値でありAurora実効値ではありません。</t>
        </r>
      </text>
    </comment>
    <comment ref="M401"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402" authorId="0">
      <text>
        <r>
          <rPr>
            <sz val="9"/>
            <color indexed="81"/>
            <rFont val="Meiryo UI"/>
            <family val="2"/>
          </rPr>
          <t>APIメタデータ: {"ParameterName": "sync_source_info", "Description": "sync_source_info specifies the number of events after which the replica updates the connection metadata repository", "Source": "engine-default", "ApplyType": "dynamic", "DataType": "integer", "AllowedValues": "0-18446744073709547520", "IsModifiable": true, "ApplyMethod": "pending-reboot", "SupportedEngineModes": ["provisioned"]}</t>
        </r>
      </text>
    </comment>
    <comment ref="E402" authorId="0">
      <text>
        <r>
          <rPr>
            <sz val="9"/>
            <color indexed="81"/>
            <rFont val="Meiryo UI"/>
            <family val="2"/>
          </rPr>
          <t>https://dev.mysql.com/doc/refman/8.4/en/replication-options-replica.html#sysvar_sync_source_info
Community参考値でありAurora実効値ではありません。</t>
        </r>
      </text>
    </comment>
    <comment ref="M402" authorId="0">
      <text>
        <r>
          <rPr>
            <sz val="9"/>
            <color indexed="81"/>
            <rFont val="Meiryo UI"/>
            <family val="2"/>
          </rPr>
          <t>https://docs.aws.amazon.com/AmazonRDS/latest/APIReference/API_DescribeDBClusterParameters.html
https://docs.aws.amazon.com/AmazonRDS/latest/AuroraUserGuide/AuroraMySQL.Reference.ParameterGroups.html
https://docs.aws.amazon.com/AmazonRDS/latest/AuroraUserGuide/aurora-global-database.html</t>
        </r>
      </text>
    </comment>
    <comment ref="B403" authorId="0">
      <text>
        <r>
          <rPr>
            <sz val="9"/>
            <color indexed="81"/>
            <rFont val="Meiryo UI"/>
            <family val="2"/>
          </rPr>
          <t>APIメタデータ: {"ParameterName": "sysdate-is-now", "Description": "Causes SYSYDATE() to be an alias for NOW(). Replication related", "Source": "engine-default", "ApplyType": "static", "DataType": "boolean", "AllowedValues": "0,1", "IsModifiable": true, "ApplyMethod": "pending-reboot", "SupportedEngineModes": ["provisioned"]}</t>
        </r>
      </text>
    </comment>
    <comment ref="M40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04" authorId="0">
      <text>
        <r>
          <rPr>
            <sz val="9"/>
            <color indexed="81"/>
            <rFont val="Meiryo UI"/>
            <family val="2"/>
          </rPr>
          <t>APIメタデータ: {"ParameterName": "table_cache_element_entry_ttl", "Description": "table_cache_element_entry_ttl", "Source": "engine-default", "ApplyType": "static", "DataType": "integer", "AllowedValues": "5", "IsModifiable": false, "ApplyMethod": "pending-reboot", "SupportedEngineModes": ["provisioned"]}</t>
        </r>
      </text>
    </comment>
    <comment ref="M404"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05" authorId="0">
      <text>
        <r>
          <rPr>
            <sz val="9"/>
            <color indexed="81"/>
            <rFont val="Meiryo UI"/>
            <family val="2"/>
          </rPr>
          <t>APIメタデータ: {"ParameterName": "table_definition_cache", "ParameterValue": "LEAST({DBInstanceClassMemory/393040}, 20000)", "Description": "The number of table definitions that can be stored in the definition cache", "Source": "engine-default", "ApplyType": "dynamic", "DataType": "integer", "AllowedValues": "-1,400-524288", "IsModifiable": true, "ApplyMethod": "pending-reboot", "SupportedEngineModes": ["provisioned"]}</t>
        </r>
      </text>
    </comment>
    <comment ref="E405" authorId="0">
      <text>
        <r>
          <rPr>
            <sz val="9"/>
            <color indexed="81"/>
            <rFont val="Meiryo UI"/>
            <family val="2"/>
          </rPr>
          <t>https://dev.mysql.com/doc/refman/8.4/en/server-system-variables.html#sysvar_table_definition_cache
Community参考値でありAurora実効値ではありません。</t>
        </r>
      </text>
    </comment>
    <comment ref="M405" authorId="0">
      <text>
        <r>
          <rPr>
            <sz val="9"/>
            <color indexed="81"/>
            <rFont val="Meiryo UI"/>
            <family val="2"/>
          </rPr>
          <t>https://docs.aws.amazon.com/AmazonRDS/latest/APIReference/API_DescribeDBClusterParameters.html
https://docs.aws.amazon.com/AmazonRDS/latest/AuroraUserGuide/aurora-serverless-v2.setting-capacity.html</t>
        </r>
      </text>
    </comment>
    <comment ref="B406" authorId="0">
      <text>
        <r>
          <rPr>
            <sz val="9"/>
            <color indexed="81"/>
            <rFont val="Meiryo UI"/>
            <family val="2"/>
          </rPr>
          <t>APIメタデータ: {"ParameterName": "table_open_cache", "ParameterValue": "LEAST({DBInstanceClassMemory/1179121}, 6000)", "Description": "The number of open tables for all threads. Increasing this value increases the number of file descriptors.", "Source": "engine-default", "ApplyType": "dynamic", "DataType": "integer", "AllowedValues": "1-524288", "IsModifiable": true, "ApplyMethod": "pending-reboot", "SupportedEngineModes": ["provisioned"]}</t>
        </r>
      </text>
    </comment>
    <comment ref="E406" authorId="0">
      <text>
        <r>
          <rPr>
            <sz val="9"/>
            <color indexed="81"/>
            <rFont val="Meiryo UI"/>
            <family val="2"/>
          </rPr>
          <t>https://dev.mysql.com/doc/refman/8.4/en/server-system-variables.html#sysvar_table_open_cache
Community参考値でありAurora実効値ではありません。</t>
        </r>
      </text>
    </comment>
    <comment ref="M406" authorId="0">
      <text>
        <r>
          <rPr>
            <sz val="9"/>
            <color indexed="81"/>
            <rFont val="Meiryo UI"/>
            <family val="2"/>
          </rPr>
          <t>https://docs.aws.amazon.com/AmazonRDS/latest/APIReference/API_DescribeDBClusterParameters.html
https://docs.aws.amazon.com/AmazonRDS/latest/AuroraUserGuide/aurora-serverless-v2.setting-capacity.html</t>
        </r>
      </text>
    </comment>
    <comment ref="B407" authorId="0">
      <text>
        <r>
          <rPr>
            <sz val="9"/>
            <color indexed="81"/>
            <rFont val="Meiryo UI"/>
            <family val="2"/>
          </rPr>
          <t>APIメタデータ: {"ParameterName": "table_open_cache_instances", "Description": "The number of open tables cache instances.", "Source": "engine-default", "ApplyType": "static", "DataType": "integer", "AllowedValues": "1-64", "IsModifiable": true, "ApplyMethod": "pending-reboot", "SupportedEngineModes": ["provisioned"]}</t>
        </r>
      </text>
    </comment>
    <comment ref="E407" authorId="0">
      <text>
        <r>
          <rPr>
            <sz val="9"/>
            <color indexed="81"/>
            <rFont val="Meiryo UI"/>
            <family val="2"/>
          </rPr>
          <t>https://dev.mysql.com/doc/refman/8.4/en/server-system-variables.html#sysvar_table_open_cache_instances
Community参考値でありAurora実効値ではありません。</t>
        </r>
      </text>
    </comment>
    <comment ref="M407"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08" authorId="0">
      <text>
        <r>
          <rPr>
            <sz val="9"/>
            <color indexed="81"/>
            <rFont val="Meiryo UI"/>
            <family val="2"/>
          </rPr>
          <t>APIメタデータ: {"ParameterName": "tablespace_definition_cache", "Description": "Defines a limit for the number of tablespace definition objects, both used and unused, that can be kept in the dictionary object cache.", "Source": "engine-default", "ApplyType": "dynamic", "DataType": "integer", "AllowedValues": "256-524288", "IsModifiable": true, "ApplyMethod": "pending-reboot", "SupportedEngineModes": ["provisioned"]}</t>
        </r>
      </text>
    </comment>
    <comment ref="E408" authorId="0">
      <text>
        <r>
          <rPr>
            <sz val="9"/>
            <color indexed="81"/>
            <rFont val="Meiryo UI"/>
            <family val="2"/>
          </rPr>
          <t>https://dev.mysql.com/doc/refman/8.4/en/server-system-variables.html#sysvar_tablespace_definition_cache
Community参考値でありAurora実効値ではありません。</t>
        </r>
      </text>
    </comment>
    <comment ref="M408"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09" authorId="0">
      <text>
        <r>
          <rPr>
            <sz val="9"/>
            <color indexed="81"/>
            <rFont val="Meiryo UI"/>
            <family val="2"/>
          </rPr>
          <t>APIメタデータ: {"ParameterName": "temptable_max_mmap", "ParameterValue": "LEAST(4294967296,{AllocatedStorage*3/100})", "Description": "Defines the maximum amount of memory (in bytes) the TempTable storage engine is permitted to allocate from memory-mapped temporary files before it starts storing data to InnoDB internal temporary tables on disk. A setting of 0 disables allocation of memory from memory-mapped temporary files.", "Source": "engine-default", "ApplyType": "dynamic", "DataType": "integer", "AllowedValues": "0-18446744073709551615", "IsModifiable": true, "ApplyMethod": "pending-reboot", "SupportedEngineModes": ["provisioned"]}</t>
        </r>
      </text>
    </comment>
    <comment ref="E409" authorId="0">
      <text>
        <r>
          <rPr>
            <sz val="9"/>
            <color indexed="81"/>
            <rFont val="Meiryo UI"/>
            <family val="2"/>
          </rPr>
          <t>https://dev.mysql.com/doc/refman/8.4/en/server-system-variables.html#sysvar_temptable_max_mmap
Community参考値でありAurora実効値ではありません。</t>
        </r>
      </text>
    </comment>
    <comment ref="M409"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10" authorId="0">
      <text>
        <r>
          <rPr>
            <sz val="9"/>
            <color indexed="81"/>
            <rFont val="Meiryo UI"/>
            <family val="2"/>
          </rPr>
          <t>APIメタデータ: {"ParameterName": "temptable_max_ram", "Description": "Defines the maximum amount of memory that can be occupied by the TempTable storage engine before it starts storing data on disk.", "Source": "engine-default", "ApplyType": "dynamic", "DataType": "integer", "AllowedValues": "2097152-18446744073709551615", "IsModifiable": true, "ApplyMethod": "pending-reboot", "SupportedEngineModes": ["provisioned"]}</t>
        </r>
      </text>
    </comment>
    <comment ref="E410" authorId="0">
      <text>
        <r>
          <rPr>
            <sz val="9"/>
            <color indexed="81"/>
            <rFont val="Meiryo UI"/>
            <family val="2"/>
          </rPr>
          <t>https://dev.mysql.com/doc/refman/8.4/en/server-system-variables.html#sysvar_temptable_max_ram
Community参考値でありAurora実効値ではありません。</t>
        </r>
      </text>
    </comment>
    <comment ref="M410"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11" authorId="0">
      <text>
        <r>
          <rPr>
            <sz val="9"/>
            <color indexed="81"/>
            <rFont val="Meiryo UI"/>
            <family val="2"/>
          </rPr>
          <t>APIメタデータ: {"ParameterName": "temptable_use_mmap", "ParameterValue": "1", "Description": "Defines whether the TempTable storage engine allocates space for internal in-memory temporary tables as memory-mapped temporary files when the amount of memory occupied by the TempTable storage engine exceeds the limit defined by the temptable_max_ram variable. When temptable_use_mmap is disabled, the TempTable storage engine uses InnoDB on-disk internal temporary tables instead. Deprecated in MySQL Community 8.0.26", "Source": "engine-default", "ApplyType": "dynamic", "DataType": "boolean", "AllowedValues": "0,1", "IsModifiable": true, "ApplyMethod": "pending-reboot", "SupportedEngineModes": ["provisioned"]}</t>
        </r>
      </text>
    </comment>
    <comment ref="E411" authorId="0">
      <text>
        <r>
          <rPr>
            <sz val="9"/>
            <color indexed="81"/>
            <rFont val="Meiryo UI"/>
            <family val="2"/>
          </rPr>
          <t>https://dev.mysql.com/doc/refman/8.4/en/server-system-variables.html#sysvar_temptable_use_mmap
Community参考値でありAurora実効値ではありません。</t>
        </r>
      </text>
    </comment>
    <comment ref="M411"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12" authorId="0">
      <text>
        <r>
          <rPr>
            <sz val="9"/>
            <color indexed="81"/>
            <rFont val="Meiryo UI"/>
            <family val="2"/>
          </rPr>
          <t>APIメタデータ: {"ParameterName": "thread_cache_size", "ParameterValue": "{DBInstanceClassMemory/1005785088}", "Description": "Number of threads to be cached. Doesn't improve perf for good thread implementations.", "Source": "system", "ApplyType": "dynamic", "DataType": "integer", "AllowedValues": "0-16384", "IsModifiable": true, "ApplyMethod": "pending-reboot", "SupportedEngineModes": ["provisioned"]}</t>
        </r>
      </text>
    </comment>
    <comment ref="E412" authorId="0">
      <text>
        <r>
          <rPr>
            <sz val="9"/>
            <color indexed="81"/>
            <rFont val="Meiryo UI"/>
            <family val="2"/>
          </rPr>
          <t>https://dev.mysql.com/doc/refman/8.4/en/server-system-variables.html#sysvar_thread_cache_size
Community参考値でありAurora実効値ではありません。</t>
        </r>
      </text>
    </comment>
    <comment ref="M412"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13" authorId="0">
      <text>
        <r>
          <rPr>
            <sz val="9"/>
            <color indexed="81"/>
            <rFont val="Meiryo UI"/>
            <family val="2"/>
          </rPr>
          <t>APIメタデータ: {"ParameterName": "thread_handling", "ParameterValue": "thread-pools", "Description": "The thread-handling model used by the server for connection threads.", "Source": "system", "ApplyType": "static", "DataType": "string", "AllowedValues": "thread-pools,no-threads,one-thread-per-connection,dynamically-loaded", "IsModifiable": false, "ApplyMethod": "pending-reboot", "SupportedEngineModes": ["provisioned"]}</t>
        </r>
      </text>
    </comment>
    <comment ref="E413" authorId="0">
      <text>
        <r>
          <rPr>
            <sz val="9"/>
            <color indexed="81"/>
            <rFont val="Meiryo UI"/>
            <family val="2"/>
          </rPr>
          <t>https://dev.mysql.com/doc/refman/8.4/en/server-system-variables.html#sysvar_thread_handling
Community参考値でありAurora実効値ではありません。</t>
        </r>
      </text>
    </comment>
    <comment ref="M41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14" authorId="0">
      <text>
        <r>
          <rPr>
            <sz val="9"/>
            <color indexed="81"/>
            <rFont val="Meiryo UI"/>
            <family val="2"/>
          </rPr>
          <t>APIメタデータ: {"ParameterName": "thread_stack", "ParameterValue": "262144", "Description": "If the thread stack size is too small, it limits the complexity of the SQL statements that the server can handle, the recursion depth of stored procedures, and other memory-consuming actions.", "Source": "engine-default", "ApplyType": "static", "DataType": "integer", "AllowedValues": "131072-18446744073709547520", "IsModifiable": true, "ApplyMethod": "pending-reboot", "SupportedEngineModes": ["provisioned"]}</t>
        </r>
      </text>
    </comment>
    <comment ref="E414" authorId="0">
      <text>
        <r>
          <rPr>
            <sz val="9"/>
            <color indexed="81"/>
            <rFont val="Meiryo UI"/>
            <family val="2"/>
          </rPr>
          <t>https://dev.mysql.com/doc/refman/8.4/en/server-system-variables.html#sysvar_thread_stack
Community参考値でありAurora実効値ではありません。</t>
        </r>
      </text>
    </comment>
    <comment ref="M41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15" authorId="0">
      <text>
        <r>
          <rPr>
            <sz val="9"/>
            <color indexed="81"/>
            <rFont val="Meiryo UI"/>
            <family val="2"/>
          </rPr>
          <t>APIメタデータ: {"ParameterName": "time_zone", "Description": "for changing time zone of db server locally", "Source": "engine-default", "ApplyType": "dynamic", "DataType": "string", "AllowedValues": "Africa/Abidjan,Africa/Accra,Africa/Addis_Ababa,Africa/Algiers,Africa/Asmara,Africa/Asmera,Africa/Bamako,Africa/Bangui,Africa/Banjul,Africa/Bissau,Africa/Blantyre,Africa/Brazzaville,Africa/Bujumbura,Africa/Cairo,Africa/Casablanca,Africa/Ceuta,Africa/Conakry,Africa/Dakar,Africa/Dar_es_Salaam,Africa/Djibouti,Africa/Douala,Africa/El_Aaiun,Africa/Freetown,Africa/Gaborone,Africa/Harare,Africa/Johannesburg,Africa/Juba,Africa/Kampala,Africa/Khartoum,Africa/Kigali,Africa/Kinshasa,Africa/Lagos,Africa/Libreville,Africa/Lome,Africa/Luanda,Africa/Lubumbashi,Africa/Lusaka,Africa/Malabo,Africa/Maputo,Africa/Maseru,Africa/Mbabane,Africa/Mogadishu,Africa/Monrovia,Africa/Nairobi,Africa/Ndjamena,Africa/Niamey,Africa/Nouakchott,Africa/Ouagadougou,Africa/Porto-Novo,Africa/Sao_Tome,Africa/Timbuktu,Africa/Tripoli,Africa/Tunis,Africa/Windhoek,America/Adak,America/Anchorage,America/Anguilla,America/Antigua,America/Araguaina,America/Argentina/Buenos_Aires,America/Argentina/Catamarca,America/Argentina/ComodRivadavia,America/Argentina/Cordoba,America/Argentina/Jujuy,America/Argentina/La_Rioja,America/Argentina/Mendoza,America/Argentina/Rio_Gallegos,America/Argentina/Salta,America/Argentina/San_Juan,America/Argentina/San_Luis,America/Argentina/Tucuman,America/Argentina/Ushuaia,America/Aruba,America/Asuncion,America/Atikokan,America/Atka,America/Bahia,America/Bahia_Banderas,America/Barbados,America/Belem,America/Belize,America/Blanc-Sablon,America/Boa_Vista,America/Bogota,America/Boise,America/Buenos_Aires,America/Cambridge_Bay,America/Campo_Grande,America/Cancun,America/Caracas,America/Catamarca,America/Cayenne,America/Cayman,America/Chicago,America/Chihuahua,America/Ciudad_Juarez,America/Coral_Harbour,America/Cordoba,America/Costa_Rica,America/Coyhaique,America/Creston,America/Cuiaba,America/Curacao,America/Danmarkshavn,America/Dawson,America/Dawson_Creek,America/Denver,America/Detroit,America/Dominica,America/Edmonton,America/Eirunepe,America/El_Salvador,America/Ensenada,America/Fortaleza,America/Fort_Nelson,America/Fort_Wayne,America/Glace_Bay,America/Godthab,America/Goose_Bay,America/Grand_Turk,America/Grenada,America/Guadeloupe,America/Guatemala,America/Guayaquil,America/Guyana,America/Halifax,America/Havana,America/Hermosillo,America/Indiana/Indianapolis,America/Indiana/Knox,America/Indiana/Marengo,America/Indiana/Petersburg,America/Indiana/Tell_City,America/Indiana/Vevay,America/Indiana/Vincennes,America/Indiana/Winamac,America/Indianapolis,America/Inuvik,America/Iqaluit,America/Jamaica,America/Jujuy,America/Juneau,America/Kentucky/Louisville,America/Kentucky/Monticello,America/Knox_IN,America/Kralendijk,America/La_Paz,America/Lima,America/Los_Angeles,America/Louisville,America/Lower_Princes,America/Maceio,America/Managua,America/Manaus,America/Marigot,America/Martinique,America/Matamoros,America/Mazatlan,America/Mendoza,America/Menominee,America/Merida,America/Metlakatla,America/Mexico_City,America/Miquelon,America/Moncton,America/Monterrey,America/Montevideo,America/Montreal,America/Montserrat,America/Nassau,America/New_York,America/Nipigon,America/Nome,America/Noronha,America/North_Dakota/Beulah,America/North_Dakota/Center,America/North_Dakota/New_Salem,America/Nuuk,America/Ojinaga,America/Panama,America/Pangnirtung,America/Paramaribo,America/Phoenix,America/Port-au-Prince,America/Porto_Acre,America/Porto_Velho,America/Port_of_Spain,America/Puerto_Rico,America/Punta_Arenas,America/Rainy_River,America/Rankin_Inlet,America/Recife,America/Regina,America/Resolute,America/Rio_Branco,America/Rosario,America/Santarem,America/Santa_Isabel,America/Santiago,America/Santo_Domingo,America/Sao_Paulo,America/Scoresbysund,America/Shiprock,America/Sitka,America/St_Barthelemy,America/St_Johns,America/St_Kitts,America/St_Lucia,America/St_Thomas,America/St_Vincent,America/Swift_Current,America/Tegucigalpa,America/Thule,America/Thunder_Bay,America/Tijuana,America/Toronto,America/Tortola,America/Vancouver,America/Virgin,America/Whitehorse,America/Winnipeg,America/Yakutat,America/Yellowknife,Antarctica/Casey,Antarctica/Davis,Antarctica/DumontDUrville,Antarctica/Macquarie,Antarctica/Mawson,Antarctica/McMurdo,Antarctica/Palmer,Antarctica/Rothera,Antarctica/South_Pole,Antarctica/Syowa,Antarctica/Troll,Antarctica/Vostok,Arctic/Longyearbyen,Asia/Aden,Asia/Almaty,Asia/Amman,Asia/Anadyr,Asia/Aqtau,Asia/Aqtobe,Asia/Ashgabat,Asia/Ashkhabad,Asia/Atyrau,Asia/Baghdad,Asia/Bahrain,Asia/Baku,Asia/Bangkok,Asia/Barnaul,Asia/Beirut,Asia/Bishkek,Asia/Brunei,Asia/Calcutta,Asia/Chita,Asia/Choibalsan,Asia/Chongqing,Asia/Chungking,Asia/Colombo,Asia/Dacca,Asia/Damascus,Asia/Dhaka,Asia/Dili,Asia/Dubai,Asia/Dushanbe,Asia/Famagusta,Asia/Gaza,Asia/Harbin,Asia/Hebron,Asia/Hong_Kong,Asia/Hovd,Asia/Ho_Chi_Minh,Asia/Irkutsk,Asia/Istanbul,Asia/Jakarta,Asia/Jayapura,Asia/Jerusalem,Asia/Kabul,Asia/Kamchatka,Asia/Karachi,Asia/Kashgar,Asia/Kathmandu,Asia/Katmandu,Asia/Khandyga,Asia/Kolkata,Asia/Krasnoyarsk,Asia/Kuala_Lumpur,Asia/Kuching,Asia/Kuwait,Asia/Macao,Asia/Macau,Asia/Magadan,Asia/Makassar,Asia/Manila,Asia/Muscat,Asia/Nicosia,Asia/Novokuznetsk,Asia/Novosibirsk,Asia/Omsk,Asia/Oral,Asia/Phnom_Penh,Asia/Pontianak,Asia/Pyongyang,Asia/Qatar,Asia/Qostanay,Asia/Qyzylorda,Asia/Rangoon,Asia/Riyadh,Asia/Saigon,Asia/Sakhalin,Asia/Samarkand,Asia/Seoul,Asia/Shanghai,Asia/Singapore,Asia/Srednekolymsk,Asia/Taipei,Asia/Tashkent,Asia/Tbilisi,Asia/Tehran,Asia/Tel_Aviv,Asia/Thimbu,Asia/Thimphu,Asia/Tokyo,Asia/Tomsk,Asia/Ujung_Pandang,Asia/Ulaanbaatar,Asia/Ulan_Bator,Asia/Urumqi,Asia/Ust-Nera,Asia/Vientiane,Asia/Vladivostok,Asia/Yakutsk,Asia/Yangon,Asia/Yekaterinburg,Asia/Yerevan,Atlantic/Azores,Atlantic/Bermuda,Atlantic/Canary,Atlantic/Cape_Verde,Atlantic/Faeroe,Atlantic/Faroe,Atlantic/Jan_Mayen,Atlantic/Madeira,Atlantic/Reykjavik,Atlantic/South_Georgia,Atlantic/Stanley,Atlantic/St_Helena,Australia/ACT,Australia/Adelaide,Australia/Brisbane,Australia/Broken_Hill,Australia/Canberra,Australia/Currie,Australia/Darwin,Australia/Eucla,Australia/Hobart,Australia/LHI,Australia/Lindeman,Australia/Lord_Howe,Australia/Melbourne,Australia/North,Australia/NSW,Australia/Perth,Australia/Queensland,Australia/South,Australia/Sydney,Australia/Tasmania,Australia/Victoria,Australia/West,Australia/Yancowinna,Brazil/Acre,Brazil/DeNoronha,Brazil/East,Brazil/West,Canada/Atlantic,Canada/Central,Canada/Eastern,Canada/Mountain,Canada/Newfoundland,Canada/Pacific,Canada/Saskatchewan,Canada/Yukon,CET,Chile/Continental,Chile/EasterIsland,CST6CDT,Cuba,EET,Egypt,Eire,EST,EST5EDT,Etc/GMT,Etc/GMT+0,Etc/GMT+1,Etc/GMT+10,Etc/GMT+11,Etc/GMT+12,Etc/GMT+2,Etc/GMT+3,Etc/GMT+4,Etc/GMT+5,Etc/GMT+6,Etc/GMT+7,Etc/GMT+8,Etc/GMT+9,Etc/GMT-0,Etc/GMT-1,Etc/GMT-10,Etc/GMT-11,Etc/GMT-12,Etc/GMT-13,Etc/GMT-14,Etc/GMT-2,Etc/GMT-3,Etc/GMT-4,Etc/GMT-5,Etc/GMT-6,Etc/GMT-7,Etc/GMT-8,Etc/GMT-9,Etc/GMT0,Etc/Greenwich,Etc/UCT,Etc/Universal,Etc/UTC,Etc/Zulu,Europe/Amsterdam,Europe/Andorra,Europe/Astrakhan,Europe/Athens,Europe/Belfast,Europe/Belgrade,Europe/Berlin,Europe/Bratislava,Europe/Brussels,Europe/Bucharest,Europe/Budapest,Europe/Busingen,Europe/Chisinau,Europe/Copenhagen,Europe/Dublin,Europe/Gibraltar,Europe/Guernsey,Europe/Helsinki,Europe/Isle_of_Man,Europe/Istanbul,Europe/Jersey,Europe/Kaliningrad,Europe/Kiev,Europe/Kirov,Europe/Kyiv,Europe/Lisbon,Europe/Ljubljana,Europe/London,Europe/Luxembourg,Europe/Madrid,Europe/Malta,Europe/Mariehamn,Europe/Minsk,Europe/Monaco,Europe/Moscow,Europe/Nicosia,Europe/Oslo,Europe/Paris,Europe/Podgorica,Europe/Prague,Europe/Riga,Europe/Rome,Europe/Samara,Europe/San_Marino,Europe/Sarajevo,Europe/Saratov,Europe/Simferopol,Europe/Skopje,Europe/Sofia,Europe/Stockholm,Europe/Tallinn,Europe/Tirane,Europe/Tiraspol,Europe/Ulyanovsk,Europe/Uzhgorod,Europe/Vaduz,Europe/Vatican,Europe/Vienna,Europe/Vilnius,Europe/Volgograd,Europe/Warsaw,Europe/Zagreb,Europe/Zaporozhye,Europe/Zurich,GB,GB-Eire,GMT,GMT+0,GMT-0,GMT0,Greenwich,Hongkong,HST,Iceland,Indian/Antananarivo,Indian/Chagos,Indian/Christmas,Indian/Cocos,Indian/Comoro,Indian/Kerguelen,Indian/Mahe,Indian/Maldives,Indian/Mauritius,Indian/Mayotte,Indian/Reunion,Iran,Israel,Jamaica,Japan,Kwajalein,Libya,MET,Mexico/BajaNorte,Mexico/BajaSur,Mexico/General,MST,MST7MDT,Navajo,NZ,NZ-CHAT,Pacific/Apia,Pacific/Auckland,Pacific/Bougainville,Pacific/Chatham,Pacific/Chuuk,Pacific/Easter,Pacific/Efate,Pacific/Enderbury,Pacific/Fakaofo,Pacific/Fiji,Pacific/Funafuti,Pacific/Galapagos,Pacific/Gambier,Pacific/Guadalcanal,Pacific/Guam,Pacific/Honolulu,Pacific/Johnston,Pacific/Kanton,Pacific/Kiritimati,Pacific/Kosrae,Pacific/Kwajalein,Pacific/Majuro,Pacific/Marquesas,Pacific/Midway,Pacific/Nauru,Pacific/Niue,Pacific/Norfolk,Pacific/Noumea,Pacific/Pago_Pago,Pacific/Palau,Pacific/Pitcairn,Pacific/Pohnpei,Pacific/Ponape,Pacific/Port_Moresby,Pacific/Rarotonga,Pacific/Saipan,Pacific/Samoa,Pacific/Tahiti,Pacific/Tarawa,Pacific/Tongatapu,Pacific/Truk,Pacific/Wake,Pacific/Wallis,Pacific/Yap,Poland,Portugal,posixrules,PRC,PST8PDT,ROC,ROK,Singapore,Turkey,UCT,Universal,US/Alaska,US/Aleutian,US/Arizona,US/Central,US/East-Indiana,US/Eastern,US/Hawaii,US/Indiana-Starke,US/Michigan,US/Mountain,US/Pacific,US/Samoa,UTC,W-SU,WET,Zulu", "IsModifiable": true, "ApplyMethod": "pending-reboot", "SupportedEngineModes": ["provisioned"]}</t>
        </r>
      </text>
    </comment>
    <comment ref="E415" authorId="0">
      <text>
        <r>
          <rPr>
            <sz val="9"/>
            <color indexed="81"/>
            <rFont val="Meiryo UI"/>
            <family val="2"/>
          </rPr>
          <t>https://dev.mysql.com/doc/refman/8.4/en/server-system-variables.html#sysvar_time_zone
Community参考値でありAurora実効値ではありません。</t>
        </r>
      </text>
    </comment>
    <comment ref="M415" authorId="0">
      <text>
        <r>
          <rPr>
            <sz val="9"/>
            <color indexed="81"/>
            <rFont val="Meiryo UI"/>
            <family val="2"/>
          </rPr>
          <t>https://docs.aws.amazon.com/AmazonRDS/latest/APIReference/API_DescribeDBClusterParameters.html
https://dev.mysql.com/doc/refman/8.4/en/server-system-variables.html</t>
        </r>
      </text>
    </comment>
    <comment ref="B416" authorId="0">
      <text>
        <r>
          <rPr>
            <sz val="9"/>
            <color indexed="81"/>
            <rFont val="Meiryo UI"/>
            <family val="2"/>
          </rPr>
          <t>APIメタデータ: {"ParameterName": "tls_ciphersuites", "ParameterValue": "TLS_AES_128_GCM_SHA256,TLS_AES_256_GCM_SHA384", "Description": "The ciphersuites permitted by the server for encrypted connections that use TLSv1.3.", "Source": "engine-default", "ApplyType": "dynamic", "DataType": "list", "AllowedValues": "TLS_AES_128_GCM_SHA256,TLS_AES_256_GCM_SHA384", "IsModifiable": true, "ApplyMethod": "pending-reboot", "SupportedEngineModes": ["provisioned"]}</t>
        </r>
      </text>
    </comment>
    <comment ref="E416" authorId="0">
      <text>
        <r>
          <rPr>
            <sz val="9"/>
            <color indexed="81"/>
            <rFont val="Meiryo UI"/>
            <family val="2"/>
          </rPr>
          <t>https://dev.mysql.com/doc/refman/8.4/en/server-system-variables.html#sysvar_tls_ciphersuites
Community参考値でありAurora実効値ではありません。</t>
        </r>
      </text>
    </comment>
    <comment ref="M416"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417" authorId="0">
      <text>
        <r>
          <rPr>
            <sz val="9"/>
            <color indexed="81"/>
            <rFont val="Meiryo UI"/>
            <family val="2"/>
          </rPr>
          <t>APIメタデータ: {"ParameterName": "tls_version", "Description": "The protocols permitted by the server for encrypted connections.", "Source": "engine-default", "ApplyType": "dynamic", "DataType": "list", "AllowedValues": "TLSv1.2,TLSv1.3", "IsModifiable": true, "ApplyMethod": "pending-reboot", "SupportedEngineModes": ["provisioned"]}</t>
        </r>
      </text>
    </comment>
    <comment ref="E417" authorId="0">
      <text>
        <r>
          <rPr>
            <sz val="9"/>
            <color indexed="81"/>
            <rFont val="Meiryo UI"/>
            <family val="2"/>
          </rPr>
          <t>https://dev.mysql.com/doc/refman/8.4/en/server-system-variables.html#sysvar_tls_version
Community参考値でありAurora実効値ではありません。</t>
        </r>
      </text>
    </comment>
    <comment ref="M417" authorId="0">
      <text>
        <r>
          <rPr>
            <sz val="9"/>
            <color indexed="81"/>
            <rFont val="Meiryo UI"/>
            <family val="2"/>
          </rPr>
          <t>https://docs.aws.amazon.com/AmazonRDS/latest/APIReference/API_DescribeDBClusterParameters.html
https://docs.aws.amazon.com/AmazonRDS/latest/AuroraUserGuide/AuroraMySQL.Upgrade-v3-v84-security.html
https://dev.mysql.com/doc/connector-j/en/connector-j-reference-using-ssl.html</t>
        </r>
      </text>
    </comment>
    <comment ref="B418" authorId="0">
      <text>
        <r>
          <rPr>
            <sz val="9"/>
            <color indexed="81"/>
            <rFont val="Meiryo UI"/>
            <family val="2"/>
          </rPr>
          <t>APIメタデータ: {"ParameterName": "tmpdir", "ParameterValue": "/rdsdbdata/tmp/", "Description": "The directory used for temporary files and temporary tables", "Source": "system", "ApplyType": "static", "DataType": "string", "IsModifiable": false, "ApplyMethod": "pending-reboot", "SupportedEngineModes": ["provisioned"]}</t>
        </r>
      </text>
    </comment>
    <comment ref="M418"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19" authorId="0">
      <text>
        <r>
          <rPr>
            <sz val="9"/>
            <color indexed="81"/>
            <rFont val="Meiryo UI"/>
            <family val="2"/>
          </rPr>
          <t>APIメタデータ: {"ParameterName": "tmp_table_size", "Description": "Defines the maximum size of internal in-memory temporary tables created by the MEMORY storage engine and, as of Aurora 3.04, the TempTable storage engine when aurora_tmptable_enable_per_table_limit is ON.", "Source": "engine-default", "ApplyType": "dynamic", "DataType": "integer", "AllowedValues": "1024-18446744073709551615", "IsModifiable": true, "ApplyMethod": "pending-reboot", "SupportedEngineModes": ["provisioned"]}</t>
        </r>
      </text>
    </comment>
    <comment ref="E419" authorId="0">
      <text>
        <r>
          <rPr>
            <sz val="9"/>
            <color indexed="81"/>
            <rFont val="Meiryo UI"/>
            <family val="2"/>
          </rPr>
          <t>https://dev.mysql.com/doc/refman/8.4/en/server-system-variables.html#sysvar_tmp_table_size
Community参考値でありAurora実効値ではありません。</t>
        </r>
      </text>
    </comment>
    <comment ref="M419" authorId="0">
      <text>
        <r>
          <rPr>
            <sz val="9"/>
            <color indexed="81"/>
            <rFont val="Meiryo UI"/>
            <family val="2"/>
          </rPr>
          <t>https://docs.aws.amazon.com/AmazonRDS/latest/APIReference/API_DescribeDBClusterParameters.html
https://docs.aws.amazon.com/AmazonRDS/latest/AuroraUserGuide/aurora-serverless-v2.setting-capacity.html
https://docs.aws.amazon.com/AmazonRDS/latest/AuroraUserGuide/AuroraMySQL.Managing.Performance.html</t>
        </r>
      </text>
    </comment>
    <comment ref="B420" authorId="0">
      <text>
        <r>
          <rPr>
            <sz val="9"/>
            <color indexed="81"/>
            <rFont val="Meiryo UI"/>
            <family val="2"/>
          </rPr>
          <t>APIメタデータ: {"ParameterName": "transaction_alloc_block_size", "Description": "The amount in bytes by which to increase a per-transaction memory pool which needs memory.", "Source": "engine-default", "ApplyType": "dynamic", "DataType": "integer", "AllowedValues": "1024-18446744073709547520", "IsModifiable": true, "ApplyMethod": "pending-reboot", "SupportedEngineModes": ["provisioned"]}</t>
        </r>
      </text>
    </comment>
    <comment ref="E420" authorId="0">
      <text>
        <r>
          <rPr>
            <sz val="9"/>
            <color indexed="81"/>
            <rFont val="Meiryo UI"/>
            <family val="2"/>
          </rPr>
          <t>https://dev.mysql.com/doc/refman/8.4/en/server-system-variables.html#sysvar_transaction_alloc_block_size
Community参考値でありAurora実効値ではありません。</t>
        </r>
      </text>
    </comment>
    <comment ref="M420"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21" authorId="0">
      <text>
        <r>
          <rPr>
            <sz val="9"/>
            <color indexed="81"/>
            <rFont val="Meiryo UI"/>
            <family val="2"/>
          </rPr>
          <t>APIメタデータ: {"ParameterName": "transaction_isolation", "Description": "Sets the default isolation level.", "Source": "engine-default", "ApplyType": "dynamic", "DataType": "string", "AllowedValues": "READ-UNCOMMITTED,READ-COMMITTED,REPEATABLE-READ,SERIALIZABLE", "IsModifiable": true, "ApplyMethod": "pending-reboot", "SupportedEngineModes": ["provisioned"]}</t>
        </r>
      </text>
    </comment>
    <comment ref="E421" authorId="0">
      <text>
        <r>
          <rPr>
            <sz val="9"/>
            <color indexed="81"/>
            <rFont val="Meiryo UI"/>
            <family val="2"/>
          </rPr>
          <t>https://dev.mysql.com/doc/refman/8.4/en/server-options.html#sysvar_transaction_isolation
Community参考値でありAurora実効値ではありません。</t>
        </r>
      </text>
    </comment>
    <comment ref="M421" authorId="0">
      <text>
        <r>
          <rPr>
            <sz val="9"/>
            <color indexed="81"/>
            <rFont val="Meiryo UI"/>
            <family val="2"/>
          </rPr>
          <t>https://docs.aws.amazon.com/AmazonRDS/latest/APIReference/API_DescribeDBClusterParameters.html
https://dev.mysql.com/doc/refman/8.4/en/server-system-variables.html</t>
        </r>
      </text>
    </comment>
    <comment ref="B422" authorId="0">
      <text>
        <r>
          <rPr>
            <sz val="9"/>
            <color indexed="81"/>
            <rFont val="Meiryo UI"/>
            <family val="2"/>
          </rPr>
          <t>APIメタデータ: {"ParameterName": "transaction_prealloc_size", "Description": "There is a per-transaction memory pool from which various transaction-related allocations take memory. For every allocation that cannot be satisfied from the pool because it has insufficient memory available, the pool is incremented.", "Source": "engine-default", "ApplyType": "dynamic", "DataType": "integer", "AllowedValues": "1024-18446744073709547520", "IsModifiable": true, "ApplyMethod": "pending-reboot", "SupportedEngineModes": ["provisioned"]}</t>
        </r>
      </text>
    </comment>
    <comment ref="E422" authorId="0">
      <text>
        <r>
          <rPr>
            <sz val="9"/>
            <color indexed="81"/>
            <rFont val="Meiryo UI"/>
            <family val="2"/>
          </rPr>
          <t>https://dev.mysql.com/doc/refman/8.4/en/server-system-variables.html#sysvar_transaction_prealloc_size
Community参考値でありAurora実効値ではありません。</t>
        </r>
      </text>
    </comment>
    <comment ref="M422"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23" authorId="0">
      <text>
        <r>
          <rPr>
            <sz val="9"/>
            <color indexed="81"/>
            <rFont val="Meiryo UI"/>
            <family val="2"/>
          </rPr>
          <t>APIメタデータ: {"ParameterName": "updatable_views_with_limit", "Description": "This variable controls whether updates to a view can be made when the view does not contain all columns of the primary key defined in the underlying table, if the update statement contains a LIMIT clause (Often generated by GUI tools).", "Source": "engine-default", "ApplyType": "dynamic", "DataType": "boolean", "AllowedValues": "0,1", "IsModifiable": true, "ApplyMethod": "pending-reboot", "SupportedEngineModes": ["provisioned"]}</t>
        </r>
      </text>
    </comment>
    <comment ref="E423" authorId="0">
      <text>
        <r>
          <rPr>
            <sz val="9"/>
            <color indexed="81"/>
            <rFont val="Meiryo UI"/>
            <family val="2"/>
          </rPr>
          <t>https://dev.mysql.com/doc/refman/8.4/en/server-system-variables.html#sysvar_updatable_views_with_limit
Community参考値でありAurora実効値ではありません。</t>
        </r>
      </text>
    </comment>
    <comment ref="M423"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24" authorId="0">
      <text>
        <r>
          <rPr>
            <sz val="9"/>
            <color indexed="81"/>
            <rFont val="Meiryo UI"/>
            <family val="2"/>
          </rPr>
          <t>APIメタデータ: {"ParameterName": "validate-password", "Description": "This option controls how the server loads the validate_password plugin at startup.", "Source": "engine-default", "ApplyType": "static", "DataType": "string", "AllowedValues": "ON,OFF,FORCE,FORCE_PLUS_PERMANENT", "IsModifiable": false, "ApplyMethod": "pending-reboot", "SupportedEngineModes": ["provisioned"]}</t>
        </r>
      </text>
    </comment>
    <comment ref="M424"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425" authorId="0">
      <text>
        <r>
          <rPr>
            <sz val="9"/>
            <color indexed="81"/>
            <rFont val="Meiryo UI"/>
            <family val="2"/>
          </rPr>
          <t>APIメタデータ: {"ParameterName": "validate_password.changed_characters_percentage", "Description": "Indicates the minimum number of characters, as a percentage of all characters, that must be changed when the validate_password component validates a new password.", "Source": "engine-default", "ApplyType": "dynamic", "DataType": "integer", "AllowedValues": "0-100", "IsModifiable": true, "ApplyMethod": "pending-reboot", "SupportedEngineModes": ["provisioned"]}</t>
        </r>
      </text>
    </comment>
    <comment ref="E425" authorId="0">
      <text>
        <r>
          <rPr>
            <sz val="9"/>
            <color indexed="81"/>
            <rFont val="Meiryo UI"/>
            <family val="2"/>
          </rPr>
          <t>https://dev.mysql.com/doc/refman/8.4/en/validate-password-options-variables.html#sysvar_validate_password.changed_characters_percentage
Community参考値でありAurora実効値ではありません。</t>
        </r>
      </text>
    </comment>
    <comment ref="M425"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426" authorId="0">
      <text>
        <r>
          <rPr>
            <sz val="9"/>
            <color indexed="81"/>
            <rFont val="Meiryo UI"/>
            <family val="2"/>
          </rPr>
          <t>APIメタデータ: {"ParameterName": "validate_password.check_user_name", "Description": "Compares passwords to the user name part of the effective user account when validate_password component is used", "Source": "engine-default", "ApplyType": "dynamic", "DataType": "boolean", "AllowedValues": "0,1", "IsModifiable": true, "ApplyMethod": "pending-reboot", "SupportedEngineModes": ["provisioned"]}</t>
        </r>
      </text>
    </comment>
    <comment ref="E426" authorId="0">
      <text>
        <r>
          <rPr>
            <sz val="9"/>
            <color indexed="81"/>
            <rFont val="Meiryo UI"/>
            <family val="2"/>
          </rPr>
          <t>https://dev.mysql.com/doc/refman/8.4/en/validate-password-options-variables.html#sysvar_validate_password.check_user_name
Community参考値でありAurora実効値ではありません。</t>
        </r>
      </text>
    </comment>
    <comment ref="M426" authorId="0">
      <text>
        <r>
          <rPr>
            <sz val="9"/>
            <color indexed="81"/>
            <rFont val="Meiryo UI"/>
            <family val="2"/>
          </rPr>
          <t>https://docs.aws.amazon.com/AmazonRDS/latest/APIReference/API_DescribeDBClusterParameters.html
https://docs.aws.amazon.com/AmazonRDS/latest/AuroraUserGuide/AuroraMySQL.Compare-v84-community.html</t>
        </r>
      </text>
    </comment>
    <comment ref="B427" authorId="0">
      <text>
        <r>
          <rPr>
            <sz val="9"/>
            <color indexed="81"/>
            <rFont val="Meiryo UI"/>
            <family val="2"/>
          </rPr>
          <t>APIメタデータ: {"ParameterName": "validate_password.dictionary_file", "Description": "The path name of the dictionary file used by the validate_password component for checking passwords.", "Source": "engine-default", "ApplyType": "dynamic", "DataType": "string", "IsModifiable": false, "ApplyMethod": "pending-reboot", "SupportedEngineModes": ["provisioned"]}</t>
        </r>
      </text>
    </comment>
    <comment ref="M427"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428" authorId="0">
      <text>
        <r>
          <rPr>
            <sz val="9"/>
            <color indexed="81"/>
            <rFont val="Meiryo UI"/>
            <family val="2"/>
          </rPr>
          <t>APIメタデータ: {"ParameterName": "validate_password.length", "Description": "The minimum number of characters that validate_password component requires passwords to have.", "Source": "engine-default", "ApplyType": "dynamic", "DataType": "integer", "AllowedValues": "0-2147483647", "IsModifiable": true, "ApplyMethod": "pending-reboot", "SupportedEngineModes": ["provisioned"]}</t>
        </r>
      </text>
    </comment>
    <comment ref="E428" authorId="0">
      <text>
        <r>
          <rPr>
            <sz val="9"/>
            <color indexed="81"/>
            <rFont val="Meiryo UI"/>
            <family val="2"/>
          </rPr>
          <t>https://dev.mysql.com/doc/refman/8.4/en/validate-password-options-variables.html#sysvar_validate_password.length
Community参考値でありAurora実効値ではありません。</t>
        </r>
      </text>
    </comment>
    <comment ref="M428" authorId="0">
      <text>
        <r>
          <rPr>
            <sz val="9"/>
            <color indexed="81"/>
            <rFont val="Meiryo UI"/>
            <family val="2"/>
          </rPr>
          <t>https://docs.aws.amazon.com/AmazonRDS/latest/APIReference/API_DescribeDBClusterParameters.html
https://docs.aws.amazon.com/AmazonRDS/latest/AuroraUserGuide/AuroraMySQL.Compare-v84-community.html</t>
        </r>
      </text>
    </comment>
    <comment ref="B429" authorId="0">
      <text>
        <r>
          <rPr>
            <sz val="9"/>
            <color indexed="81"/>
            <rFont val="Meiryo UI"/>
            <family val="2"/>
          </rPr>
          <t>APIメタデータ: {"ParameterName": "validate_password.mixed_case_count", "Description": "The minimum number of lowercase and uppercase characters that passwords checked by the validate_password plugin must have if the password policy is MEDIUM or stronger", "Source": "engine-default", "ApplyType": "dynamic", "DataType": "integer", "AllowedValues": "0-2147483647", "IsModifiable": true, "ApplyMethod": "pending-reboot", "SupportedEngineModes": ["provisioned"]}</t>
        </r>
      </text>
    </comment>
    <comment ref="E429" authorId="0">
      <text>
        <r>
          <rPr>
            <sz val="9"/>
            <color indexed="81"/>
            <rFont val="Meiryo UI"/>
            <family val="2"/>
          </rPr>
          <t>https://dev.mysql.com/doc/refman/8.4/en/validate-password-options-variables.html#sysvar_validate_password.mixed_case_count
Community参考値でありAurora実効値ではありません。</t>
        </r>
      </text>
    </comment>
    <comment ref="M429"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430" authorId="0">
      <text>
        <r>
          <rPr>
            <sz val="9"/>
            <color indexed="81"/>
            <rFont val="Meiryo UI"/>
            <family val="2"/>
          </rPr>
          <t>APIメタデータ: {"ParameterName": "validate_password.number_count", "Description": "The minimum number of numeric (digit) characters that passwords checked by the validate_password plugin must have if the password policy is MEDIUM or stronger.", "Source": "engine-default", "ApplyType": "dynamic", "DataType": "integer", "AllowedValues": "0-2147483647", "IsModifiable": true, "ApplyMethod": "pending-reboot", "SupportedEngineModes": ["provisioned"]}</t>
        </r>
      </text>
    </comment>
    <comment ref="E430" authorId="0">
      <text>
        <r>
          <rPr>
            <sz val="9"/>
            <color indexed="81"/>
            <rFont val="Meiryo UI"/>
            <family val="2"/>
          </rPr>
          <t>https://dev.mysql.com/doc/refman/8.4/en/validate-password-options-variables.html#sysvar_validate_password.number_count
Community参考値でありAurora実効値ではありません。</t>
        </r>
      </text>
    </comment>
    <comment ref="M430"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431" authorId="0">
      <text>
        <r>
          <rPr>
            <sz val="9"/>
            <color indexed="81"/>
            <rFont val="Meiryo UI"/>
            <family val="2"/>
          </rPr>
          <t>APIメタデータ: {"ParameterName": "validate_password.policy", "Description": "The password policy enforced by validate_password component.", "Source": "engine-default", "ApplyType": "dynamic", "DataType": "string", "AllowedValues": "LOW,MEDIUM", "IsModifiable": true, "ApplyMethod": "pending-reboot", "SupportedEngineModes": ["provisioned"]}</t>
        </r>
      </text>
    </comment>
    <comment ref="E431" authorId="0">
      <text>
        <r>
          <rPr>
            <sz val="9"/>
            <color indexed="81"/>
            <rFont val="Meiryo UI"/>
            <family val="2"/>
          </rPr>
          <t>https://dev.mysql.com/doc/refman/8.4/en/validate-password-options-variables.html#sysvar_validate_password.policy
Community参考値でありAurora実効値ではありません。</t>
        </r>
      </text>
    </comment>
    <comment ref="M431" authorId="0">
      <text>
        <r>
          <rPr>
            <sz val="9"/>
            <color indexed="81"/>
            <rFont val="Meiryo UI"/>
            <family val="2"/>
          </rPr>
          <t>https://docs.aws.amazon.com/AmazonRDS/latest/APIReference/API_DescribeDBClusterParameters.html
https://docs.aws.amazon.com/AmazonRDS/latest/AuroraUserGuide/AuroraMySQL.Compare-v84-community.html</t>
        </r>
      </text>
    </comment>
    <comment ref="B432" authorId="0">
      <text>
        <r>
          <rPr>
            <sz val="9"/>
            <color indexed="81"/>
            <rFont val="Meiryo UI"/>
            <family val="2"/>
          </rPr>
          <t>APIメタデータ: {"ParameterName": "validate_password.special_char_count", "Description": "The minimum number of nonalphanumeric characters that passwords checked by the validate_password component must have if the password policy is MEDIUM or stronger.", "Source": "engine-default", "ApplyType": "dynamic", "DataType": "integer", "AllowedValues": "0-2147483647", "IsModifiable": true, "ApplyMethod": "pending-reboot", "SupportedEngineModes": ["provisioned"]}</t>
        </r>
      </text>
    </comment>
    <comment ref="E432" authorId="0">
      <text>
        <r>
          <rPr>
            <sz val="9"/>
            <color indexed="81"/>
            <rFont val="Meiryo UI"/>
            <family val="2"/>
          </rPr>
          <t>https://dev.mysql.com/doc/refman/8.4/en/validate-password-options-variables.html#sysvar_validate_password.special_char_count
Community参考値でありAurora実効値ではありません。</t>
        </r>
      </text>
    </comment>
    <comment ref="M432" authorId="0">
      <text>
        <r>
          <rPr>
            <sz val="9"/>
            <color indexed="81"/>
            <rFont val="Meiryo UI"/>
            <family val="2"/>
          </rPr>
          <t>https://docs.aws.amazon.com/AmazonRDS/latest/APIReference/API_DescribeDBClusterParameters.html
https://docs.aws.amazon.com/AmazonRDS/latest/AuroraUserGuide/AuroraMySQL.Upgrade-v3-v84-security.html
https://docs.aws.amazon.com/AmazonRDS/latest/AuroraUserGuide/AuroraMySQL.Compare-v84-community.html</t>
        </r>
      </text>
    </comment>
    <comment ref="B433" authorId="0">
      <text>
        <r>
          <rPr>
            <sz val="9"/>
            <color indexed="81"/>
            <rFont val="Meiryo UI"/>
            <family val="2"/>
          </rPr>
          <t>APIメタデータ: {"ParameterName": "wait_timeout", "Description": "The number of seconds the server waits for activity on a non-interactive TCP/IP or UNIX File connection before closing it.", "Source": "engine-default", "ApplyType": "dynamic", "DataType": "integer", "AllowedValues": "1-31536000", "IsModifiable": true, "ApplyMethod": "pending-reboot", "SupportedEngineModes": ["provisioned"]}</t>
        </r>
      </text>
    </comment>
    <comment ref="E433" authorId="0">
      <text>
        <r>
          <rPr>
            <sz val="9"/>
            <color indexed="81"/>
            <rFont val="Meiryo UI"/>
            <family val="2"/>
          </rPr>
          <t>https://dev.mysql.com/doc/refman/8.4/en/server-system-variables.html#sysvar_wait_timeout
Community参考値でありAurora実効値ではありません。</t>
        </r>
      </text>
    </comment>
    <comment ref="M433" authorId="0">
      <text>
        <r>
          <rPr>
            <sz val="9"/>
            <color indexed="81"/>
            <rFont val="Meiryo UI"/>
            <family val="2"/>
          </rPr>
          <t>https://docs.aws.amazon.com/AmazonRDS/latest/APIReference/API_DescribeDBClusterParameters.html
https://docs.aws.amazon.com/AmazonRDS/latest/AuroraUserGuide/rds-proxy-connections.html
https://dev.mysql.com/doc/refman/8.4/en/server-system-variables.html</t>
        </r>
      </text>
    </comment>
    <comment ref="B434" authorId="0">
      <text>
        <r>
          <rPr>
            <sz val="9"/>
            <color indexed="81"/>
            <rFont val="Meiryo UI"/>
            <family val="2"/>
          </rPr>
          <t>APIメタデータ: {"ParameterName": "windowing_use_high_precision", "Description": "For SQL window functions, determines whether to enable inversion optimization for moving window frames also for floating values.", "Source": "engine-default", "ApplyType": "dynamic", "DataType": "boolean", "AllowedValues": "0,1", "IsModifiable": true, "ApplyMethod": "pending-reboot", "SupportedEngineModes": ["provisioned"]}</t>
        </r>
      </text>
    </comment>
    <comment ref="E434" authorId="0">
      <text>
        <r>
          <rPr>
            <sz val="9"/>
            <color indexed="81"/>
            <rFont val="Meiryo UI"/>
            <family val="2"/>
          </rPr>
          <t>https://dev.mysql.com/doc/refman/8.4/en/server-system-variables.html#sysvar_windowing_use_high_precision
Community参考値でありAurora実効値ではありません。</t>
        </r>
      </text>
    </comment>
    <comment ref="M434"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 ref="B435" authorId="0">
      <text>
        <r>
          <rPr>
            <sz val="9"/>
            <color indexed="81"/>
            <rFont val="Meiryo UI"/>
            <family val="2"/>
          </rPr>
          <t>APIメタデータ: {"ParameterName": "xa_detach_on_prepare", "Description": "When enabled, XA transactions are detached from the connection as part of XA PREPARE.", "Source": "engine-default", "ApplyType": "dynamic", "DataType": "boolean", "AllowedValues": "0,1", "IsModifiable": true, "ApplyMethod": "pending-reboot", "SupportedEngineModes": ["provisioned"]}</t>
        </r>
      </text>
    </comment>
    <comment ref="E435" authorId="0">
      <text>
        <r>
          <rPr>
            <sz val="9"/>
            <color indexed="81"/>
            <rFont val="Meiryo UI"/>
            <family val="2"/>
          </rPr>
          <t>https://dev.mysql.com/doc/refman/8.4/en/server-system-variables.html#sysvar_xa_detach_on_prepare
Community参考値でありAurora実効値ではありません。</t>
        </r>
      </text>
    </comment>
    <comment ref="M435" authorId="0">
      <text>
        <r>
          <rPr>
            <sz val="9"/>
            <color indexed="81"/>
            <rFont val="Meiryo UI"/>
            <family val="2"/>
          </rPr>
          <t>https://docs.aws.amazon.com/AmazonRDS/latest/APIReference/API_DescribeDBClusterParameters.html
https://docs.aws.amazon.com/AmazonRDS/latest/AuroraUserGuide/AuroraMySQL.Reference.ParameterGroups.html
https://dev.mysql.com/doc/refman/8.4/en/server-system-variables.html</t>
        </r>
      </text>
    </comment>
  </commentList>
</comments>
</file>

<file path=xl/comments16.xml><?xml version="1.0" encoding="utf-8"?>
<comments xmlns="http://schemas.openxmlformats.org/spreadsheetml/2006/main">
  <authors>
    <author/>
  </authors>
  <commentList>
    <comment ref="I6" authorId="0">
      <text>
        <r>
          <rPr>
            <sz val="9"/>
            <color indexed="81"/>
            <rFont val="Meiryo UI"/>
            <family val="2"/>
          </rPr>
          <t>https://docs.aws.amazon.com/AmazonRDS/latest/AuroraUserGuide/AuroraMySQL.Reference.ParameterGroups.html
https://dev.mysql.com/doc/refman/8.4/en/server-system-variables.html</t>
        </r>
      </text>
    </comment>
    <comment ref="I7" authorId="0">
      <text>
        <r>
          <rPr>
            <sz val="9"/>
            <color indexed="81"/>
            <rFont val="Meiryo UI"/>
            <family val="2"/>
          </rPr>
          <t>https://docs.aws.amazon.com/AmazonRDS/latest/AuroraUserGuide/AuroraMySQL.Reference.ParameterGroups.html
https://dev.mysql.com/doc/refman/8.4/en/server-system-variables.html</t>
        </r>
      </text>
    </comment>
    <comment ref="I8" authorId="0">
      <text>
        <r>
          <rPr>
            <sz val="9"/>
            <color indexed="81"/>
            <rFont val="Meiryo UI"/>
            <family val="2"/>
          </rPr>
          <t>https://docs.aws.amazon.com/AmazonRDS/latest/AuroraUserGuide/AuroraMySQL.Reference.ParameterGroups.html
https://dev.mysql.com/doc/refman/8.4/en/server-system-variables.html</t>
        </r>
      </text>
    </comment>
    <comment ref="I9" authorId="0">
      <text>
        <r>
          <rPr>
            <sz val="9"/>
            <color indexed="81"/>
            <rFont val="Meiryo UI"/>
            <family val="2"/>
          </rPr>
          <t>https://docs.aws.amazon.com/AmazonRDS/latest/AuroraUserGuide/AuroraMySQL.Reference.ParameterGroups.html
https://dev.mysql.com/doc/refman/8.4/en/server-system-variables.html</t>
        </r>
      </text>
    </comment>
    <comment ref="I10" authorId="0">
      <text>
        <r>
          <rPr>
            <sz val="9"/>
            <color indexed="81"/>
            <rFont val="Meiryo UI"/>
            <family val="2"/>
          </rPr>
          <t>https://docs.aws.amazon.com/AmazonRDS/latest/AuroraUserGuide/AuroraMySQL.Reference.ParameterGroups.html</t>
        </r>
      </text>
    </comment>
    <comment ref="I11" authorId="0">
      <text>
        <r>
          <rPr>
            <sz val="9"/>
            <color indexed="81"/>
            <rFont val="Meiryo UI"/>
            <family val="2"/>
          </rPr>
          <t>https://docs.aws.amazon.com/AmazonRDS/latest/AuroraUserGuide/AuroraMySQL.Reference.ParameterGroups.html
https://dev.mysql.com/doc/refman/8.4/en/server-system-variables.html</t>
        </r>
      </text>
    </comment>
    <comment ref="I12" authorId="0">
      <text>
        <r>
          <rPr>
            <sz val="9"/>
            <color indexed="81"/>
            <rFont val="Meiryo UI"/>
            <family val="2"/>
          </rPr>
          <t>https://docs.aws.amazon.com/AmazonRDS/latest/AuroraUserGuide/AuroraMySQL.Compare-v84-community.html</t>
        </r>
      </text>
    </comment>
    <comment ref="I13" authorId="0">
      <text>
        <r>
          <rPr>
            <sz val="9"/>
            <color indexed="81"/>
            <rFont val="Meiryo UI"/>
            <family val="2"/>
          </rPr>
          <t>https://docs.aws.amazon.com/AmazonRDS/latest/AuroraUserGuide/AuroraMySQL.Reference.ParameterGroups.html
https://dev.mysql.com/doc/refman/8.4/en/server-system-variables.html</t>
        </r>
      </text>
    </comment>
    <comment ref="I14" authorId="0">
      <text>
        <r>
          <rPr>
            <sz val="9"/>
            <color indexed="81"/>
            <rFont val="Meiryo UI"/>
            <family val="2"/>
          </rPr>
          <t>https://docs.aws.amazon.com/AmazonRDS/latest/AuroraUserGuide/AuroraMySQL.Reference.ParameterGroups.html
https://dev.mysql.com/doc/refman/8.4/en/server-system-variables.html</t>
        </r>
      </text>
    </comment>
    <comment ref="I15" authorId="0">
      <text>
        <r>
          <rPr>
            <sz val="9"/>
            <color indexed="81"/>
            <rFont val="Meiryo UI"/>
            <family val="2"/>
          </rPr>
          <t>https://dev.mysql.com/doc/refman/8.4/en/server-system-variables.html
https://dev.mysql.com/doc/refman/8.4/en/innodb-parameters.html</t>
        </r>
      </text>
    </comment>
    <comment ref="I16" authorId="0">
      <text>
        <r>
          <rPr>
            <sz val="9"/>
            <color indexed="81"/>
            <rFont val="Meiryo UI"/>
            <family val="2"/>
          </rPr>
          <t>https://docs.aws.amazon.com/AmazonRDS/latest/AuroraUserGuide/AuroraMySQL.Reference.ParameterGroups.html
https://dev.mysql.com/doc/refman/8.4/en/server-system-variables.html</t>
        </r>
      </text>
    </comment>
    <comment ref="I17" authorId="0">
      <text>
        <r>
          <rPr>
            <sz val="9"/>
            <color indexed="81"/>
            <rFont val="Meiryo UI"/>
            <family val="2"/>
          </rPr>
          <t>https://docs.aws.amazon.com/AmazonRDS/latest/AuroraUserGuide/AuroraMySQL.Reference.ParameterGroups.html
https://dev.mysql.com/doc/refman/8.4/en/server-system-variables.html</t>
        </r>
      </text>
    </comment>
    <comment ref="I18" authorId="0">
      <text>
        <r>
          <rPr>
            <sz val="9"/>
            <color indexed="81"/>
            <rFont val="Meiryo UI"/>
            <family val="2"/>
          </rPr>
          <t>https://docs.aws.amazon.com/AmazonRDS/latest/AuroraUserGuide/AuroraMySQL.Reference.ParameterGroups.html
https://dev.mysql.com/doc/refman/8.4/en/server-system-variables.html</t>
        </r>
      </text>
    </comment>
    <comment ref="I19" authorId="0">
      <text>
        <r>
          <rPr>
            <sz val="9"/>
            <color indexed="81"/>
            <rFont val="Meiryo UI"/>
            <family val="2"/>
          </rPr>
          <t>https://docs.aws.amazon.com/AmazonRDS/latest/AuroraUserGuide/AuroraMySQL.Reference.ParameterGroups.html
https://dev.mysql.com/doc/refman/8.4/en/server-system-variables.html</t>
        </r>
      </text>
    </comment>
    <comment ref="I20"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1" authorId="0">
      <text>
        <r>
          <rPr>
            <sz val="9"/>
            <color indexed="81"/>
            <rFont val="Meiryo UI"/>
            <family val="2"/>
          </rPr>
          <t>https://docs.aws.amazon.com/AmazonRDS/latest/AuroraUserGuide/AuroraMySQL.Reference.ParameterGroups.html</t>
        </r>
      </text>
    </comment>
    <comment ref="I22" authorId="0">
      <text>
        <r>
          <rPr>
            <sz val="9"/>
            <color indexed="81"/>
            <rFont val="Meiryo UI"/>
            <family val="2"/>
          </rPr>
          <t>https://docs.aws.amazon.com/AmazonRDS/latest/AuroraUserGuide/AuroraMySQL.Reference.ParameterGroups.html</t>
        </r>
      </text>
    </comment>
    <comment ref="I23" authorId="0">
      <text>
        <r>
          <rPr>
            <sz val="9"/>
            <color indexed="81"/>
            <rFont val="Meiryo UI"/>
            <family val="2"/>
          </rPr>
          <t>https://docs.aws.amazon.com/AmazonRDS/latest/AuroraUserGuide/AuroraMySQL.Reference.ParameterGroups.html</t>
        </r>
      </text>
    </comment>
    <comment ref="I24" authorId="0">
      <text>
        <r>
          <rPr>
            <sz val="9"/>
            <color indexed="81"/>
            <rFont val="Meiryo UI"/>
            <family val="2"/>
          </rPr>
          <t>https://docs.aws.amazon.com/rds/latest/auroraextendedcontent/aurora-faq-performance.html</t>
        </r>
      </text>
    </comment>
    <comment ref="I25" authorId="0">
      <text>
        <r>
          <rPr>
            <sz val="9"/>
            <color indexed="81"/>
            <rFont val="Meiryo UI"/>
            <family val="2"/>
          </rPr>
          <t>https://docs.aws.amazon.com/AmazonRDS/latest/AuroraUserGuide/AuroraMySQL.Reference.ParameterGroups.html</t>
        </r>
      </text>
    </comment>
    <comment ref="I26" authorId="0">
      <text>
        <r>
          <rPr>
            <sz val="9"/>
            <color indexed="81"/>
            <rFont val="Meiryo UI"/>
            <family val="2"/>
          </rPr>
          <t>https://docs.aws.amazon.com/AmazonRDS/latest/AuroraUserGuide/rds-proxy-gdb.html</t>
        </r>
      </text>
    </comment>
    <comment ref="I27" authorId="0">
      <text>
        <r>
          <rPr>
            <sz val="9"/>
            <color indexed="81"/>
            <rFont val="Meiryo UI"/>
            <family val="2"/>
          </rPr>
          <t>https://docs.aws.amazon.com/AmazonRDS/latest/AuroraUserGuide/AuroraMySQL.Reference.ParameterGroups.html
https://dev.mysql.com/doc/refman/8.4/en/server-system-variables.html</t>
        </r>
      </text>
    </comment>
    <comment ref="I28" authorId="0">
      <text>
        <r>
          <rPr>
            <sz val="9"/>
            <color indexed="81"/>
            <rFont val="Meiryo UI"/>
            <family val="2"/>
          </rPr>
          <t>https://docs.aws.amazon.com/AmazonRDS/latest/APIReference/API_DescribeDBClusterParameters.html
https://docs.aws.amazon.com/AmazonRDS/latest/APIReference/API_DescribeDBParameters.html</t>
        </r>
      </text>
    </comment>
    <comment ref="I29" authorId="0">
      <text>
        <r>
          <rPr>
            <sz val="9"/>
            <color indexed="81"/>
            <rFont val="Meiryo UI"/>
            <family val="2"/>
          </rPr>
          <t>https://docs.aws.amazon.com/AmazonRDS/latest/AuroraUserGuide/AuroraMySQL.Reference.ParameterGroups.html
https://dev.mysql.com/doc/refman/8.4/en/server-system-variables.html</t>
        </r>
      </text>
    </comment>
    <comment ref="I30" authorId="0">
      <text>
        <r>
          <rPr>
            <sz val="9"/>
            <color indexed="81"/>
            <rFont val="Meiryo UI"/>
            <family val="2"/>
          </rPr>
          <t>https://docs.aws.amazon.com/AmazonRDS/latest/AuroraUserGuide/AuroraMySQL.Upgrade-v3-v84-security.html</t>
        </r>
      </text>
    </comment>
    <comment ref="I31" authorId="0">
      <text>
        <r>
          <rPr>
            <sz val="9"/>
            <color indexed="81"/>
            <rFont val="Meiryo UI"/>
            <family val="2"/>
          </rPr>
          <t>https://docs.aws.amazon.com/AmazonRDS/latest/AuroraUserGuide/rds-proxy.howitworks.html</t>
        </r>
      </text>
    </comment>
    <comment ref="I32" authorId="0">
      <text>
        <r>
          <rPr>
            <sz val="9"/>
            <color indexed="81"/>
            <rFont val="Meiryo UI"/>
            <family val="2"/>
          </rPr>
          <t>https://docs.aws.amazon.com/AmazonRDS/latest/AuroraUserGuide/AuroraMySQL.Reference.ParameterGroups.html
https://dev.mysql.com/doc/refman/8.4/en/server-system-variables.html</t>
        </r>
      </text>
    </comment>
    <comment ref="I33" authorId="0">
      <text>
        <r>
          <rPr>
            <sz val="9"/>
            <color indexed="81"/>
            <rFont val="Meiryo UI"/>
            <family val="2"/>
          </rPr>
          <t>https://docs.aws.amazon.com/AmazonRDS/latest/AuroraUserGuide/AuroraMySQL.Reference.ParameterGroups.html
https://dev.mysql.com/doc/refman/8.4/en/server-system-variables.html</t>
        </r>
      </text>
    </comment>
    <comment ref="I34" authorId="0">
      <text>
        <r>
          <rPr>
            <sz val="9"/>
            <color indexed="81"/>
            <rFont val="Meiryo UI"/>
            <family val="2"/>
          </rPr>
          <t>https://docs.aws.amazon.com/AmazonRDS/latest/AuroraUserGuide/AuroraMySQL.Reference.ParameterGroups.html
https://dev.mysql.com/doc/refman/8.4/en/server-system-variables.html</t>
        </r>
      </text>
    </comment>
    <comment ref="I35" authorId="0">
      <text>
        <r>
          <rPr>
            <sz val="9"/>
            <color indexed="81"/>
            <rFont val="Meiryo UI"/>
            <family val="2"/>
          </rPr>
          <t>https://docs.aws.amazon.com/AmazonRDS/latest/AuroraUserGuide/AuroraMySQL.Reference.ParameterGroups.html</t>
        </r>
      </text>
    </comment>
    <comment ref="I36" authorId="0">
      <text>
        <r>
          <rPr>
            <sz val="9"/>
            <color indexed="81"/>
            <rFont val="Meiryo UI"/>
            <family val="2"/>
          </rPr>
          <t>https://docs.aws.amazon.com/AmazonRDS/latest/AuroraUserGuide/AuroraMySQL.Reference.ParameterGroups.html</t>
        </r>
      </text>
    </comment>
    <comment ref="I37" authorId="0">
      <text>
        <r>
          <rPr>
            <sz val="9"/>
            <color indexed="81"/>
            <rFont val="Meiryo UI"/>
            <family val="2"/>
          </rPr>
          <t>https://docs.aws.amazon.com/AmazonRDS/latest/AuroraUserGuide/AuroraMySQL.Reference.ParameterGroups.html</t>
        </r>
      </text>
    </comment>
    <comment ref="I38" authorId="0">
      <text>
        <r>
          <rPr>
            <sz val="9"/>
            <color indexed="81"/>
            <rFont val="Meiryo UI"/>
            <family val="2"/>
          </rPr>
          <t>https://docs.aws.amazon.com/AmazonRDS/latest/AuroraUserGuide/AuroraMySQL.Reference.ParameterGroups.html</t>
        </r>
      </text>
    </comment>
    <comment ref="I39" authorId="0">
      <text>
        <r>
          <rPr>
            <sz val="9"/>
            <color indexed="81"/>
            <rFont val="Meiryo UI"/>
            <family val="2"/>
          </rPr>
          <t>https://docs.aws.amazon.com/AmazonRDS/latest/AuroraUserGuide/AuroraMySQL.Reference.ParameterGroups.html</t>
        </r>
      </text>
    </comment>
    <comment ref="I40" authorId="0">
      <text>
        <r>
          <rPr>
            <sz val="9"/>
            <color indexed="81"/>
            <rFont val="Meiryo UI"/>
            <family val="2"/>
          </rPr>
          <t>https://docs.aws.amazon.com/AmazonRDS/latest/AuroraUserGuide/AuroraMySQL.Reference.ParameterGroups.html</t>
        </r>
      </text>
    </comment>
    <comment ref="I41" authorId="0">
      <text>
        <r>
          <rPr>
            <sz val="9"/>
            <color indexed="81"/>
            <rFont val="Meiryo UI"/>
            <family val="2"/>
          </rPr>
          <t>https://docs.aws.amazon.com/AmazonRDS/latest/AuroraUserGuide/AuroraMySQL.Reference.ParameterGroups.html
https://dev.mysql.com/doc/refman/8.4/en/server-system-variables.html</t>
        </r>
      </text>
    </comment>
    <comment ref="I42" authorId="0">
      <text>
        <r>
          <rPr>
            <sz val="9"/>
            <color indexed="81"/>
            <rFont val="Meiryo UI"/>
            <family val="2"/>
          </rPr>
          <t>https://docs.aws.amazon.com/AmazonRDS/latest/AuroraUserGuide/AuroraMySQL.Reference.ParameterGroups.html
https://dev.mysql.com/doc/refman/8.4/en/server-system-variables.html</t>
        </r>
      </text>
    </comment>
    <comment ref="I43" authorId="0">
      <text>
        <r>
          <rPr>
            <sz val="9"/>
            <color indexed="81"/>
            <rFont val="Meiryo UI"/>
            <family val="2"/>
          </rPr>
          <t>https://docs.aws.amazon.com/AmazonRDS/latest/AuroraUserGuide/AuroraMySQL.Reference.ParameterGroups.html
https://docs.aws.amazon.com/AmazonRDS/latest/AuroraUserGuide/aurora-global-database.html</t>
        </r>
      </text>
    </comment>
    <comment ref="I44" authorId="0">
      <text>
        <r>
          <rPr>
            <sz val="9"/>
            <color indexed="81"/>
            <rFont val="Meiryo UI"/>
            <family val="2"/>
          </rPr>
          <t>https://docs.aws.amazon.com/AmazonRDS/latest/AuroraUserGuide/AuroraMySQL.Reference.ParameterGroups.html
https://docs.aws.amazon.com/AmazonRDS/latest/AuroraUserGuide/aurora-global-database.html</t>
        </r>
      </text>
    </comment>
    <comment ref="I45" authorId="0">
      <text>
        <r>
          <rPr>
            <sz val="9"/>
            <color indexed="81"/>
            <rFont val="Meiryo UI"/>
            <family val="2"/>
          </rPr>
          <t>https://docs.aws.amazon.com/AmazonRDS/latest/AuroraUserGuide/AuroraMySQL.Reference.ParameterGroups.html
https://docs.aws.amazon.com/AmazonRDS/latest/AuroraUserGuide/aurora-global-database.html</t>
        </r>
      </text>
    </comment>
    <comment ref="I46" authorId="0">
      <text>
        <r>
          <rPr>
            <sz val="9"/>
            <color indexed="81"/>
            <rFont val="Meiryo UI"/>
            <family val="2"/>
          </rPr>
          <t>https://docs.aws.amazon.com/AmazonRDS/latest/AuroraUserGuide/AuroraMySQL.Reference.ParameterGroups.html
https://docs.aws.amazon.com/AmazonRDS/latest/AuroraUserGuide/aurora-global-database.html</t>
        </r>
      </text>
    </comment>
    <comment ref="I47" authorId="0">
      <text>
        <r>
          <rPr>
            <sz val="9"/>
            <color indexed="81"/>
            <rFont val="Meiryo UI"/>
            <family val="2"/>
          </rPr>
          <t>https://docs.aws.amazon.com/AmazonRDS/latest/AuroraUserGuide/AuroraMySQL.Reference.ParameterGroups.html
https://docs.aws.amazon.com/AmazonRDS/latest/AuroraUserGuide/aurora-global-database.html</t>
        </r>
      </text>
    </comment>
    <comment ref="I48" authorId="0">
      <text>
        <r>
          <rPr>
            <sz val="9"/>
            <color indexed="81"/>
            <rFont val="Meiryo UI"/>
            <family val="2"/>
          </rPr>
          <t>https://docs.aws.amazon.com/AmazonRDS/latest/AuroraUserGuide/aurora-global-database.html
https://docs.aws.amazon.com/AmazonRDS/latest/AuroraUserGuide/AuroraMySQL.Reference.ParameterGroups.html</t>
        </r>
      </text>
    </comment>
    <comment ref="I49" authorId="0">
      <text>
        <r>
          <rPr>
            <sz val="9"/>
            <color indexed="81"/>
            <rFont val="Meiryo UI"/>
            <family val="2"/>
          </rPr>
          <t>https://docs.aws.amazon.com/AmazonRDS/latest/AuroraUserGuide/AuroraMySQL.Reference.ParameterGroups.html
https://docs.aws.amazon.com/AmazonRDS/latest/AuroraUserGuide/aurora-global-database.html</t>
        </r>
      </text>
    </comment>
    <comment ref="I50" authorId="0">
      <text>
        <r>
          <rPr>
            <sz val="9"/>
            <color indexed="81"/>
            <rFont val="Meiryo UI"/>
            <family val="2"/>
          </rPr>
          <t>https://docs.aws.amazon.com/AmazonRDS/latest/AuroraUserGuide/AuroraMySQL.Reference.ParameterGroups.html
https://docs.aws.amazon.com/AmazonRDS/latest/AuroraUserGuide/aurora-global-database.html</t>
        </r>
      </text>
    </comment>
    <comment ref="I51" authorId="0">
      <text>
        <r>
          <rPr>
            <sz val="9"/>
            <color indexed="81"/>
            <rFont val="Meiryo UI"/>
            <family val="2"/>
          </rPr>
          <t>https://docs.aws.amazon.com/AmazonRDS/latest/AuroraUserGuide/AuroraMySQL.Reference.ParameterGroups.html
https://docs.aws.amazon.com/AmazonRDS/latest/AuroraUserGuide/aurora-global-database.html</t>
        </r>
      </text>
    </comment>
    <comment ref="I52" authorId="0">
      <text>
        <r>
          <rPr>
            <sz val="9"/>
            <color indexed="81"/>
            <rFont val="Meiryo UI"/>
            <family val="2"/>
          </rPr>
          <t>https://docs.aws.amazon.com/AmazonRDS/latest/AuroraUserGuide/AuroraMySQL.Reference.ParameterGroups.html
https://docs.aws.amazon.com/AmazonRDS/latest/AuroraUserGuide/aurora-global-database.html</t>
        </r>
      </text>
    </comment>
    <comment ref="I53" authorId="0">
      <text>
        <r>
          <rPr>
            <sz val="9"/>
            <color indexed="81"/>
            <rFont val="Meiryo UI"/>
            <family val="2"/>
          </rPr>
          <t>https://docs.aws.amazon.com/AmazonRDS/latest/AuroraUserGuide/AuroraMySQL.Reference.ParameterGroups.html
https://docs.aws.amazon.com/AmazonRDS/latest/AuroraUserGuide/aurora-global-database.html</t>
        </r>
      </text>
    </comment>
    <comment ref="I54" authorId="0">
      <text>
        <r>
          <rPr>
            <sz val="9"/>
            <color indexed="81"/>
            <rFont val="Meiryo UI"/>
            <family val="2"/>
          </rPr>
          <t>https://docs.aws.amazon.com/AmazonRDS/latest/AuroraUserGuide/AuroraMySQL.Reference.ParameterGroups.html
https://docs.aws.amazon.com/AmazonRDS/latest/AuroraUserGuide/aurora-global-database.html</t>
        </r>
      </text>
    </comment>
    <comment ref="I55" authorId="0">
      <text>
        <r>
          <rPr>
            <sz val="9"/>
            <color indexed="81"/>
            <rFont val="Meiryo UI"/>
            <family val="2"/>
          </rPr>
          <t>https://docs.aws.amazon.com/AmazonRDS/latest/AuroraUserGuide/AuroraMySQL.Reference.ParameterGroups.html
https://docs.aws.amazon.com/AmazonRDS/latest/AuroraUserGuide/aurora-global-database.html</t>
        </r>
      </text>
    </comment>
    <comment ref="I56" authorId="0">
      <text>
        <r>
          <rPr>
            <sz val="9"/>
            <color indexed="81"/>
            <rFont val="Meiryo UI"/>
            <family val="2"/>
          </rPr>
          <t>https://docs.aws.amazon.com/AmazonRDS/latest/AuroraUserGuide/AuroraMySQL.Reference.ParameterGroups.html
https://docs.aws.amazon.com/AmazonRDS/latest/AuroraUserGuide/aurora-global-database.html</t>
        </r>
      </text>
    </comment>
    <comment ref="I57" authorId="0">
      <text>
        <r>
          <rPr>
            <sz val="9"/>
            <color indexed="81"/>
            <rFont val="Meiryo UI"/>
            <family val="2"/>
          </rPr>
          <t>https://docs.aws.amazon.com/AmazonRDS/latest/AuroraUserGuide/AuroraMySQL.Reference.ParameterGroups.html
https://docs.aws.amazon.com/AmazonRDS/latest/AuroraUserGuide/aurora-global-database.html</t>
        </r>
      </text>
    </comment>
    <comment ref="I58" authorId="0">
      <text>
        <r>
          <rPr>
            <sz val="9"/>
            <color indexed="81"/>
            <rFont val="Meiryo UI"/>
            <family val="2"/>
          </rPr>
          <t>https://docs.aws.amazon.com/AmazonRDS/latest/AuroraUserGuide/AuroraMySQL.Reference.ParameterGroups.html
https://docs.aws.amazon.com/AmazonRDS/latest/AuroraUserGuide/aurora-global-database.html</t>
        </r>
      </text>
    </comment>
    <comment ref="I59" authorId="0">
      <text>
        <r>
          <rPr>
            <sz val="9"/>
            <color indexed="81"/>
            <rFont val="Meiryo UI"/>
            <family val="2"/>
          </rPr>
          <t>https://docs.aws.amazon.com/AmazonRDS/latest/AuroraUserGuide/AuroraMySQL.Reference.ParameterGroups.html
https://docs.aws.amazon.com/AmazonRDS/latest/AuroraUserGuide/aurora-global-database.html</t>
        </r>
      </text>
    </comment>
    <comment ref="I60" authorId="0">
      <text>
        <r>
          <rPr>
            <sz val="9"/>
            <color indexed="81"/>
            <rFont val="Meiryo UI"/>
            <family val="2"/>
          </rPr>
          <t>https://docs.aws.amazon.com/AmazonRDS/latest/AuroraUserGuide/AuroraMySQL.Reference.ParameterGroups.html
https://docs.aws.amazon.com/AmazonRDS/latest/AuroraUserGuide/aurora-global-database.html</t>
        </r>
      </text>
    </comment>
    <comment ref="I61" authorId="0">
      <text>
        <r>
          <rPr>
            <sz val="9"/>
            <color indexed="81"/>
            <rFont val="Meiryo UI"/>
            <family val="2"/>
          </rPr>
          <t>https://docs.aws.amazon.com/AmazonRDS/latest/AuroraUserGuide/AuroraMySQL.Reference.ParameterGroups.html
https://docs.aws.amazon.com/AmazonRDS/latest/AuroraUserGuide/aurora-global-database.html</t>
        </r>
      </text>
    </comment>
    <comment ref="I62" authorId="0">
      <text>
        <r>
          <rPr>
            <sz val="9"/>
            <color indexed="81"/>
            <rFont val="Meiryo UI"/>
            <family val="2"/>
          </rPr>
          <t>https://docs.aws.amazon.com/AmazonRDS/latest/AuroraUserGuide/AuroraMySQL.Reference.ParameterGroups.html
https://docs.aws.amazon.com/AmazonRDS/latest/AuroraUserGuide/aurora-global-database.html</t>
        </r>
      </text>
    </comment>
    <comment ref="I63" authorId="0">
      <text>
        <r>
          <rPr>
            <sz val="9"/>
            <color indexed="81"/>
            <rFont val="Meiryo UI"/>
            <family val="2"/>
          </rPr>
          <t>https://docs.aws.amazon.com/AmazonRDS/latest/AuroraUserGuide/AuroraMySQL.Reference.ParameterGroups.html
https://dev.mysql.com/doc/refman/8.4/en/server-system-variables.html</t>
        </r>
      </text>
    </comment>
    <comment ref="I64" authorId="0">
      <text>
        <r>
          <rPr>
            <sz val="9"/>
            <color indexed="81"/>
            <rFont val="Meiryo UI"/>
            <family val="2"/>
          </rPr>
          <t>https://dev.mysql.com/doc/connector-j/en/connector-j-reference-configuration-properties.html</t>
        </r>
      </text>
    </comment>
    <comment ref="I65" authorId="0">
      <text>
        <r>
          <rPr>
            <sz val="9"/>
            <color indexed="81"/>
            <rFont val="Meiryo UI"/>
            <family val="2"/>
          </rPr>
          <t>https://dev.mysql.com/doc/connector-j/en/connector-j-reference-configuration-properties.html</t>
        </r>
      </text>
    </comment>
    <comment ref="I66" authorId="0">
      <text>
        <r>
          <rPr>
            <sz val="9"/>
            <color indexed="81"/>
            <rFont val="Meiryo UI"/>
            <family val="2"/>
          </rPr>
          <t>https://dev.mysql.com/doc/refman/8.4/en/server-system-variables.html</t>
        </r>
      </text>
    </comment>
    <comment ref="I67" authorId="0">
      <text>
        <r>
          <rPr>
            <sz val="9"/>
            <color indexed="81"/>
            <rFont val="Meiryo UI"/>
            <family val="2"/>
          </rPr>
          <t>https://docs.aws.amazon.com/AmazonRDS/latest/AuroraUserGuide/AuroraMySQL.Reference.ParameterGroups.html
https://dev.mysql.com/doc/refman/8.4/en/server-system-variables.html</t>
        </r>
      </text>
    </comment>
    <comment ref="I68" authorId="0">
      <text>
        <r>
          <rPr>
            <sz val="9"/>
            <color indexed="81"/>
            <rFont val="Meiryo UI"/>
            <family val="2"/>
          </rPr>
          <t>https://dev.mysql.com/doc/connector-j/en/connector-j-reference-configuration-properties.html</t>
        </r>
      </text>
    </comment>
    <comment ref="I69" authorId="0">
      <text>
        <r>
          <rPr>
            <sz val="9"/>
            <color indexed="81"/>
            <rFont val="Meiryo UI"/>
            <family val="2"/>
          </rPr>
          <t>https://dev.mysql.com/doc/refman/8.4/en/server-system-variables.html</t>
        </r>
      </text>
    </comment>
    <comment ref="I70" authorId="0">
      <text>
        <r>
          <rPr>
            <sz val="9"/>
            <color indexed="81"/>
            <rFont val="Meiryo UI"/>
            <family val="2"/>
          </rPr>
          <t>https://docs.aws.amazon.com/AmazonRDS/latest/AuroraUserGuide/AuroraMySQL.Reference.ParameterGroups.html
https://dev.mysql.com/doc/refman/8.4/en/server-system-variables.html</t>
        </r>
      </text>
    </comment>
    <comment ref="I71" authorId="0">
      <text>
        <r>
          <rPr>
            <sz val="9"/>
            <color indexed="81"/>
            <rFont val="Meiryo UI"/>
            <family val="2"/>
          </rPr>
          <t>https://dev.mysql.com/doc/connector-j/en/connector-j-reference-configuration-properties.html
https://dev.mysql.com/doc/refman/8.4/en/server-system-variables.html</t>
        </r>
      </text>
    </comment>
    <comment ref="I72" authorId="0">
      <text>
        <r>
          <rPr>
            <sz val="9"/>
            <color indexed="81"/>
            <rFont val="Meiryo UI"/>
            <family val="2"/>
          </rPr>
          <t>https://dev.mysql.com/doc/refman/8.4/en/server-system-variables.html</t>
        </r>
      </text>
    </comment>
    <comment ref="I73" authorId="0">
      <text>
        <r>
          <rPr>
            <sz val="9"/>
            <color indexed="81"/>
            <rFont val="Meiryo UI"/>
            <family val="2"/>
          </rPr>
          <t>https://docs.aws.amazon.com/AmazonRDS/latest/AuroraUserGuide/AuroraMySQL.Reference.ParameterGroups.html
https://dev.mysql.com/doc/refman/8.4/en/server-system-variables.html</t>
        </r>
      </text>
    </comment>
    <comment ref="I74" authorId="0">
      <text>
        <r>
          <rPr>
            <sz val="9"/>
            <color indexed="81"/>
            <rFont val="Meiryo UI"/>
            <family val="2"/>
          </rPr>
          <t>https://docs.aws.amazon.com/AmazonRDS/latest/AuroraUserGuide/AuroraMySQL.Reference.ParameterGroups.html
https://dev.mysql.com/doc/refman/8.4/en/server-system-variables.html</t>
        </r>
      </text>
    </comment>
    <comment ref="I75" authorId="0">
      <text>
        <r>
          <rPr>
            <sz val="9"/>
            <color indexed="81"/>
            <rFont val="Meiryo UI"/>
            <family val="2"/>
          </rPr>
          <t>https://dev.mysql.com/doc/refman/8.4/en/server-system-variables.html</t>
        </r>
      </text>
    </comment>
    <comment ref="I76" authorId="0">
      <text>
        <r>
          <rPr>
            <sz val="9"/>
            <color indexed="81"/>
            <rFont val="Meiryo UI"/>
            <family val="2"/>
          </rPr>
          <t>https://docs.aws.amazon.com/AmazonRDS/latest/AuroraUserGuide/AuroraMySQL.Reference.ParameterGroups.html
https://dev.mysql.com/doc/refman/8.4/en/server-system-variables.html</t>
        </r>
      </text>
    </comment>
    <comment ref="I77" authorId="0">
      <text>
        <r>
          <rPr>
            <sz val="9"/>
            <color indexed="81"/>
            <rFont val="Meiryo UI"/>
            <family val="2"/>
          </rPr>
          <t>https://dev.mysql.com/doc/refman/8.4/en/server-system-variables.html</t>
        </r>
      </text>
    </comment>
    <comment ref="I78" authorId="0">
      <text>
        <r>
          <rPr>
            <sz val="9"/>
            <color indexed="81"/>
            <rFont val="Meiryo UI"/>
            <family val="2"/>
          </rPr>
          <t>https://docs.aws.amazon.com/AmazonRDS/latest/AuroraUserGuide/AuroraMySQL.Reference.ParameterGroups.html
https://dev.mysql.com/doc/refman/8.4/en/server-system-variables.html</t>
        </r>
      </text>
    </comment>
    <comment ref="I79" authorId="0">
      <text>
        <r>
          <rPr>
            <sz val="9"/>
            <color indexed="81"/>
            <rFont val="Meiryo UI"/>
            <family val="2"/>
          </rPr>
          <t>https://docs.aws.amazon.com/AmazonRDS/latest/AuroraUserGuide/AuroraMySQL.Upgrade-v3-v84-security.html
https://docs.aws.amazon.com/secretsmanager/latest/userguide/replicate-secrets.html</t>
        </r>
      </text>
    </comment>
    <comment ref="I80" authorId="0">
      <text>
        <r>
          <rPr>
            <sz val="9"/>
            <color indexed="81"/>
            <rFont val="Meiryo UI"/>
            <family val="2"/>
          </rPr>
          <t>https://docs.aws.amazon.com/AmazonRDS/latest/AuroraUserGuide/AuroraMySQL.Reference.ParameterGroups.html
https://dev.mysql.com/doc/refman/8.4/en/server-system-variables.html</t>
        </r>
      </text>
    </comment>
    <comment ref="I81" authorId="0">
      <text>
        <r>
          <rPr>
            <sz val="9"/>
            <color indexed="81"/>
            <rFont val="Meiryo UI"/>
            <family val="2"/>
          </rPr>
          <t>https://docs.aws.amazon.com/AmazonRDS/latest/AuroraUserGuide/AuroraMySQL.Reference.ParameterGroups.html
https://dev.mysql.com/doc/refman/8.4/en/server-system-variables.html</t>
        </r>
      </text>
    </comment>
    <comment ref="I82" authorId="0">
      <text>
        <r>
          <rPr>
            <sz val="9"/>
            <color indexed="81"/>
            <rFont val="Meiryo UI"/>
            <family val="2"/>
          </rPr>
          <t>https://docs.aws.amazon.com/AmazonRDS/latest/AuroraUserGuide/AuroraMySQL.Reference.ParameterGroups.html
https://dev.mysql.com/doc/refman/8.4/en/server-system-variables.html</t>
        </r>
      </text>
    </comment>
    <comment ref="I83" authorId="0">
      <text>
        <r>
          <rPr>
            <sz val="9"/>
            <color indexed="81"/>
            <rFont val="Meiryo UI"/>
            <family val="2"/>
          </rPr>
          <t>https://docs.aws.amazon.com/AmazonRDS/latest/AuroraUserGuide/AuroraMySQL.Reference.ParameterGroups.html
https://dev.mysql.com/doc/refman/8.4/en/server-system-variables.html</t>
        </r>
      </text>
    </comment>
    <comment ref="I84" authorId="0">
      <text>
        <r>
          <rPr>
            <sz val="9"/>
            <color indexed="81"/>
            <rFont val="Meiryo UI"/>
            <family val="2"/>
          </rPr>
          <t>https://docs.aws.amazon.com/AmazonRDS/latest/AuroraUserGuide/AuroraMySQL.Reference.ParameterGroups.html
https://dev.mysql.com/doc/refman/8.4/en/server-system-variables.html</t>
        </r>
      </text>
    </comment>
    <comment ref="I85" authorId="0">
      <text>
        <r>
          <rPr>
            <sz val="9"/>
            <color indexed="81"/>
            <rFont val="Meiryo UI"/>
            <family val="2"/>
          </rPr>
          <t>https://docs.aws.amazon.com/AmazonRDS/latest/AuroraUserGuide/AuroraMySQL.Reference.ParameterGroups.html
https://dev.mysql.com/doc/refman/8.4/en/server-system-variables.html</t>
        </r>
      </text>
    </comment>
    <comment ref="I86" authorId="0">
      <text>
        <r>
          <rPr>
            <sz val="9"/>
            <color indexed="81"/>
            <rFont val="Meiryo UI"/>
            <family val="2"/>
          </rPr>
          <t>https://docs.aws.amazon.com/AmazonRDS/latest/AuroraUserGuide/AuroraMySQL.Reference.ParameterGroups.html
https://dev.mysql.com/doc/refman/8.4/en/server-system-variables.html</t>
        </r>
      </text>
    </comment>
    <comment ref="I87" authorId="0">
      <text>
        <r>
          <rPr>
            <sz val="9"/>
            <color indexed="81"/>
            <rFont val="Meiryo UI"/>
            <family val="2"/>
          </rPr>
          <t>https://docs.aws.amazon.com/AmazonRDS/latest/AuroraUserGuide/AuroraMySQL.Reference.ParameterGroups.html
https://dev.mysql.com/doc/refman/8.4/en/server-system-variables.html</t>
        </r>
      </text>
    </comment>
    <comment ref="I88" authorId="0">
      <text>
        <r>
          <rPr>
            <sz val="9"/>
            <color indexed="81"/>
            <rFont val="Meiryo UI"/>
            <family val="2"/>
          </rPr>
          <t>https://docs.aws.amazon.com/AmazonRDS/latest/AuroraUserGuide/AuroraMySQL.Reference.ParameterGroups.html
https://dev.mysql.com/doc/refman/8.4/en/server-system-variables.html</t>
        </r>
      </text>
    </comment>
    <comment ref="I89" authorId="0">
      <text>
        <r>
          <rPr>
            <sz val="9"/>
            <color indexed="81"/>
            <rFont val="Meiryo UI"/>
            <family val="2"/>
          </rPr>
          <t>https://docs.aws.amazon.com/AmazonRDS/latest/AuroraUserGuide/AuroraMySQL.Reference.ParameterGroups.html
https://dev.mysql.com/doc/refman/8.4/en/server-system-variables.html</t>
        </r>
      </text>
    </comment>
    <comment ref="I90" authorId="0">
      <text>
        <r>
          <rPr>
            <sz val="9"/>
            <color indexed="81"/>
            <rFont val="Meiryo UI"/>
            <family val="2"/>
          </rPr>
          <t>https://docs.aws.amazon.com/AmazonRDS/latest/AuroraUserGuide/AuroraMySQL.Reference.ParameterGroups.html
https://dev.mysql.com/doc/refman/8.4/en/server-system-variables.html</t>
        </r>
      </text>
    </comment>
    <comment ref="I91" authorId="0">
      <text>
        <r>
          <rPr>
            <sz val="9"/>
            <color indexed="81"/>
            <rFont val="Meiryo UI"/>
            <family val="2"/>
          </rPr>
          <t>https://docs.aws.amazon.com/AmazonRDS/latest/AuroraUserGuide/AuroraMySQL.Reference.ParameterGroups.html
https://dev.mysql.com/doc/refman/8.4/en/server-system-variables.html</t>
        </r>
      </text>
    </comment>
    <comment ref="I92" authorId="0">
      <text>
        <r>
          <rPr>
            <sz val="9"/>
            <color indexed="81"/>
            <rFont val="Meiryo UI"/>
            <family val="2"/>
          </rPr>
          <t>https://dev.mysql.com/doc/refman/8.4/en/server-system-variables.html</t>
        </r>
      </text>
    </comment>
    <comment ref="I93" authorId="0">
      <text>
        <r>
          <rPr>
            <sz val="9"/>
            <color indexed="81"/>
            <rFont val="Meiryo UI"/>
            <family val="2"/>
          </rPr>
          <t>https://dev.mysql.com/doc/refman/8.4/en/server-system-variables.html</t>
        </r>
      </text>
    </comment>
    <comment ref="I94" authorId="0">
      <text>
        <r>
          <rPr>
            <sz val="9"/>
            <color indexed="81"/>
            <rFont val="Meiryo UI"/>
            <family val="2"/>
          </rPr>
          <t>https://docs.aws.amazon.com/AmazonRDS/latest/AuroraUserGuide/AuroraMySQL.Reference.ParameterGroups.html
https://dev.mysql.com/doc/refman/8.4/en/server-system-variables.html</t>
        </r>
      </text>
    </comment>
    <comment ref="I95" authorId="0">
      <text>
        <r>
          <rPr>
            <sz val="9"/>
            <color indexed="81"/>
            <rFont val="Meiryo UI"/>
            <family val="2"/>
          </rPr>
          <t>https://docs.aws.amazon.com/AmazonRDS/latest/AuroraUserGuide/AuroraMySQL.Reference.ParameterGroups.html
https://dev.mysql.com/doc/refman/8.4/en/server-system-variables.html</t>
        </r>
      </text>
    </comment>
    <comment ref="I96" authorId="0">
      <text>
        <r>
          <rPr>
            <sz val="9"/>
            <color indexed="81"/>
            <rFont val="Meiryo UI"/>
            <family val="2"/>
          </rPr>
          <t>https://docs.aws.amazon.com/AmazonRDS/latest/AuroraUserGuide/AuroraMySQL.Reference.ParameterGroups.html
https://dev.mysql.com/doc/refman/8.4/en/server-system-variables.html</t>
        </r>
      </text>
    </comment>
    <comment ref="I97" authorId="0">
      <text>
        <r>
          <rPr>
            <sz val="9"/>
            <color indexed="81"/>
            <rFont val="Meiryo UI"/>
            <family val="2"/>
          </rPr>
          <t>https://docs.aws.amazon.com/AmazonRDS/latest/AuroraUserGuide/AuroraMySQL.Reference.ParameterGroups.html
https://dev.mysql.com/doc/refman/8.4/en/server-system-variables.html</t>
        </r>
      </text>
    </comment>
    <comment ref="I98" authorId="0">
      <text>
        <r>
          <rPr>
            <sz val="9"/>
            <color indexed="81"/>
            <rFont val="Meiryo UI"/>
            <family val="2"/>
          </rPr>
          <t>https://docs.aws.amazon.com/AmazonRDS/latest/AuroraUserGuide/AuroraMySQL.Reference.ParameterGroups.html
https://dev.mysql.com/doc/refman/8.4/en/server-system-variables.html</t>
        </r>
      </text>
    </comment>
    <comment ref="I99" authorId="0">
      <text>
        <r>
          <rPr>
            <sz val="9"/>
            <color indexed="81"/>
            <rFont val="Meiryo UI"/>
            <family val="2"/>
          </rPr>
          <t>https://docs.aws.amazon.com/AmazonRDS/latest/AuroraUserGuide/AuroraMySQL.Reference.ParameterGroups.html
https://dev.mysql.com/doc/refman/8.4/en/server-system-variables.html</t>
        </r>
      </text>
    </comment>
    <comment ref="I100" authorId="0">
      <text>
        <r>
          <rPr>
            <sz val="9"/>
            <color indexed="81"/>
            <rFont val="Meiryo UI"/>
            <family val="2"/>
          </rPr>
          <t>https://docs.aws.amazon.com/AmazonRDS/latest/AuroraUserGuide/AuroraMySQL.Reference.ParameterGroups.html
https://dev.mysql.com/doc/refman/8.4/en/server-system-variables.html</t>
        </r>
      </text>
    </comment>
    <comment ref="I101" authorId="0">
      <text>
        <r>
          <rPr>
            <sz val="9"/>
            <color indexed="81"/>
            <rFont val="Meiryo UI"/>
            <family val="2"/>
          </rPr>
          <t>https://docs.aws.amazon.com/AmazonRDS/latest/AuroraUserGuide/AuroraMySQL.Reference.ParameterGroups.html
https://dev.mysql.com/doc/refman/8.4/en/server-system-variables.html</t>
        </r>
      </text>
    </comment>
    <comment ref="I102" authorId="0">
      <text>
        <r>
          <rPr>
            <sz val="9"/>
            <color indexed="81"/>
            <rFont val="Meiryo UI"/>
            <family val="2"/>
          </rPr>
          <t>https://docs.aws.amazon.com/AmazonRDS/latest/AuroraUserGuide/AuroraMySQL.Reference.ParameterGroups.html
https://dev.mysql.com/doc/refman/8.4/en/server-system-variables.html</t>
        </r>
      </text>
    </comment>
    <comment ref="I103" authorId="0">
      <text>
        <r>
          <rPr>
            <sz val="9"/>
            <color indexed="81"/>
            <rFont val="Meiryo UI"/>
            <family val="2"/>
          </rPr>
          <t>https://docs.aws.amazon.com/AmazonRDS/latest/AuroraUserGuide/AuroraMySQL.Reference.ParameterGroups.html</t>
        </r>
      </text>
    </comment>
    <comment ref="I104" authorId="0">
      <text>
        <r>
          <rPr>
            <sz val="9"/>
            <color indexed="81"/>
            <rFont val="Meiryo UI"/>
            <family val="2"/>
          </rPr>
          <t>https://docs.aws.amazon.com/AmazonRDS/latest/AuroraUserGuide/AuroraMySQL.Reference.ParameterGroups.html</t>
        </r>
      </text>
    </comment>
    <comment ref="I105" authorId="0">
      <text>
        <r>
          <rPr>
            <sz val="9"/>
            <color indexed="81"/>
            <rFont val="Meiryo UI"/>
            <family val="2"/>
          </rPr>
          <t>https://docs.aws.amazon.com/AmazonRDS/latest/AuroraUserGuide/AuroraMySQL.Compare-v84-community.html</t>
        </r>
      </text>
    </comment>
    <comment ref="I106" authorId="0">
      <text>
        <r>
          <rPr>
            <sz val="9"/>
            <color indexed="81"/>
            <rFont val="Meiryo UI"/>
            <family val="2"/>
          </rPr>
          <t>https://docs.aws.amazon.com/AmazonRDS/latest/AuroraUserGuide/AuroraMySQL.Reference.ParameterGroups.html
https://dev.mysql.com/doc/refman/8.4/en/server-system-variables.html</t>
        </r>
      </text>
    </comment>
    <comment ref="I107" authorId="0">
      <text>
        <r>
          <rPr>
            <sz val="9"/>
            <color indexed="81"/>
            <rFont val="Meiryo UI"/>
            <family val="2"/>
          </rPr>
          <t>https://docs.aws.amazon.com/AmazonRDS/latest/AuroraUserGuide/AuroraMySQL.Reference.ParameterGroups.html
https://docs.aws.amazon.com/AmazonRDS/latest/AuroraUserGuide/aurora-global-database.html</t>
        </r>
      </text>
    </comment>
    <comment ref="I108" authorId="0">
      <text>
        <r>
          <rPr>
            <sz val="9"/>
            <color indexed="81"/>
            <rFont val="Meiryo UI"/>
            <family val="2"/>
          </rPr>
          <t>https://docs.aws.amazon.com/AmazonRDS/latest/AuroraUserGuide/AuroraMySQL.Reference.ParameterGroups.html
https://docs.aws.amazon.com/AmazonRDS/latest/AuroraUserGuide/aurora-global-database.html</t>
        </r>
      </text>
    </comment>
    <comment ref="I109" authorId="0">
      <text>
        <r>
          <rPr>
            <sz val="9"/>
            <color indexed="81"/>
            <rFont val="Meiryo UI"/>
            <family val="2"/>
          </rPr>
          <t>https://docs.aws.amazon.com/AmazonRDS/latest/AuroraUserGuide/AuroraMySQL.Reference.ParameterGroups.html
https://docs.aws.amazon.com/AmazonRDS/latest/AuroraUserGuide/aurora-global-database.html</t>
        </r>
      </text>
    </comment>
    <comment ref="I110" authorId="0">
      <text>
        <r>
          <rPr>
            <sz val="9"/>
            <color indexed="81"/>
            <rFont val="Meiryo UI"/>
            <family val="2"/>
          </rPr>
          <t>https://dev.mysql.com/doc/refman/8.4/en/server-system-variables.html</t>
        </r>
      </text>
    </comment>
    <comment ref="I111"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12" authorId="0">
      <text>
        <r>
          <rPr>
            <sz val="9"/>
            <color indexed="81"/>
            <rFont val="Meiryo UI"/>
            <family val="2"/>
          </rPr>
          <t>https://docs.aws.amazon.com/AmazonRDS/latest/AuroraUserGuide/AuroraMySQL.Reference.ParameterGroups.html
https://dev.mysql.com/doc/refman/8.4/en/server-system-variables.html</t>
        </r>
      </text>
    </comment>
    <comment ref="I113" authorId="0">
      <text>
        <r>
          <rPr>
            <sz val="9"/>
            <color indexed="81"/>
            <rFont val="Meiryo UI"/>
            <family val="2"/>
          </rPr>
          <t>https://docs.aws.amazon.com/AmazonRDS/latest/AuroraUserGuide/rds-proxy.html</t>
        </r>
      </text>
    </comment>
    <comment ref="I114" authorId="0">
      <text>
        <r>
          <rPr>
            <sz val="9"/>
            <color indexed="81"/>
            <rFont val="Meiryo UI"/>
            <family val="2"/>
          </rPr>
          <t>https://dev.mysql.com/doc/refman/8.4/en/innodb-parameters.html
https://docs.aws.amazon.com/AmazonRDS/latest/AuroraUserGuide/Aurora.Overview.StorageReliability.html</t>
        </r>
      </text>
    </comment>
    <comment ref="I115" authorId="0">
      <text>
        <r>
          <rPr>
            <sz val="9"/>
            <color indexed="81"/>
            <rFont val="Meiryo UI"/>
            <family val="2"/>
          </rPr>
          <t>https://dev.mysql.com/doc/refman/8.4/en/innodb-parameters.html
https://docs.aws.amazon.com/AmazonRDS/latest/AuroraUserGuide/Aurora.Overview.StorageReliability.html</t>
        </r>
      </text>
    </comment>
    <comment ref="I116" authorId="0">
      <text>
        <r>
          <rPr>
            <sz val="9"/>
            <color indexed="81"/>
            <rFont val="Meiryo UI"/>
            <family val="2"/>
          </rPr>
          <t>https://dev.mysql.com/doc/refman/8.4/en/innodb-parameters.html
https://docs.aws.amazon.com/AmazonRDS/latest/AuroraUserGuide/Aurora.Overview.StorageReliability.html</t>
        </r>
      </text>
    </comment>
    <comment ref="I117" authorId="0">
      <text>
        <r>
          <rPr>
            <sz val="9"/>
            <color indexed="81"/>
            <rFont val="Meiryo UI"/>
            <family val="2"/>
          </rPr>
          <t>https://dev.mysql.com/doc/refman/8.4/en/innodb-parameters.html
https://docs.aws.amazon.com/AmazonRDS/latest/AuroraUserGuide/Aurora.Overview.StorageReliability.html</t>
        </r>
      </text>
    </comment>
    <comment ref="I118" authorId="0">
      <text>
        <r>
          <rPr>
            <sz val="9"/>
            <color indexed="81"/>
            <rFont val="Meiryo UI"/>
            <family val="2"/>
          </rPr>
          <t>https://dev.mysql.com/doc/refman/8.4/en/innodb-parameters.html
https://docs.aws.amazon.com/AmazonRDS/latest/AuroraUserGuide/Aurora.Overview.StorageReliability.html</t>
        </r>
      </text>
    </comment>
    <comment ref="I119" authorId="0">
      <text>
        <r>
          <rPr>
            <sz val="9"/>
            <color indexed="81"/>
            <rFont val="Meiryo UI"/>
            <family val="2"/>
          </rPr>
          <t>https://dev.mysql.com/doc/refman/8.4/en/innodb-parameters.html
https://docs.aws.amazon.com/AmazonRDS/latest/AuroraUserGuide/Aurora.Overview.StorageReliability.html</t>
        </r>
      </text>
    </comment>
    <comment ref="I120" authorId="0">
      <text>
        <r>
          <rPr>
            <sz val="9"/>
            <color indexed="81"/>
            <rFont val="Meiryo UI"/>
            <family val="2"/>
          </rPr>
          <t>https://dev.mysql.com/doc/refman/8.4/en/innodb-parameters.html
https://docs.aws.amazon.com/AmazonRDS/latest/AuroraUserGuide/Aurora.Overview.StorageReliability.html</t>
        </r>
      </text>
    </comment>
    <comment ref="I121" authorId="0">
      <text>
        <r>
          <rPr>
            <sz val="9"/>
            <color indexed="81"/>
            <rFont val="Meiryo UI"/>
            <family val="2"/>
          </rPr>
          <t>https://dev.mysql.com/doc/refman/8.4/en/innodb-parameters.html
https://docs.aws.amazon.com/AmazonRDS/latest/AuroraUserGuide/Aurora.Overview.StorageReliability.html</t>
        </r>
      </text>
    </comment>
    <comment ref="I122"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23"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24"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25"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26"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27"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28" authorId="0">
      <text>
        <r>
          <rPr>
            <sz val="9"/>
            <color indexed="81"/>
            <rFont val="Meiryo UI"/>
            <family val="2"/>
          </rPr>
          <t>https://docs.aws.amazon.com/AmazonRDS/latest/AuroraUserGuide/aurora-serverless-v2.setting-capacity.html</t>
        </r>
      </text>
    </comment>
    <comment ref="I129"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30" authorId="0">
      <text>
        <r>
          <rPr>
            <sz val="9"/>
            <color indexed="81"/>
            <rFont val="Meiryo UI"/>
            <family val="2"/>
          </rPr>
          <t>https://dev.mysql.com/doc/refman/8.4/en/innodb-parameters.html
https://docs.aws.amazon.com/AmazonRDS/latest/AuroraUserGuide/Aurora.Overview.StorageReliability.html</t>
        </r>
      </text>
    </comment>
    <comment ref="I131" authorId="0">
      <text>
        <r>
          <rPr>
            <sz val="9"/>
            <color indexed="81"/>
            <rFont val="Meiryo UI"/>
            <family val="2"/>
          </rPr>
          <t>https://dev.mysql.com/doc/refman/8.4/en/innodb-parameters.html
https://docs.aws.amazon.com/AmazonRDS/latest/AuroraUserGuide/Aurora.Overview.StorageReliability.html</t>
        </r>
      </text>
    </comment>
    <comment ref="I132" authorId="0">
      <text>
        <r>
          <rPr>
            <sz val="9"/>
            <color indexed="81"/>
            <rFont val="Meiryo UI"/>
            <family val="2"/>
          </rPr>
          <t>https://dev.mysql.com/doc/refman/8.4/en/innodb-parameters.html
https://docs.aws.amazon.com/AmazonRDS/latest/AuroraUserGuide/Aurora.Overview.StorageReliability.html</t>
        </r>
      </text>
    </comment>
    <comment ref="I133" authorId="0">
      <text>
        <r>
          <rPr>
            <sz val="9"/>
            <color indexed="81"/>
            <rFont val="Meiryo UI"/>
            <family val="2"/>
          </rPr>
          <t>https://dev.mysql.com/doc/refman/8.4/en/innodb-parameters.html
https://docs.aws.amazon.com/AmazonRDS/latest/AuroraUserGuide/Aurora.Overview.StorageReliability.html</t>
        </r>
      </text>
    </comment>
    <comment ref="I134" authorId="0">
      <text>
        <r>
          <rPr>
            <sz val="9"/>
            <color indexed="81"/>
            <rFont val="Meiryo UI"/>
            <family val="2"/>
          </rPr>
          <t>https://dev.mysql.com/doc/refman/8.4/en/innodb-parameters.html</t>
        </r>
      </text>
    </comment>
    <comment ref="I135" authorId="0">
      <text>
        <r>
          <rPr>
            <sz val="9"/>
            <color indexed="81"/>
            <rFont val="Meiryo UI"/>
            <family val="2"/>
          </rPr>
          <t>https://dev.mysql.com/doc/refman/8.4/en/innodb-parameters.html</t>
        </r>
      </text>
    </comment>
    <comment ref="I136" authorId="0">
      <text>
        <r>
          <rPr>
            <sz val="9"/>
            <color indexed="81"/>
            <rFont val="Meiryo UI"/>
            <family val="2"/>
          </rPr>
          <t>https://dev.mysql.com/doc/refman/8.4/en/innodb-parameters.html
https://docs.aws.amazon.com/AmazonRDS/latest/AuroraUserGuide/Aurora.Overview.StorageReliability.html</t>
        </r>
      </text>
    </comment>
    <comment ref="I137" authorId="0">
      <text>
        <r>
          <rPr>
            <sz val="9"/>
            <color indexed="81"/>
            <rFont val="Meiryo UI"/>
            <family val="2"/>
          </rPr>
          <t>https://docs.aws.amazon.com/AmazonRDS/latest/AuroraUserGuide/Aurora.Managing.Performance.html</t>
        </r>
      </text>
    </comment>
    <comment ref="I138" authorId="0">
      <text>
        <r>
          <rPr>
            <sz val="9"/>
            <color indexed="81"/>
            <rFont val="Meiryo UI"/>
            <family val="2"/>
          </rPr>
          <t>https://dev.mysql.com/doc/refman/8.4/en/innodb-parameters.html
https://docs.aws.amazon.com/AmazonRDS/latest/AuroraUserGuide/Aurora.Overview.StorageReliability.html</t>
        </r>
      </text>
    </comment>
    <comment ref="I139" authorId="0">
      <text>
        <r>
          <rPr>
            <sz val="9"/>
            <color indexed="81"/>
            <rFont val="Meiryo UI"/>
            <family val="2"/>
          </rPr>
          <t>https://dev.mysql.com/doc/refman/8.4/en/innodb-parameters.html
https://docs.aws.amazon.com/AmazonRDS/latest/AuroraUserGuide/Aurora.Overview.StorageReliability.html</t>
        </r>
      </text>
    </comment>
    <comment ref="I140" authorId="0">
      <text>
        <r>
          <rPr>
            <sz val="9"/>
            <color indexed="81"/>
            <rFont val="Meiryo UI"/>
            <family val="2"/>
          </rPr>
          <t>https://dev.mysql.com/doc/refman/8.4/en/server-system-variables.html
https://dev.mysql.com/doc/refman/8.4/en/innodb-parameters.html</t>
        </r>
      </text>
    </comment>
    <comment ref="I141" authorId="0">
      <text>
        <r>
          <rPr>
            <sz val="9"/>
            <color indexed="81"/>
            <rFont val="Meiryo UI"/>
            <family val="2"/>
          </rPr>
          <t>https://docs.aws.amazon.com/AmazonRDS/latest/AuroraUserGuide/AuroraMySQL.Reference.ParameterGroups.html</t>
        </r>
      </text>
    </comment>
    <comment ref="I142" authorId="0">
      <text>
        <r>
          <rPr>
            <sz val="9"/>
            <color indexed="81"/>
            <rFont val="Meiryo UI"/>
            <family val="2"/>
          </rPr>
          <t>https://dev.mysql.com/doc/refman/8.4/en/innodb-parameters.html
https://docs.aws.amazon.com/AmazonRDS/latest/AuroraUserGuide/Aurora.Overview.StorageReliability.html</t>
        </r>
      </text>
    </comment>
    <comment ref="I143" authorId="0">
      <text>
        <r>
          <rPr>
            <sz val="9"/>
            <color indexed="81"/>
            <rFont val="Meiryo UI"/>
            <family val="2"/>
          </rPr>
          <t>https://dev.mysql.com/doc/refman/8.4/en/innodb-parameters.html
https://docs.aws.amazon.com/AmazonRDS/latest/AuroraUserGuide/Aurora.Overview.StorageReliability.html</t>
        </r>
      </text>
    </comment>
    <comment ref="I144" authorId="0">
      <text>
        <r>
          <rPr>
            <sz val="9"/>
            <color indexed="81"/>
            <rFont val="Meiryo UI"/>
            <family val="2"/>
          </rPr>
          <t>https://dev.mysql.com/doc/refman/8.4/en/innodb-parameters.html
https://docs.aws.amazon.com/AmazonRDS/latest/AuroraUserGuide/Aurora.Overview.StorageReliability.html</t>
        </r>
      </text>
    </comment>
    <comment ref="I145" authorId="0">
      <text>
        <r>
          <rPr>
            <sz val="9"/>
            <color indexed="81"/>
            <rFont val="Meiryo UI"/>
            <family val="2"/>
          </rPr>
          <t>https://dev.mysql.com/doc/refman/8.4/en/innodb-parameters.html</t>
        </r>
      </text>
    </comment>
    <comment ref="I146" authorId="0">
      <text>
        <r>
          <rPr>
            <sz val="9"/>
            <color indexed="81"/>
            <rFont val="Meiryo UI"/>
            <family val="2"/>
          </rPr>
          <t>https://dev.mysql.com/doc/refman/8.4/en/innodb-parameters.html</t>
        </r>
      </text>
    </comment>
    <comment ref="I147" authorId="0">
      <text>
        <r>
          <rPr>
            <sz val="9"/>
            <color indexed="81"/>
            <rFont val="Meiryo UI"/>
            <family val="2"/>
          </rPr>
          <t>https://dev.mysql.com/doc/refman/8.4/en/innodb-parameters.html</t>
        </r>
      </text>
    </comment>
    <comment ref="I148" authorId="0">
      <text>
        <r>
          <rPr>
            <sz val="9"/>
            <color indexed="81"/>
            <rFont val="Meiryo UI"/>
            <family val="2"/>
          </rPr>
          <t>https://dev.mysql.com/doc/refman/8.4/en/innodb-parameters.html</t>
        </r>
      </text>
    </comment>
    <comment ref="I149" authorId="0">
      <text>
        <r>
          <rPr>
            <sz val="9"/>
            <color indexed="81"/>
            <rFont val="Meiryo UI"/>
            <family val="2"/>
          </rPr>
          <t>https://dev.mysql.com/doc/refman/8.4/en/innodb-parameters.html</t>
        </r>
      </text>
    </comment>
    <comment ref="I150" authorId="0">
      <text>
        <r>
          <rPr>
            <sz val="9"/>
            <color indexed="81"/>
            <rFont val="Meiryo UI"/>
            <family val="2"/>
          </rPr>
          <t>https://dev.mysql.com/doc/refman/8.4/en/innodb-parameters.html</t>
        </r>
      </text>
    </comment>
    <comment ref="I151" authorId="0">
      <text>
        <r>
          <rPr>
            <sz val="9"/>
            <color indexed="81"/>
            <rFont val="Meiryo UI"/>
            <family val="2"/>
          </rPr>
          <t>https://dev.mysql.com/doc/refman/8.4/en/innodb-parameters.html</t>
        </r>
      </text>
    </comment>
    <comment ref="I152" authorId="0">
      <text>
        <r>
          <rPr>
            <sz val="9"/>
            <color indexed="81"/>
            <rFont val="Meiryo UI"/>
            <family val="2"/>
          </rPr>
          <t>https://dev.mysql.com/doc/refman/8.4/en/innodb-parameters.html</t>
        </r>
      </text>
    </comment>
    <comment ref="I153" authorId="0">
      <text>
        <r>
          <rPr>
            <sz val="9"/>
            <color indexed="81"/>
            <rFont val="Meiryo UI"/>
            <family val="2"/>
          </rPr>
          <t>https://dev.mysql.com/doc/refman/8.4/en/innodb-parameters.html</t>
        </r>
      </text>
    </comment>
    <comment ref="I154" authorId="0">
      <text>
        <r>
          <rPr>
            <sz val="9"/>
            <color indexed="81"/>
            <rFont val="Meiryo UI"/>
            <family val="2"/>
          </rPr>
          <t>https://dev.mysql.com/doc/refman/8.4/en/innodb-parameters.html
https://docs.aws.amazon.com/AmazonRDS/latest/AuroraUserGuide/Aurora.Overview.StorageReliability.html</t>
        </r>
      </text>
    </comment>
    <comment ref="I155" authorId="0">
      <text>
        <r>
          <rPr>
            <sz val="9"/>
            <color indexed="81"/>
            <rFont val="Meiryo UI"/>
            <family val="2"/>
          </rPr>
          <t>https://dev.mysql.com/doc/refman/8.4/en/innodb-parameters.html
https://docs.aws.amazon.com/AmazonRDS/latest/AuroraUserGuide/Aurora.Overview.StorageReliability.html</t>
        </r>
      </text>
    </comment>
    <comment ref="I156" authorId="0">
      <text>
        <r>
          <rPr>
            <sz val="9"/>
            <color indexed="81"/>
            <rFont val="Meiryo UI"/>
            <family val="2"/>
          </rPr>
          <t>https://dev.mysql.com/doc/refman/8.4/en/innodb-parameters.html</t>
        </r>
      </text>
    </comment>
    <comment ref="I157" authorId="0">
      <text>
        <r>
          <rPr>
            <sz val="9"/>
            <color indexed="81"/>
            <rFont val="Meiryo UI"/>
            <family val="2"/>
          </rPr>
          <t>https://dev.mysql.com/doc/refman/8.4/en/innodb-parameters.html
https://docs.aws.amazon.com/AmazonRDS/latest/AuroraUserGuide/Aurora.Overview.StorageReliability.html</t>
        </r>
      </text>
    </comment>
    <comment ref="I158" authorId="0">
      <text>
        <r>
          <rPr>
            <sz val="9"/>
            <color indexed="81"/>
            <rFont val="Meiryo UI"/>
            <family val="2"/>
          </rPr>
          <t>https://dev.mysql.com/doc/refman/8.4/en/innodb-parameters.html
https://docs.aws.amazon.com/AmazonRDS/latest/AuroraUserGuide/Aurora.Overview.StorageReliability.html</t>
        </r>
      </text>
    </comment>
    <comment ref="I159" authorId="0">
      <text>
        <r>
          <rPr>
            <sz val="9"/>
            <color indexed="81"/>
            <rFont val="Meiryo UI"/>
            <family val="2"/>
          </rPr>
          <t>https://dev.mysql.com/doc/refman/8.4/en/innodb-parameters.html
https://docs.aws.amazon.com/AmazonRDS/latest/AuroraUserGuide/Aurora.Overview.StorageReliability.html</t>
        </r>
      </text>
    </comment>
    <comment ref="I160" authorId="0">
      <text>
        <r>
          <rPr>
            <sz val="9"/>
            <color indexed="81"/>
            <rFont val="Meiryo UI"/>
            <family val="2"/>
          </rPr>
          <t>https://dev.mysql.com/doc/refman/8.4/en/innodb-parameters.html
https://docs.aws.amazon.com/AmazonRDS/latest/AuroraUserGuide/Aurora.Overview.StorageReliability.html</t>
        </r>
      </text>
    </comment>
    <comment ref="I161" authorId="0">
      <text>
        <r>
          <rPr>
            <sz val="9"/>
            <color indexed="81"/>
            <rFont val="Meiryo UI"/>
            <family val="2"/>
          </rPr>
          <t>https://dev.mysql.com/doc/refman/8.4/en/innodb-parameters.html
https://docs.aws.amazon.com/AmazonRDS/latest/AuroraUserGuide/Aurora.Overview.StorageReliability.html</t>
        </r>
      </text>
    </comment>
    <comment ref="I162" authorId="0">
      <text>
        <r>
          <rPr>
            <sz val="9"/>
            <color indexed="81"/>
            <rFont val="Meiryo UI"/>
            <family val="2"/>
          </rPr>
          <t>https://dev.mysql.com/doc/refman/8.4/en/innodb-parameters.html
https://docs.aws.amazon.com/AmazonRDS/latest/AuroraUserGuide/Aurora.Overview.StorageReliability.html</t>
        </r>
      </text>
    </comment>
    <comment ref="I163" authorId="0">
      <text>
        <r>
          <rPr>
            <sz val="9"/>
            <color indexed="81"/>
            <rFont val="Meiryo UI"/>
            <family val="2"/>
          </rPr>
          <t>https://dev.mysql.com/doc/refman/8.4/en/innodb-parameters.html
https://docs.aws.amazon.com/AmazonRDS/latest/AuroraUserGuide/Aurora.Overview.StorageReliability.html</t>
        </r>
      </text>
    </comment>
    <comment ref="I164" authorId="0">
      <text>
        <r>
          <rPr>
            <sz val="9"/>
            <color indexed="81"/>
            <rFont val="Meiryo UI"/>
            <family val="2"/>
          </rPr>
          <t>https://dev.mysql.com/doc/refman/8.4/en/innodb-parameters.html
https://docs.aws.amazon.com/AmazonRDS/latest/AuroraUserGuide/Aurora.Overview.StorageReliability.html</t>
        </r>
      </text>
    </comment>
    <comment ref="I165" authorId="0">
      <text>
        <r>
          <rPr>
            <sz val="9"/>
            <color indexed="81"/>
            <rFont val="Meiryo UI"/>
            <family val="2"/>
          </rPr>
          <t>https://dev.mysql.com/doc/refman/8.4/en/innodb-parameters.html
https://docs.aws.amazon.com/AmazonRDS/latest/AuroraUserGuide/Aurora.Overview.StorageReliability.html</t>
        </r>
      </text>
    </comment>
    <comment ref="I166" authorId="0">
      <text>
        <r>
          <rPr>
            <sz val="9"/>
            <color indexed="81"/>
            <rFont val="Meiryo UI"/>
            <family val="2"/>
          </rPr>
          <t>https://dev.mysql.com/doc/refman/8.4/en/innodb-parameters.html
https://docs.aws.amazon.com/AmazonRDS/latest/AuroraUserGuide/Aurora.Overview.StorageReliability.html</t>
        </r>
      </text>
    </comment>
    <comment ref="I167" authorId="0">
      <text>
        <r>
          <rPr>
            <sz val="9"/>
            <color indexed="81"/>
            <rFont val="Meiryo UI"/>
            <family val="2"/>
          </rPr>
          <t>https://dev.mysql.com/doc/refman/8.4/en/innodb-parameters.html
https://docs.aws.amazon.com/AmazonRDS/latest/AuroraUserGuide/Aurora.Overview.StorageReliability.html</t>
        </r>
      </text>
    </comment>
    <comment ref="I168" authorId="0">
      <text>
        <r>
          <rPr>
            <sz val="9"/>
            <color indexed="81"/>
            <rFont val="Meiryo UI"/>
            <family val="2"/>
          </rPr>
          <t>https://dev.mysql.com/doc/refman/8.4/en/innodb-parameters.html
https://docs.aws.amazon.com/AmazonRDS/latest/AuroraUserGuide/Aurora.Overview.StorageReliability.html</t>
        </r>
      </text>
    </comment>
    <comment ref="I169" authorId="0">
      <text>
        <r>
          <rPr>
            <sz val="9"/>
            <color indexed="81"/>
            <rFont val="Meiryo UI"/>
            <family val="2"/>
          </rPr>
          <t>https://dev.mysql.com/doc/refman/8.4/en/innodb-parameters.html
https://docs.aws.amazon.com/AmazonRDS/latest/AuroraUserGuide/Aurora.Overview.StorageReliability.html</t>
        </r>
      </text>
    </comment>
    <comment ref="I170" authorId="0">
      <text>
        <r>
          <rPr>
            <sz val="9"/>
            <color indexed="81"/>
            <rFont val="Meiryo UI"/>
            <family val="2"/>
          </rPr>
          <t>https://dev.mysql.com/doc/refman/8.4/en/innodb-parameters.html
https://docs.aws.amazon.com/AmazonRDS/latest/AuroraUserGuide/Aurora.Overview.StorageReliability.html</t>
        </r>
      </text>
    </comment>
    <comment ref="I171" authorId="0">
      <text>
        <r>
          <rPr>
            <sz val="9"/>
            <color indexed="81"/>
            <rFont val="Meiryo UI"/>
            <family val="2"/>
          </rPr>
          <t>https://dev.mysql.com/doc/refman/8.4/en/innodb-parameters.html
https://docs.aws.amazon.com/AmazonRDS/latest/AuroraUserGuide/Aurora.Overview.StorageReliability.html</t>
        </r>
      </text>
    </comment>
    <comment ref="I172" authorId="0">
      <text>
        <r>
          <rPr>
            <sz val="9"/>
            <color indexed="81"/>
            <rFont val="Meiryo UI"/>
            <family val="2"/>
          </rPr>
          <t>https://dev.mysql.com/doc/refman/8.4/en/innodb-parameters.html
https://docs.aws.amazon.com/AmazonRDS/latest/AuroraUserGuide/Aurora.Overview.StorageReliability.html</t>
        </r>
      </text>
    </comment>
    <comment ref="I173" authorId="0">
      <text>
        <r>
          <rPr>
            <sz val="9"/>
            <color indexed="81"/>
            <rFont val="Meiryo UI"/>
            <family val="2"/>
          </rPr>
          <t>https://dev.mysql.com/doc/refman/8.4/en/innodb-parameters.html
https://docs.aws.amazon.com/AmazonRDS/latest/AuroraUserGuide/Aurora.Overview.StorageReliability.html</t>
        </r>
      </text>
    </comment>
    <comment ref="I174" authorId="0">
      <text>
        <r>
          <rPr>
            <sz val="9"/>
            <color indexed="81"/>
            <rFont val="Meiryo UI"/>
            <family val="2"/>
          </rPr>
          <t>https://docs.aws.amazon.com/AmazonRDS/latest/AuroraUserGuide/AuroraMySQL.Reference.ParameterGroups.html</t>
        </r>
      </text>
    </comment>
    <comment ref="I175" authorId="0">
      <text>
        <r>
          <rPr>
            <sz val="9"/>
            <color indexed="81"/>
            <rFont val="Meiryo UI"/>
            <family val="2"/>
          </rPr>
          <t>https://dev.mysql.com/doc/refman/8.4/en/innodb-parameters.html
https://docs.aws.amazon.com/AmazonRDS/latest/AuroraUserGuide/Aurora.Overview.StorageReliability.html</t>
        </r>
      </text>
    </comment>
    <comment ref="I176" authorId="0">
      <text>
        <r>
          <rPr>
            <sz val="9"/>
            <color indexed="81"/>
            <rFont val="Meiryo UI"/>
            <family val="2"/>
          </rPr>
          <t>https://docs.aws.amazon.com/AmazonRDS/latest/AuroraUserGuide/aurora-serverless-v2.setting-capacity.html</t>
        </r>
      </text>
    </comment>
    <comment ref="I177" authorId="0">
      <text>
        <r>
          <rPr>
            <sz val="9"/>
            <color indexed="81"/>
            <rFont val="Meiryo UI"/>
            <family val="2"/>
          </rPr>
          <t>https://dev.mysql.com/doc/refman/8.4/en/innodb-parameters.html
https://docs.aws.amazon.com/AmazonRDS/latest/AuroraUserGuide/Aurora.Overview.StorageReliability.html</t>
        </r>
      </text>
    </comment>
    <comment ref="I178" authorId="0">
      <text>
        <r>
          <rPr>
            <sz val="9"/>
            <color indexed="81"/>
            <rFont val="Meiryo UI"/>
            <family val="2"/>
          </rPr>
          <t>https://dev.mysql.com/doc/refman/8.4/en/innodb-parameters.html
https://docs.aws.amazon.com/AmazonRDS/latest/AuroraUserGuide/Aurora.Overview.StorageReliability.html</t>
        </r>
      </text>
    </comment>
    <comment ref="I179" authorId="0">
      <text>
        <r>
          <rPr>
            <sz val="9"/>
            <color indexed="81"/>
            <rFont val="Meiryo UI"/>
            <family val="2"/>
          </rPr>
          <t>https://dev.mysql.com/doc/refman/8.4/en/innodb-parameters.html
https://docs.aws.amazon.com/AmazonRDS/latest/AuroraUserGuide/Aurora.Overview.StorageReliability.html</t>
        </r>
      </text>
    </comment>
    <comment ref="I180" authorId="0">
      <text>
        <r>
          <rPr>
            <sz val="9"/>
            <color indexed="81"/>
            <rFont val="Meiryo UI"/>
            <family val="2"/>
          </rPr>
          <t>https://dev.mysql.com/doc/refman/8.4/en/innodb-parameters.html</t>
        </r>
      </text>
    </comment>
    <comment ref="I181" authorId="0">
      <text>
        <r>
          <rPr>
            <sz val="9"/>
            <color indexed="81"/>
            <rFont val="Meiryo UI"/>
            <family val="2"/>
          </rPr>
          <t>https://dev.mysql.com/doc/refman/8.4/en/innodb-parameters.html
https://docs.aws.amazon.com/AmazonRDS/latest/AuroraUserGuide/Aurora.Overview.StorageReliability.html</t>
        </r>
      </text>
    </comment>
    <comment ref="I182"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83" authorId="0">
      <text>
        <r>
          <rPr>
            <sz val="9"/>
            <color indexed="81"/>
            <rFont val="Meiryo UI"/>
            <family val="2"/>
          </rPr>
          <t>https://dev.mysql.com/doc/refman/8.4/en/innodb-parameters.html
https://docs.aws.amazon.com/AmazonRDS/latest/AuroraUserGuide/Aurora.Overview.StorageReliability.html</t>
        </r>
      </text>
    </comment>
    <comment ref="I184" authorId="0">
      <text>
        <r>
          <rPr>
            <sz val="9"/>
            <color indexed="81"/>
            <rFont val="Meiryo UI"/>
            <family val="2"/>
          </rPr>
          <t>https://dev.mysql.com/doc/refman/8.4/en/innodb-parameters.html
https://docs.aws.amazon.com/AmazonRDS/latest/AuroraUserGuide/Aurora.Overview.StorageReliability.html</t>
        </r>
      </text>
    </comment>
    <comment ref="I185" authorId="0">
      <text>
        <r>
          <rPr>
            <sz val="9"/>
            <color indexed="81"/>
            <rFont val="Meiryo UI"/>
            <family val="2"/>
          </rPr>
          <t>https://docs.aws.amazon.com/AmazonRDS/latest/AuroraUserGuide/AuroraMySQL.MySQL84.html
https://dev.mysql.com/doc/refman/8.4/en/innodb-parameters.html</t>
        </r>
      </text>
    </comment>
    <comment ref="I186" authorId="0">
      <text>
        <r>
          <rPr>
            <sz val="9"/>
            <color indexed="81"/>
            <rFont val="Meiryo UI"/>
            <family val="2"/>
          </rPr>
          <t>https://dev.mysql.com/doc/refman/8.4/en/innodb-parameters.html
https://docs.aws.amazon.com/AmazonRDS/latest/AuroraUserGuide/Aurora.Overview.StorageReliability.html</t>
        </r>
      </text>
    </comment>
    <comment ref="I187" authorId="0">
      <text>
        <r>
          <rPr>
            <sz val="9"/>
            <color indexed="81"/>
            <rFont val="Meiryo UI"/>
            <family val="2"/>
          </rPr>
          <t>https://dev.mysql.com/doc/refman/8.4/en/innodb-parameters.html
https://docs.aws.amazon.com/AmazonRDS/latest/AuroraUserGuide/Aurora.Overview.StorageReliability.html</t>
        </r>
      </text>
    </comment>
    <comment ref="I188" authorId="0">
      <text>
        <r>
          <rPr>
            <sz val="9"/>
            <color indexed="81"/>
            <rFont val="Meiryo UI"/>
            <family val="2"/>
          </rPr>
          <t>https://dev.mysql.com/doc/refman/8.4/en/innodb-parameters.html</t>
        </r>
      </text>
    </comment>
    <comment ref="I189" authorId="0">
      <text>
        <r>
          <rPr>
            <sz val="9"/>
            <color indexed="81"/>
            <rFont val="Meiryo UI"/>
            <family val="2"/>
          </rPr>
          <t>https://dev.mysql.com/doc/refman/8.4/en/innodb-parameters.html</t>
        </r>
      </text>
    </comment>
    <comment ref="I190" authorId="0">
      <text>
        <r>
          <rPr>
            <sz val="9"/>
            <color indexed="81"/>
            <rFont val="Meiryo UI"/>
            <family val="2"/>
          </rPr>
          <t>https://dev.mysql.com/doc/refman/8.4/en/innodb-parameters.html
https://docs.aws.amazon.com/AmazonRDS/latest/AuroraUserGuide/Aurora.Overview.StorageReliability.html</t>
        </r>
      </text>
    </comment>
    <comment ref="I191" authorId="0">
      <text>
        <r>
          <rPr>
            <sz val="9"/>
            <color indexed="81"/>
            <rFont val="Meiryo UI"/>
            <family val="2"/>
          </rPr>
          <t>https://dev.mysql.com/doc/refman/8.4/en/innodb-parameters.html
https://docs.aws.amazon.com/AmazonRDS/latest/AuroraUserGuide/Aurora.Overview.StorageReliability.html</t>
        </r>
      </text>
    </comment>
    <comment ref="I192" authorId="0">
      <text>
        <r>
          <rPr>
            <sz val="9"/>
            <color indexed="81"/>
            <rFont val="Meiryo UI"/>
            <family val="2"/>
          </rPr>
          <t>https://dev.mysql.com/doc/refman/8.4/en/innodb-parameters.html
https://docs.aws.amazon.com/AmazonRDS/latest/AuroraUserGuide/Aurora.Overview.StorageReliability.html</t>
        </r>
      </text>
    </comment>
    <comment ref="I193" authorId="0">
      <text>
        <r>
          <rPr>
            <sz val="9"/>
            <color indexed="81"/>
            <rFont val="Meiryo UI"/>
            <family val="2"/>
          </rPr>
          <t>https://dev.mysql.com/doc/refman/8.4/en/innodb-parameters.html
https://docs.aws.amazon.com/AmazonRDS/latest/AuroraUserGuide/Aurora.Overview.StorageReliability.html</t>
        </r>
      </text>
    </comment>
    <comment ref="I194" authorId="0">
      <text>
        <r>
          <rPr>
            <sz val="9"/>
            <color indexed="81"/>
            <rFont val="Meiryo UI"/>
            <family val="2"/>
          </rPr>
          <t>https://dev.mysql.com/doc/refman/8.4/en/innodb-parameters.html</t>
        </r>
      </text>
    </comment>
    <comment ref="I195" authorId="0">
      <text>
        <r>
          <rPr>
            <sz val="9"/>
            <color indexed="81"/>
            <rFont val="Meiryo UI"/>
            <family val="2"/>
          </rPr>
          <t>https://dev.mysql.com/doc/refman/8.4/en/innodb-parameters.html
https://docs.aws.amazon.com/AmazonRDS/latest/AuroraUserGuide/Aurora.Overview.StorageReliability.html</t>
        </r>
      </text>
    </comment>
    <comment ref="I196" authorId="0">
      <text>
        <r>
          <rPr>
            <sz val="9"/>
            <color indexed="81"/>
            <rFont val="Meiryo UI"/>
            <family val="2"/>
          </rPr>
          <t>https://dev.mysql.com/doc/refman/8.4/en/innodb-parameters.html
https://docs.aws.amazon.com/AmazonRDS/latest/AuroraUserGuide/Aurora.Overview.StorageReliability.html</t>
        </r>
      </text>
    </comment>
    <comment ref="I197" authorId="0">
      <text>
        <r>
          <rPr>
            <sz val="9"/>
            <color indexed="81"/>
            <rFont val="Meiryo UI"/>
            <family val="2"/>
          </rPr>
          <t>https://dev.mysql.com/doc/refman/8.4/en/innodb-parameters.html
https://docs.aws.amazon.com/AmazonRDS/latest/AuroraUserGuide/Aurora.Overview.StorageReliability.html</t>
        </r>
      </text>
    </comment>
    <comment ref="I198" authorId="0">
      <text>
        <r>
          <rPr>
            <sz val="9"/>
            <color indexed="81"/>
            <rFont val="Meiryo UI"/>
            <family val="2"/>
          </rPr>
          <t>https://dev.mysql.com/doc/refman/8.4/en/innodb-parameters.html
https://docs.aws.amazon.com/AmazonRDS/latest/AuroraUserGuide/Aurora.Overview.StorageReliability.html</t>
        </r>
      </text>
    </comment>
    <comment ref="I199" authorId="0">
      <text>
        <r>
          <rPr>
            <sz val="9"/>
            <color indexed="81"/>
            <rFont val="Meiryo UI"/>
            <family val="2"/>
          </rPr>
          <t>https://dev.mysql.com/doc/refman/8.4/en/innodb-parameters.html
https://docs.aws.amazon.com/AmazonRDS/latest/AuroraUserGuide/Aurora.Overview.StorageReliability.html</t>
        </r>
      </text>
    </comment>
    <comment ref="I200" authorId="0">
      <text>
        <r>
          <rPr>
            <sz val="9"/>
            <color indexed="81"/>
            <rFont val="Meiryo UI"/>
            <family val="2"/>
          </rPr>
          <t>https://docs.aws.amazon.com/AmazonRDS/latest/AuroraUserGuide/AuroraMySQL.Reference.ParameterGroups.html</t>
        </r>
      </text>
    </comment>
    <comment ref="I201" authorId="0">
      <text>
        <r>
          <rPr>
            <sz val="9"/>
            <color indexed="81"/>
            <rFont val="Meiryo UI"/>
            <family val="2"/>
          </rPr>
          <t>https://dev.mysql.com/doc/refman/8.4/en/innodb-parameters.html
https://docs.aws.amazon.com/AmazonRDS/latest/AuroraUserGuide/Aurora.Overview.StorageReliability.html</t>
        </r>
      </text>
    </comment>
    <comment ref="I202" authorId="0">
      <text>
        <r>
          <rPr>
            <sz val="9"/>
            <color indexed="81"/>
            <rFont val="Meiryo UI"/>
            <family val="2"/>
          </rPr>
          <t>https://dev.mysql.com/doc/refman/8.4/en/innodb-parameters.html
https://docs.aws.amazon.com/AmazonRDS/latest/AuroraUserGuide/Aurora.Overview.StorageReliability.html</t>
        </r>
      </text>
    </comment>
    <comment ref="I203" authorId="0">
      <text>
        <r>
          <rPr>
            <sz val="9"/>
            <color indexed="81"/>
            <rFont val="Meiryo UI"/>
            <family val="2"/>
          </rPr>
          <t>https://dev.mysql.com/doc/refman/8.4/en/innodb-parameters.html
https://docs.aws.amazon.com/AmazonRDS/latest/AuroraUserGuide/Aurora.Overview.StorageReliability.html</t>
        </r>
      </text>
    </comment>
    <comment ref="I204" authorId="0">
      <text>
        <r>
          <rPr>
            <sz val="9"/>
            <color indexed="81"/>
            <rFont val="Meiryo UI"/>
            <family val="2"/>
          </rPr>
          <t>https://dev.mysql.com/doc/connector-j/en/connector-j-reference-configuration-properties.html
https://dev.mysql.com/doc/refman/8.4/en/server-system-variables.html</t>
        </r>
      </text>
    </comment>
    <comment ref="I205" authorId="0">
      <text>
        <r>
          <rPr>
            <sz val="9"/>
            <color indexed="81"/>
            <rFont val="Meiryo UI"/>
            <family val="2"/>
          </rPr>
          <t>https://docs.aws.amazon.com/AmazonRDS/latest/AuroraUserGuide/AuroraMySQL.Reference.ParameterGroups.html
https://dev.mysql.com/doc/refman/8.4/en/server-system-variables.html</t>
        </r>
      </text>
    </comment>
    <comment ref="I206"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07" authorId="0">
      <text>
        <r>
          <rPr>
            <sz val="9"/>
            <color indexed="81"/>
            <rFont val="Meiryo UI"/>
            <family val="2"/>
          </rPr>
          <t>https://docs.aws.amazon.com/AmazonRDS/latest/AuroraUserGuide/AuroraMySQL.Reference.ParameterGroups.html
https://dev.mysql.com/doc/refman/8.4/en/server-system-variables.html</t>
        </r>
      </text>
    </comment>
    <comment ref="I208"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09" authorId="0">
      <text>
        <r>
          <rPr>
            <sz val="9"/>
            <color indexed="81"/>
            <rFont val="Meiryo UI"/>
            <family val="2"/>
          </rPr>
          <t>https://docs.aws.amazon.com/AmazonRDS/latest/AuroraUserGuide/AuroraMySQL.Reference.ParameterGroups.html
https://dev.mysql.com/doc/refman/8.4/en/server-system-variables.html</t>
        </r>
      </text>
    </comment>
    <comment ref="I210" authorId="0">
      <text>
        <r>
          <rPr>
            <sz val="9"/>
            <color indexed="81"/>
            <rFont val="Meiryo UI"/>
            <family val="2"/>
          </rPr>
          <t>https://docs.aws.amazon.com/AmazonRDS/latest/AuroraUserGuide/AuroraMySQL.Reference.ParameterGroups.html
https://dev.mysql.com/doc/refman/8.4/en/server-system-variables.html</t>
        </r>
      </text>
    </comment>
    <comment ref="I211" authorId="0">
      <text>
        <r>
          <rPr>
            <sz val="9"/>
            <color indexed="81"/>
            <rFont val="Meiryo UI"/>
            <family val="2"/>
          </rPr>
          <t>https://docs.aws.amazon.com/AmazonRDS/latest/AuroraUserGuide/AuroraMySQL.Reference.ParameterGroups.html
https://dev.mysql.com/doc/refman/8.4/en/server-system-variables.html</t>
        </r>
      </text>
    </comment>
    <comment ref="I212" authorId="0">
      <text>
        <r>
          <rPr>
            <sz val="9"/>
            <color indexed="81"/>
            <rFont val="Meiryo UI"/>
            <family val="2"/>
          </rPr>
          <t>https://docs.aws.amazon.com/AmazonRDS/latest/AuroraUserGuide/AuroraMySQL.Reference.ParameterGroups.html
https://dev.mysql.com/doc/refman/8.4/en/server-system-variables.html</t>
        </r>
      </text>
    </comment>
    <comment ref="I213" authorId="0">
      <text>
        <r>
          <rPr>
            <sz val="9"/>
            <color indexed="81"/>
            <rFont val="Meiryo UI"/>
            <family val="2"/>
          </rPr>
          <t>https://dev.mysql.com/doc/refman/8.4/en/server-system-variables.html</t>
        </r>
      </text>
    </comment>
    <comment ref="I214" authorId="0">
      <text>
        <r>
          <rPr>
            <sz val="9"/>
            <color indexed="81"/>
            <rFont val="Meiryo UI"/>
            <family val="2"/>
          </rPr>
          <t>https://dev.mysql.com/doc/refman/8.4/en/server-system-variables.html</t>
        </r>
      </text>
    </comment>
    <comment ref="I215" authorId="0">
      <text>
        <r>
          <rPr>
            <sz val="9"/>
            <color indexed="81"/>
            <rFont val="Meiryo UI"/>
            <family val="2"/>
          </rPr>
          <t>https://docs.aws.amazon.com/AmazonRDS/latest/AuroraUserGuide/AuroraMySQL.Reference.ParameterGroups.html</t>
        </r>
      </text>
    </comment>
    <comment ref="I216" authorId="0">
      <text>
        <r>
          <rPr>
            <sz val="9"/>
            <color indexed="81"/>
            <rFont val="Meiryo UI"/>
            <family val="2"/>
          </rPr>
          <t>https://docs.aws.amazon.com/AmazonRDS/latest/AuroraUserGuide/AuroraMySQL.Reference.ParameterGroups.html</t>
        </r>
      </text>
    </comment>
    <comment ref="I217" authorId="0">
      <text>
        <r>
          <rPr>
            <sz val="9"/>
            <color indexed="81"/>
            <rFont val="Meiryo UI"/>
            <family val="2"/>
          </rPr>
          <t>https://docs.aws.amazon.com/AmazonRDS/latest/AuroraUserGuide/AuroraMySQL.Reference.ParameterGroups.html</t>
        </r>
      </text>
    </comment>
    <comment ref="I218" authorId="0">
      <text>
        <r>
          <rPr>
            <sz val="9"/>
            <color indexed="81"/>
            <rFont val="Meiryo UI"/>
            <family val="2"/>
          </rPr>
          <t>https://docs.aws.amazon.com/AmazonRDS/latest/AuroraUserGuide/AuroraMySQL.Reference.ParameterGroups.html</t>
        </r>
      </text>
    </comment>
    <comment ref="I219" authorId="0">
      <text>
        <r>
          <rPr>
            <sz val="9"/>
            <color indexed="81"/>
            <rFont val="Meiryo UI"/>
            <family val="2"/>
          </rPr>
          <t>https://docs.aws.amazon.com/AmazonRDS/latest/AuroraUserGuide/AuroraMySQL.Reference.ParameterGroups.html</t>
        </r>
      </text>
    </comment>
    <comment ref="I220" authorId="0">
      <text>
        <r>
          <rPr>
            <sz val="9"/>
            <color indexed="81"/>
            <rFont val="Meiryo UI"/>
            <family val="2"/>
          </rPr>
          <t>https://docs.aws.amazon.com/AmazonRDS/latest/AuroraUserGuide/AuroraMySQL.Reference.ParameterGroups.html</t>
        </r>
      </text>
    </comment>
    <comment ref="I221" authorId="0">
      <text>
        <r>
          <rPr>
            <sz val="9"/>
            <color indexed="81"/>
            <rFont val="Meiryo UI"/>
            <family val="2"/>
          </rPr>
          <t>https://dev.mysql.com/doc/refman/8.4/en/server-system-variables.html</t>
        </r>
      </text>
    </comment>
    <comment ref="I222" authorId="0">
      <text>
        <r>
          <rPr>
            <sz val="9"/>
            <color indexed="81"/>
            <rFont val="Meiryo UI"/>
            <family val="2"/>
          </rPr>
          <t>https://docs.aws.amazon.com/AmazonRDS/latest/AuroraUserGuide/AuroraMySQL.Reference.ParameterGroups.html</t>
        </r>
      </text>
    </comment>
    <comment ref="I223" authorId="0">
      <text>
        <r>
          <rPr>
            <sz val="9"/>
            <color indexed="81"/>
            <rFont val="Meiryo UI"/>
            <family val="2"/>
          </rPr>
          <t>https://dev.mysql.com/doc/refman/8.4/en/server-system-variables.html</t>
        </r>
      </text>
    </comment>
    <comment ref="I224" authorId="0">
      <text>
        <r>
          <rPr>
            <sz val="9"/>
            <color indexed="81"/>
            <rFont val="Meiryo UI"/>
            <family val="2"/>
          </rPr>
          <t>https://docs.aws.amazon.com/AmazonRDS/latest/AuroraUserGuide/AuroraMySQL.Reference.ParameterGroups.html</t>
        </r>
      </text>
    </comment>
    <comment ref="I225" authorId="0">
      <text>
        <r>
          <rPr>
            <sz val="9"/>
            <color indexed="81"/>
            <rFont val="Meiryo UI"/>
            <family val="2"/>
          </rPr>
          <t>https://docs.aws.amazon.com/AmazonRDS/latest/AuroraUserGuide/AuroraMySQL.Reference.ParameterGroups.html</t>
        </r>
      </text>
    </comment>
    <comment ref="I226" authorId="0">
      <text>
        <r>
          <rPr>
            <sz val="9"/>
            <color indexed="81"/>
            <rFont val="Meiryo UI"/>
            <family val="2"/>
          </rPr>
          <t>https://docs.aws.amazon.com/AmazonRDS/latest/AuroraUserGuide/AuroraMySQL.Reference.ParameterGroups.html</t>
        </r>
      </text>
    </comment>
    <comment ref="I227" authorId="0">
      <text>
        <r>
          <rPr>
            <sz val="9"/>
            <color indexed="81"/>
            <rFont val="Meiryo UI"/>
            <family val="2"/>
          </rPr>
          <t>https://dev.mysql.com/doc/refman/8.4/en/server-system-variables.html</t>
        </r>
      </text>
    </comment>
    <comment ref="I228" authorId="0">
      <text>
        <r>
          <rPr>
            <sz val="9"/>
            <color indexed="81"/>
            <rFont val="Meiryo UI"/>
            <family val="2"/>
          </rPr>
          <t>https://docs.aws.amazon.com/AmazonRDS/latest/AuroraUserGuide/AuroraMySQL.Reference.ParameterGroups.html</t>
        </r>
      </text>
    </comment>
    <comment ref="I229" authorId="0">
      <text>
        <r>
          <rPr>
            <sz val="9"/>
            <color indexed="81"/>
            <rFont val="Meiryo UI"/>
            <family val="2"/>
          </rPr>
          <t>https://docs.aws.amazon.com/AmazonRDS/latest/AuroraUserGuide/AuroraMySQL.Reference.ParameterGroups.html
https://dev.mysql.com/doc/refman/8.4/en/server-system-variables.html</t>
        </r>
      </text>
    </comment>
    <comment ref="I230" authorId="0">
      <text>
        <r>
          <rPr>
            <sz val="9"/>
            <color indexed="81"/>
            <rFont val="Meiryo UI"/>
            <family val="2"/>
          </rPr>
          <t>https://docs.aws.amazon.com/AmazonRDS/latest/AuroraUserGuide/AuroraMySQL.Reference.ParameterGroups.html
https://dev.mysql.com/doc/refman/8.4/en/server-system-variables.html</t>
        </r>
      </text>
    </comment>
    <comment ref="I231" authorId="0">
      <text>
        <r>
          <rPr>
            <sz val="9"/>
            <color indexed="81"/>
            <rFont val="Meiryo UI"/>
            <family val="2"/>
          </rPr>
          <t>https://docs.aws.amazon.com/AmazonRDS/latest/AuroraUserGuide/rds-proxy-pinning.html
https://dev.mysql.com/doc/refman/8.4/en/server-system-variables.html</t>
        </r>
      </text>
    </comment>
    <comment ref="I232"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33" authorId="0">
      <text>
        <r>
          <rPr>
            <sz val="9"/>
            <color indexed="81"/>
            <rFont val="Meiryo UI"/>
            <family val="2"/>
          </rPr>
          <t>https://docs.aws.amazon.com/AmazonRDS/latest/AuroraUserGuide/AuroraMySQL.Reference.ParameterGroups.html
https://dev.mysql.com/doc/refman/8.4/en/server-system-variables.html</t>
        </r>
      </text>
    </comment>
    <comment ref="I234"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35" authorId="0">
      <text>
        <r>
          <rPr>
            <sz val="9"/>
            <color indexed="81"/>
            <rFont val="Meiryo UI"/>
            <family val="2"/>
          </rPr>
          <t>https://docs.aws.amazon.com/AmazonRDS/latest/AuroraUserGuide/AuroraMySQL.Reference.ParameterGroups.html
https://dev.mysql.com/doc/refman/8.4/en/server-system-variables.html</t>
        </r>
      </text>
    </comment>
    <comment ref="I236" authorId="0">
      <text>
        <r>
          <rPr>
            <sz val="9"/>
            <color indexed="81"/>
            <rFont val="Meiryo UI"/>
            <family val="2"/>
          </rPr>
          <t>https://docs.aws.amazon.com/AmazonRDS/latest/AuroraUserGuide/aurora-serverless-v2.setting-capacity.html
https://docs.aws.amazon.com/AmazonRDS/latest/AuroraUserGuide/rds-proxy.html</t>
        </r>
      </text>
    </comment>
    <comment ref="I237" authorId="0">
      <text>
        <r>
          <rPr>
            <sz val="9"/>
            <color indexed="81"/>
            <rFont val="Meiryo UI"/>
            <family val="2"/>
          </rPr>
          <t>https://docs.aws.amazon.com/AmazonRDS/latest/AuroraUserGuide/AuroraMySQL.Reference.ParameterGroups.html
https://dev.mysql.com/doc/refman/8.4/en/server-system-variables.html</t>
        </r>
      </text>
    </comment>
    <comment ref="I238" authorId="0">
      <text>
        <r>
          <rPr>
            <sz val="9"/>
            <color indexed="81"/>
            <rFont val="Meiryo UI"/>
            <family val="2"/>
          </rPr>
          <t>https://docs.aws.amazon.com/AmazonRDS/latest/AuroraUserGuide/AuroraMySQL.Reference.ParameterGroups.html
https://dev.mysql.com/doc/refman/8.4/en/server-system-variables.html</t>
        </r>
      </text>
    </comment>
    <comment ref="I239" authorId="0">
      <text>
        <r>
          <rPr>
            <sz val="9"/>
            <color indexed="81"/>
            <rFont val="Meiryo UI"/>
            <family val="2"/>
          </rPr>
          <t>https://docs.aws.amazon.com/AmazonRDS/latest/AuroraUserGuide/AuroraMySQL.Reference.ParameterGroups.html
https://dev.mysql.com/doc/refman/8.4/en/server-system-variables.html</t>
        </r>
      </text>
    </comment>
    <comment ref="I240" authorId="0">
      <text>
        <r>
          <rPr>
            <sz val="9"/>
            <color indexed="81"/>
            <rFont val="Meiryo UI"/>
            <family val="2"/>
          </rPr>
          <t>https://dev.mysql.com/doc/refman/8.4/en/server-system-variables.html</t>
        </r>
      </text>
    </comment>
    <comment ref="I241"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42" authorId="0">
      <text>
        <r>
          <rPr>
            <sz val="9"/>
            <color indexed="81"/>
            <rFont val="Meiryo UI"/>
            <family val="2"/>
          </rPr>
          <t>https://docs.aws.amazon.com/AmazonRDS/latest/AuroraUserGuide/AuroraMySQL.Reference.ParameterGroups.html
https://dev.mysql.com/doc/refman/8.4/en/server-system-variables.html</t>
        </r>
      </text>
    </comment>
    <comment ref="I243" authorId="0">
      <text>
        <r>
          <rPr>
            <sz val="9"/>
            <color indexed="81"/>
            <rFont val="Meiryo UI"/>
            <family val="2"/>
          </rPr>
          <t>https://dev.mysql.com/doc/refman/8.4/en/server-system-variables.html</t>
        </r>
      </text>
    </comment>
    <comment ref="I244" authorId="0">
      <text>
        <r>
          <rPr>
            <sz val="9"/>
            <color indexed="81"/>
            <rFont val="Meiryo UI"/>
            <family val="2"/>
          </rPr>
          <t>https://docs.aws.amazon.com/AmazonRDS/latest/AuroraUserGuide/AuroraMySQL.Reference.ParameterGroups.html
https://dev.mysql.com/doc/refman/8.4/en/server-system-variables.html</t>
        </r>
      </text>
    </comment>
    <comment ref="I245" authorId="0">
      <text>
        <r>
          <rPr>
            <sz val="9"/>
            <color indexed="81"/>
            <rFont val="Meiryo UI"/>
            <family val="2"/>
          </rPr>
          <t>https://docs.aws.amazon.com/AmazonRDS/latest/AuroraUserGuide/AuroraMySQL.Reference.ParameterGroups.html
https://dev.mysql.com/doc/refman/8.4/en/server-system-variables.html</t>
        </r>
      </text>
    </comment>
    <comment ref="I246" authorId="0">
      <text>
        <r>
          <rPr>
            <sz val="9"/>
            <color indexed="81"/>
            <rFont val="Meiryo UI"/>
            <family val="2"/>
          </rPr>
          <t>https://docs.aws.amazon.com/AmazonRDS/latest/AuroraUserGuide/AuroraMySQL.Reference.ParameterGroups.html
https://dev.mysql.com/doc/refman/8.4/en/server-system-variables.html</t>
        </r>
      </text>
    </comment>
    <comment ref="I247" authorId="0">
      <text>
        <r>
          <rPr>
            <sz val="9"/>
            <color indexed="81"/>
            <rFont val="Meiryo UI"/>
            <family val="2"/>
          </rPr>
          <t>https://docs.aws.amazon.com/AmazonRDS/latest/AuroraUserGuide/AuroraMySQL.Reference.ParameterGroups.html
https://dev.mysql.com/doc/refman/8.4/en/server-system-variables.html</t>
        </r>
      </text>
    </comment>
    <comment ref="I248" authorId="0">
      <text>
        <r>
          <rPr>
            <sz val="9"/>
            <color indexed="81"/>
            <rFont val="Meiryo UI"/>
            <family val="2"/>
          </rPr>
          <t>https://docs.aws.amazon.com/AmazonRDS/latest/AuroraUserGuide/AuroraMySQL.Reference.ParameterGroups.html
https://dev.mysql.com/doc/refman/8.4/en/server-system-variables.html</t>
        </r>
      </text>
    </comment>
    <comment ref="I249" authorId="0">
      <text>
        <r>
          <rPr>
            <sz val="9"/>
            <color indexed="81"/>
            <rFont val="Meiryo UI"/>
            <family val="2"/>
          </rPr>
          <t>https://dev.mysql.com/doc/refman/8.4/en/server-system-variables.html
https://docs.aws.amazon.com/AmazonRDS/latest/AuroraUserGuide/rds-proxy-connections.html</t>
        </r>
      </text>
    </comment>
    <comment ref="I250" authorId="0">
      <text>
        <r>
          <rPr>
            <sz val="9"/>
            <color indexed="81"/>
            <rFont val="Meiryo UI"/>
            <family val="2"/>
          </rPr>
          <t>https://docs.aws.amazon.com/AmazonRDS/latest/AuroraUserGuide/AuroraMySQL.Reference.ParameterGroups.html
https://dev.mysql.com/doc/refman/8.4/en/server-system-variables.html</t>
        </r>
      </text>
    </comment>
    <comment ref="I251" authorId="0">
      <text>
        <r>
          <rPr>
            <sz val="9"/>
            <color indexed="81"/>
            <rFont val="Meiryo UI"/>
            <family val="2"/>
          </rPr>
          <t>https://docs.aws.amazon.com/AmazonRDS/latest/AuroraUserGuide/AuroraMySQL.Reference.ParameterGroups.html
https://dev.mysql.com/doc/refman/8.4/en/server-system-variables.html</t>
        </r>
      </text>
    </comment>
    <comment ref="I252" authorId="0">
      <text>
        <r>
          <rPr>
            <sz val="9"/>
            <color indexed="81"/>
            <rFont val="Meiryo UI"/>
            <family val="2"/>
          </rPr>
          <t>https://docs.aws.amazon.com/AmazonRDS/latest/AuroraUserGuide/AuroraMySQL.Reference.ParameterGroups.html
https://dev.mysql.com/doc/refman/8.4/en/server-system-variables.html</t>
        </r>
      </text>
    </comment>
    <comment ref="I253" authorId="0">
      <text>
        <r>
          <rPr>
            <sz val="9"/>
            <color indexed="81"/>
            <rFont val="Meiryo UI"/>
            <family val="2"/>
          </rPr>
          <t>https://docs.aws.amazon.com/AmazonRDS/latest/AuroraUserGuide/AuroraMySQL.Reference.ParameterGroups.html
https://dev.mysql.com/doc/refman/8.4/en/server-system-variables.html</t>
        </r>
      </text>
    </comment>
    <comment ref="I254" authorId="0">
      <text>
        <r>
          <rPr>
            <sz val="9"/>
            <color indexed="81"/>
            <rFont val="Meiryo UI"/>
            <family val="2"/>
          </rPr>
          <t>https://docs.aws.amazon.com/AmazonRDS/latest/AuroraUserGuide/AuroraMySQL.Reference.ParameterGroups.html
https://dev.mysql.com/doc/refman/8.4/en/server-system-variables.html</t>
        </r>
      </text>
    </comment>
    <comment ref="I255" authorId="0">
      <text>
        <r>
          <rPr>
            <sz val="9"/>
            <color indexed="81"/>
            <rFont val="Meiryo UI"/>
            <family val="2"/>
          </rPr>
          <t>https://docs.aws.amazon.com/AmazonRDS/latest/AuroraUserGuide/AuroraMySQL.Reference.ParameterGroups.html
https://dev.mysql.com/doc/refman/8.4/en/server-system-variables.html</t>
        </r>
      </text>
    </comment>
    <comment ref="I256" authorId="0">
      <text>
        <r>
          <rPr>
            <sz val="9"/>
            <color indexed="81"/>
            <rFont val="Meiryo UI"/>
            <family val="2"/>
          </rPr>
          <t>https://docs.aws.amazon.com/AmazonRDS/latest/AuroraUserGuide/AuroraMySQL.Reference.ParameterGroups.html
https://dev.mysql.com/doc/refman/8.4/en/server-system-variables.html</t>
        </r>
      </text>
    </comment>
    <comment ref="I257" authorId="0">
      <text>
        <r>
          <rPr>
            <sz val="9"/>
            <color indexed="81"/>
            <rFont val="Meiryo UI"/>
            <family val="2"/>
          </rPr>
          <t>https://docs.aws.amazon.com/AmazonRDS/latest/AuroraUserGuide/AuroraMySQL.Reference.ParameterGroups.html
https://dev.mysql.com/doc/refman/8.4/en/server-system-variables.html</t>
        </r>
      </text>
    </comment>
    <comment ref="I258"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259"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260"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61" authorId="0">
      <text>
        <r>
          <rPr>
            <sz val="9"/>
            <color indexed="81"/>
            <rFont val="Meiryo UI"/>
            <family val="2"/>
          </rPr>
          <t>https://dev.mysql.com/doc/refman/8.4/en/server-system-variables.html</t>
        </r>
      </text>
    </comment>
    <comment ref="I262" authorId="0">
      <text>
        <r>
          <rPr>
            <sz val="9"/>
            <color indexed="81"/>
            <rFont val="Meiryo UI"/>
            <family val="2"/>
          </rPr>
          <t>https://dev.mysql.com/doc/refman/8.4/en/server-system-variables.html
https://dev.mysql.com/doc/refman/8.4/en/innodb-parameters.html</t>
        </r>
      </text>
    </comment>
    <comment ref="I263" authorId="0">
      <text>
        <r>
          <rPr>
            <sz val="9"/>
            <color indexed="81"/>
            <rFont val="Meiryo UI"/>
            <family val="2"/>
          </rPr>
          <t>https://dev.mysql.com/doc/refman/8.4/en/server-system-variables.html</t>
        </r>
      </text>
    </comment>
    <comment ref="I264" authorId="0">
      <text>
        <r>
          <rPr>
            <sz val="9"/>
            <color indexed="81"/>
            <rFont val="Meiryo UI"/>
            <family val="2"/>
          </rPr>
          <t>https://dev.mysql.com/doc/refman/8.4/en/innodb-parameters.html</t>
        </r>
      </text>
    </comment>
    <comment ref="I265" authorId="0">
      <text>
        <r>
          <rPr>
            <sz val="9"/>
            <color indexed="81"/>
            <rFont val="Meiryo UI"/>
            <family val="2"/>
          </rPr>
          <t>https://dev.mysql.com/doc/refman/8.4/en/server-system-variables.html</t>
        </r>
      </text>
    </comment>
    <comment ref="I266" authorId="0">
      <text>
        <r>
          <rPr>
            <sz val="9"/>
            <color indexed="81"/>
            <rFont val="Meiryo UI"/>
            <family val="2"/>
          </rPr>
          <t>https://dev.mysql.com/doc/refman/8.4/en/server-system-variables.html</t>
        </r>
      </text>
    </comment>
    <comment ref="I267" authorId="0">
      <text>
        <r>
          <rPr>
            <sz val="9"/>
            <color indexed="81"/>
            <rFont val="Meiryo UI"/>
            <family val="2"/>
          </rPr>
          <t>https://dev.mysql.com/doc/refman/8.4/en/server-system-variables.html</t>
        </r>
      </text>
    </comment>
    <comment ref="I268" authorId="0">
      <text>
        <r>
          <rPr>
            <sz val="9"/>
            <color indexed="81"/>
            <rFont val="Meiryo UI"/>
            <family val="2"/>
          </rPr>
          <t>https://dev.mysql.com/doc/refman/8.4/en/server-system-variables.html</t>
        </r>
      </text>
    </comment>
    <comment ref="I269" authorId="0">
      <text>
        <r>
          <rPr>
            <sz val="9"/>
            <color indexed="81"/>
            <rFont val="Meiryo UI"/>
            <family val="2"/>
          </rPr>
          <t>https://dev.mysql.com/doc/refman/8.4/en/server-system-variables.html</t>
        </r>
      </text>
    </comment>
    <comment ref="I270" authorId="0">
      <text>
        <r>
          <rPr>
            <sz val="9"/>
            <color indexed="81"/>
            <rFont val="Meiryo UI"/>
            <family val="2"/>
          </rPr>
          <t>https://dev.mysql.com/doc/refman/8.4/en/server-system-variables.html</t>
        </r>
      </text>
    </comment>
    <comment ref="I271" authorId="0">
      <text>
        <r>
          <rPr>
            <sz val="9"/>
            <color indexed="81"/>
            <rFont val="Meiryo UI"/>
            <family val="2"/>
          </rPr>
          <t>https://dev.mysql.com/doc/refman/8.4/en/server-system-variables.html</t>
        </r>
      </text>
    </comment>
    <comment ref="I272" authorId="0">
      <text>
        <r>
          <rPr>
            <sz val="9"/>
            <color indexed="81"/>
            <rFont val="Meiryo UI"/>
            <family val="2"/>
          </rPr>
          <t>https://dev.mysql.com/doc/refman/8.4/en/server-system-variables.html</t>
        </r>
      </text>
    </comment>
    <comment ref="I273" authorId="0">
      <text>
        <r>
          <rPr>
            <sz val="9"/>
            <color indexed="81"/>
            <rFont val="Meiryo UI"/>
            <family val="2"/>
          </rPr>
          <t>https://docs.aws.amazon.com/AmazonRDS/latest/AuroraUserGuide/AuroraMySQL.Reference.ParameterGroups.html
https://dev.mysql.com/doc/refman/8.4/en/server-system-variables.html</t>
        </r>
      </text>
    </comment>
    <comment ref="I274"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275"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276"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277" authorId="0">
      <text>
        <r>
          <rPr>
            <sz val="9"/>
            <color indexed="81"/>
            <rFont val="Meiryo UI"/>
            <family val="2"/>
          </rPr>
          <t>https://docs.aws.amazon.com/AmazonRDS/latest/AuroraUserGuide/USER_DatabaseInsights.html
https://docs.aws.amazon.com/AmazonRDS/latest/AuroraUserGuide/USER_PerfInsights.Enabling.html</t>
        </r>
      </text>
    </comment>
    <comment ref="I278" authorId="0">
      <text>
        <r>
          <rPr>
            <sz val="9"/>
            <color indexed="81"/>
            <rFont val="Meiryo UI"/>
            <family val="2"/>
          </rPr>
          <t>https://dev.mysql.com/doc/refman/8.4/en/performance-schema-system-variables.html
https://docs.aws.amazon.com/AmazonRDS/latest/AuroraUserGuide/USER_PerfInsights.Enabling.html</t>
        </r>
      </text>
    </comment>
    <comment ref="I279" authorId="0">
      <text>
        <r>
          <rPr>
            <sz val="9"/>
            <color indexed="81"/>
            <rFont val="Meiryo UI"/>
            <family val="2"/>
          </rPr>
          <t>https://dev.mysql.com/doc/refman/8.4/en/performance-schema-system-variables.html
https://docs.aws.amazon.com/AmazonRDS/latest/AuroraUserGuide/USER_PerfInsights.Enabling.html</t>
        </r>
      </text>
    </comment>
    <comment ref="I280" authorId="0">
      <text>
        <r>
          <rPr>
            <sz val="9"/>
            <color indexed="81"/>
            <rFont val="Meiryo UI"/>
            <family val="2"/>
          </rPr>
          <t>https://dev.mysql.com/doc/refman/8.4/en/performance-schema-system-variables.html
https://docs.aws.amazon.com/AmazonRDS/latest/AuroraUserGuide/USER_PerfInsights.Enabling.html</t>
        </r>
      </text>
    </comment>
    <comment ref="I281" authorId="0">
      <text>
        <r>
          <rPr>
            <sz val="9"/>
            <color indexed="81"/>
            <rFont val="Meiryo UI"/>
            <family val="2"/>
          </rPr>
          <t>https://dev.mysql.com/doc/refman/8.4/en/performance-schema-system-variables.html
https://docs.aws.amazon.com/AmazonRDS/latest/AuroraUserGuide/USER_PerfInsights.Enabling.html</t>
        </r>
      </text>
    </comment>
    <comment ref="I282" authorId="0">
      <text>
        <r>
          <rPr>
            <sz val="9"/>
            <color indexed="81"/>
            <rFont val="Meiryo UI"/>
            <family val="2"/>
          </rPr>
          <t>https://dev.mysql.com/doc/refman/8.4/en/performance-schema-system-variables.html
https://docs.aws.amazon.com/AmazonRDS/latest/AuroraUserGuide/USER_PerfInsights.Enabling.html</t>
        </r>
      </text>
    </comment>
    <comment ref="I283" authorId="0">
      <text>
        <r>
          <rPr>
            <sz val="9"/>
            <color indexed="81"/>
            <rFont val="Meiryo UI"/>
            <family val="2"/>
          </rPr>
          <t>https://dev.mysql.com/doc/refman/8.4/en/performance-schema-system-variables.html
https://docs.aws.amazon.com/AmazonRDS/latest/AuroraUserGuide/USER_PerfInsights.Enabling.html</t>
        </r>
      </text>
    </comment>
    <comment ref="I284" authorId="0">
      <text>
        <r>
          <rPr>
            <sz val="9"/>
            <color indexed="81"/>
            <rFont val="Meiryo UI"/>
            <family val="2"/>
          </rPr>
          <t>https://dev.mysql.com/doc/refman/8.4/en/performance-schema-system-variables.html
https://docs.aws.amazon.com/AmazonRDS/latest/AuroraUserGuide/USER_PerfInsights.Enabling.html</t>
        </r>
      </text>
    </comment>
    <comment ref="I285" authorId="0">
      <text>
        <r>
          <rPr>
            <sz val="9"/>
            <color indexed="81"/>
            <rFont val="Meiryo UI"/>
            <family val="2"/>
          </rPr>
          <t>https://dev.mysql.com/doc/refman/8.4/en/performance-schema-system-variables.html
https://docs.aws.amazon.com/AmazonRDS/latest/AuroraUserGuide/USER_PerfInsights.Enabling.html</t>
        </r>
      </text>
    </comment>
    <comment ref="I286" authorId="0">
      <text>
        <r>
          <rPr>
            <sz val="9"/>
            <color indexed="81"/>
            <rFont val="Meiryo UI"/>
            <family val="2"/>
          </rPr>
          <t>https://dev.mysql.com/doc/refman/8.4/en/performance-schema-system-variables.html
https://docs.aws.amazon.com/AmazonRDS/latest/AuroraUserGuide/USER_PerfInsights.Enabling.html</t>
        </r>
      </text>
    </comment>
    <comment ref="I287" authorId="0">
      <text>
        <r>
          <rPr>
            <sz val="9"/>
            <color indexed="81"/>
            <rFont val="Meiryo UI"/>
            <family val="2"/>
          </rPr>
          <t>https://dev.mysql.com/doc/refman/8.4/en/performance-schema-system-variables.html
https://docs.aws.amazon.com/AmazonRDS/latest/AuroraUserGuide/USER_PerfInsights.Enabling.html</t>
        </r>
      </text>
    </comment>
    <comment ref="I288" authorId="0">
      <text>
        <r>
          <rPr>
            <sz val="9"/>
            <color indexed="81"/>
            <rFont val="Meiryo UI"/>
            <family val="2"/>
          </rPr>
          <t>https://dev.mysql.com/doc/refman/8.4/en/performance-schema-system-variables.html
https://docs.aws.amazon.com/AmazonRDS/latest/AuroraUserGuide/USER_PerfInsights.Enabling.html</t>
        </r>
      </text>
    </comment>
    <comment ref="I289" authorId="0">
      <text>
        <r>
          <rPr>
            <sz val="9"/>
            <color indexed="81"/>
            <rFont val="Meiryo UI"/>
            <family val="2"/>
          </rPr>
          <t>https://dev.mysql.com/doc/refman/8.4/en/performance-schema-system-variables.html
https://docs.aws.amazon.com/AmazonRDS/latest/AuroraUserGuide/USER_PerfInsights.Enabling.html</t>
        </r>
      </text>
    </comment>
    <comment ref="I290" authorId="0">
      <text>
        <r>
          <rPr>
            <sz val="9"/>
            <color indexed="81"/>
            <rFont val="Meiryo UI"/>
            <family val="2"/>
          </rPr>
          <t>https://dev.mysql.com/doc/refman/8.4/en/performance-schema-system-variables.html
https://docs.aws.amazon.com/AmazonRDS/latest/AuroraUserGuide/USER_PerfInsights.Enabling.html</t>
        </r>
      </text>
    </comment>
    <comment ref="I291" authorId="0">
      <text>
        <r>
          <rPr>
            <sz val="9"/>
            <color indexed="81"/>
            <rFont val="Meiryo UI"/>
            <family val="2"/>
          </rPr>
          <t>https://dev.mysql.com/doc/refman/8.4/en/performance-schema-system-variables.html
https://docs.aws.amazon.com/AmazonRDS/latest/AuroraUserGuide/USER_PerfInsights.Enabling.html</t>
        </r>
      </text>
    </comment>
    <comment ref="I292" authorId="0">
      <text>
        <r>
          <rPr>
            <sz val="9"/>
            <color indexed="81"/>
            <rFont val="Meiryo UI"/>
            <family val="2"/>
          </rPr>
          <t>https://dev.mysql.com/doc/refman/8.4/en/performance-schema-system-variables.html
https://docs.aws.amazon.com/AmazonRDS/latest/AuroraUserGuide/USER_PerfInsights.Enabling.html</t>
        </r>
      </text>
    </comment>
    <comment ref="I293" authorId="0">
      <text>
        <r>
          <rPr>
            <sz val="9"/>
            <color indexed="81"/>
            <rFont val="Meiryo UI"/>
            <family val="2"/>
          </rPr>
          <t>https://dev.mysql.com/doc/refman/8.4/en/performance-schema-system-variables.html
https://docs.aws.amazon.com/AmazonRDS/latest/AuroraUserGuide/USER_PerfInsights.Enabling.html</t>
        </r>
      </text>
    </comment>
    <comment ref="I294" authorId="0">
      <text>
        <r>
          <rPr>
            <sz val="9"/>
            <color indexed="81"/>
            <rFont val="Meiryo UI"/>
            <family val="2"/>
          </rPr>
          <t>https://dev.mysql.com/doc/refman/8.4/en/performance-schema-system-variables.html
https://docs.aws.amazon.com/AmazonRDS/latest/AuroraUserGuide/USER_PerfInsights.Enabling.html</t>
        </r>
      </text>
    </comment>
    <comment ref="I295" authorId="0">
      <text>
        <r>
          <rPr>
            <sz val="9"/>
            <color indexed="81"/>
            <rFont val="Meiryo UI"/>
            <family val="2"/>
          </rPr>
          <t>https://dev.mysql.com/doc/refman/8.4/en/performance-schema-system-variables.html
https://docs.aws.amazon.com/AmazonRDS/latest/AuroraUserGuide/USER_PerfInsights.Enabling.html</t>
        </r>
      </text>
    </comment>
    <comment ref="I296" authorId="0">
      <text>
        <r>
          <rPr>
            <sz val="9"/>
            <color indexed="81"/>
            <rFont val="Meiryo UI"/>
            <family val="2"/>
          </rPr>
          <t>https://dev.mysql.com/doc/refman/8.4/en/performance-schema-system-variables.html
https://docs.aws.amazon.com/AmazonRDS/latest/AuroraUserGuide/USER_PerfInsights.Enabling.html</t>
        </r>
      </text>
    </comment>
    <comment ref="I297" authorId="0">
      <text>
        <r>
          <rPr>
            <sz val="9"/>
            <color indexed="81"/>
            <rFont val="Meiryo UI"/>
            <family val="2"/>
          </rPr>
          <t>https://dev.mysql.com/doc/refman/8.4/en/performance-schema-system-variables.html
https://docs.aws.amazon.com/AmazonRDS/latest/AuroraUserGuide/USER_PerfInsights.Enabling.html</t>
        </r>
      </text>
    </comment>
    <comment ref="I298" authorId="0">
      <text>
        <r>
          <rPr>
            <sz val="9"/>
            <color indexed="81"/>
            <rFont val="Meiryo UI"/>
            <family val="2"/>
          </rPr>
          <t>https://dev.mysql.com/doc/refman/8.4/en/performance-schema-system-variables.html
https://docs.aws.amazon.com/AmazonRDS/latest/AuroraUserGuide/USER_PerfInsights.Enabling.html</t>
        </r>
      </text>
    </comment>
    <comment ref="I299" authorId="0">
      <text>
        <r>
          <rPr>
            <sz val="9"/>
            <color indexed="81"/>
            <rFont val="Meiryo UI"/>
            <family val="2"/>
          </rPr>
          <t>https://dev.mysql.com/doc/refman/8.4/en/performance-schema-system-variables.html
https://docs.aws.amazon.com/AmazonRDS/latest/AuroraUserGuide/USER_PerfInsights.Enabling.html</t>
        </r>
      </text>
    </comment>
    <comment ref="I300" authorId="0">
      <text>
        <r>
          <rPr>
            <sz val="9"/>
            <color indexed="81"/>
            <rFont val="Meiryo UI"/>
            <family val="2"/>
          </rPr>
          <t>https://dev.mysql.com/doc/refman/8.4/en/performance-schema-system-variables.html
https://docs.aws.amazon.com/AmazonRDS/latest/AuroraUserGuide/USER_PerfInsights.Enabling.html</t>
        </r>
      </text>
    </comment>
    <comment ref="I301" authorId="0">
      <text>
        <r>
          <rPr>
            <sz val="9"/>
            <color indexed="81"/>
            <rFont val="Meiryo UI"/>
            <family val="2"/>
          </rPr>
          <t>https://dev.mysql.com/doc/refman/8.4/en/performance-schema-system-variables.html
https://docs.aws.amazon.com/AmazonRDS/latest/AuroraUserGuide/USER_PerfInsights.Enabling.html</t>
        </r>
      </text>
    </comment>
    <comment ref="I302" authorId="0">
      <text>
        <r>
          <rPr>
            <sz val="9"/>
            <color indexed="81"/>
            <rFont val="Meiryo UI"/>
            <family val="2"/>
          </rPr>
          <t>https://dev.mysql.com/doc/refman/8.4/en/performance-schema-system-variables.html
https://docs.aws.amazon.com/AmazonRDS/latest/AuroraUserGuide/USER_PerfInsights.Enabling.html</t>
        </r>
      </text>
    </comment>
    <comment ref="I303" authorId="0">
      <text>
        <r>
          <rPr>
            <sz val="9"/>
            <color indexed="81"/>
            <rFont val="Meiryo UI"/>
            <family val="2"/>
          </rPr>
          <t>https://dev.mysql.com/doc/refman/8.4/en/performance-schema-system-variables.html
https://docs.aws.amazon.com/AmazonRDS/latest/AuroraUserGuide/USER_PerfInsights.Enabling.html</t>
        </r>
      </text>
    </comment>
    <comment ref="I304" authorId="0">
      <text>
        <r>
          <rPr>
            <sz val="9"/>
            <color indexed="81"/>
            <rFont val="Meiryo UI"/>
            <family val="2"/>
          </rPr>
          <t>https://dev.mysql.com/doc/refman/8.4/en/performance-schema-system-variables.html
https://docs.aws.amazon.com/AmazonRDS/latest/AuroraUserGuide/USER_PerfInsights.Enabling.html</t>
        </r>
      </text>
    </comment>
    <comment ref="I305" authorId="0">
      <text>
        <r>
          <rPr>
            <sz val="9"/>
            <color indexed="81"/>
            <rFont val="Meiryo UI"/>
            <family val="2"/>
          </rPr>
          <t>https://dev.mysql.com/doc/refman/8.4/en/performance-schema-system-variables.html
https://docs.aws.amazon.com/AmazonRDS/latest/AuroraUserGuide/USER_PerfInsights.Enabling.html</t>
        </r>
      </text>
    </comment>
    <comment ref="I306" authorId="0">
      <text>
        <r>
          <rPr>
            <sz val="9"/>
            <color indexed="81"/>
            <rFont val="Meiryo UI"/>
            <family val="2"/>
          </rPr>
          <t>https://dev.mysql.com/doc/refman/8.4/en/performance-schema-system-variables.html
https://docs.aws.amazon.com/AmazonRDS/latest/AuroraUserGuide/USER_PerfInsights.Enabling.html</t>
        </r>
      </text>
    </comment>
    <comment ref="I307" authorId="0">
      <text>
        <r>
          <rPr>
            <sz val="9"/>
            <color indexed="81"/>
            <rFont val="Meiryo UI"/>
            <family val="2"/>
          </rPr>
          <t>https://dev.mysql.com/doc/refman/8.4/en/performance-schema-system-variables.html
https://docs.aws.amazon.com/AmazonRDS/latest/AuroraUserGuide/USER_PerfInsights.Enabling.html</t>
        </r>
      </text>
    </comment>
    <comment ref="I308" authorId="0">
      <text>
        <r>
          <rPr>
            <sz val="9"/>
            <color indexed="81"/>
            <rFont val="Meiryo UI"/>
            <family val="2"/>
          </rPr>
          <t>https://dev.mysql.com/doc/refman/8.4/en/performance-schema-system-variables.html
https://docs.aws.amazon.com/AmazonRDS/latest/AuroraUserGuide/USER_PerfInsights.Enabling.html</t>
        </r>
      </text>
    </comment>
    <comment ref="I309" authorId="0">
      <text>
        <r>
          <rPr>
            <sz val="9"/>
            <color indexed="81"/>
            <rFont val="Meiryo UI"/>
            <family val="2"/>
          </rPr>
          <t>https://dev.mysql.com/doc/refman/8.4/en/performance-schema-system-variables.html
https://docs.aws.amazon.com/AmazonRDS/latest/AuroraUserGuide/USER_PerfInsights.Enabling.html</t>
        </r>
      </text>
    </comment>
    <comment ref="I310" authorId="0">
      <text>
        <r>
          <rPr>
            <sz val="9"/>
            <color indexed="81"/>
            <rFont val="Meiryo UI"/>
            <family val="2"/>
          </rPr>
          <t>https://dev.mysql.com/doc/refman/8.4/en/performance-schema-system-variables.html
https://docs.aws.amazon.com/AmazonRDS/latest/AuroraUserGuide/USER_PerfInsights.Enabling.html</t>
        </r>
      </text>
    </comment>
    <comment ref="I311" authorId="0">
      <text>
        <r>
          <rPr>
            <sz val="9"/>
            <color indexed="81"/>
            <rFont val="Meiryo UI"/>
            <family val="2"/>
          </rPr>
          <t>https://dev.mysql.com/doc/refman/8.4/en/performance-schema-system-variables.html
https://docs.aws.amazon.com/AmazonRDS/latest/AuroraUserGuide/USER_PerfInsights.Enabling.html</t>
        </r>
      </text>
    </comment>
    <comment ref="I312" authorId="0">
      <text>
        <r>
          <rPr>
            <sz val="9"/>
            <color indexed="81"/>
            <rFont val="Meiryo UI"/>
            <family val="2"/>
          </rPr>
          <t>https://dev.mysql.com/doc/refman/8.4/en/performance-schema-system-variables.html
https://docs.aws.amazon.com/AmazonRDS/latest/AuroraUserGuide/USER_PerfInsights.Enabling.html</t>
        </r>
      </text>
    </comment>
    <comment ref="I313" authorId="0">
      <text>
        <r>
          <rPr>
            <sz val="9"/>
            <color indexed="81"/>
            <rFont val="Meiryo UI"/>
            <family val="2"/>
          </rPr>
          <t>https://dev.mysql.com/doc/refman/8.4/en/performance-schema-system-variables.html
https://docs.aws.amazon.com/AmazonRDS/latest/AuroraUserGuide/USER_PerfInsights.Enabling.html</t>
        </r>
      </text>
    </comment>
    <comment ref="I314" authorId="0">
      <text>
        <r>
          <rPr>
            <sz val="9"/>
            <color indexed="81"/>
            <rFont val="Meiryo UI"/>
            <family val="2"/>
          </rPr>
          <t>https://dev.mysql.com/doc/refman/8.4/en/performance-schema-system-variables.html
https://docs.aws.amazon.com/AmazonRDS/latest/AuroraUserGuide/USER_PerfInsights.Enabling.html</t>
        </r>
      </text>
    </comment>
    <comment ref="I315" authorId="0">
      <text>
        <r>
          <rPr>
            <sz val="9"/>
            <color indexed="81"/>
            <rFont val="Meiryo UI"/>
            <family val="2"/>
          </rPr>
          <t>https://dev.mysql.com/doc/refman/8.4/en/performance-schema-system-variables.html
https://docs.aws.amazon.com/AmazonRDS/latest/AuroraUserGuide/USER_PerfInsights.Enabling.html</t>
        </r>
      </text>
    </comment>
    <comment ref="I316" authorId="0">
      <text>
        <r>
          <rPr>
            <sz val="9"/>
            <color indexed="81"/>
            <rFont val="Meiryo UI"/>
            <family val="2"/>
          </rPr>
          <t>https://dev.mysql.com/doc/refman/8.4/en/performance-schema-system-variables.html
https://docs.aws.amazon.com/AmazonRDS/latest/AuroraUserGuide/USER_PerfInsights.Enabling.html</t>
        </r>
      </text>
    </comment>
    <comment ref="I317" authorId="0">
      <text>
        <r>
          <rPr>
            <sz val="9"/>
            <color indexed="81"/>
            <rFont val="Meiryo UI"/>
            <family val="2"/>
          </rPr>
          <t>https://dev.mysql.com/doc/refman/8.4/en/performance-schema-system-variables.html
https://docs.aws.amazon.com/AmazonRDS/latest/AuroraUserGuide/USER_PerfInsights.Enabling.html</t>
        </r>
      </text>
    </comment>
    <comment ref="I318" authorId="0">
      <text>
        <r>
          <rPr>
            <sz val="9"/>
            <color indexed="81"/>
            <rFont val="Meiryo UI"/>
            <family val="2"/>
          </rPr>
          <t>https://dev.mysql.com/doc/refman/8.4/en/performance-schema-system-variables.html
https://docs.aws.amazon.com/AmazonRDS/latest/AuroraUserGuide/USER_PerfInsights.Enabling.html</t>
        </r>
      </text>
    </comment>
    <comment ref="I319" authorId="0">
      <text>
        <r>
          <rPr>
            <sz val="9"/>
            <color indexed="81"/>
            <rFont val="Meiryo UI"/>
            <family val="2"/>
          </rPr>
          <t>https://dev.mysql.com/doc/refman/8.4/en/performance-schema-system-variables.html
https://docs.aws.amazon.com/AmazonRDS/latest/AuroraUserGuide/USER_PerfInsights.Enabling.html</t>
        </r>
      </text>
    </comment>
    <comment ref="I320" authorId="0">
      <text>
        <r>
          <rPr>
            <sz val="9"/>
            <color indexed="81"/>
            <rFont val="Meiryo UI"/>
            <family val="2"/>
          </rPr>
          <t>https://dev.mysql.com/doc/refman/8.4/en/performance-schema-system-variables.html
https://docs.aws.amazon.com/AmazonRDS/latest/AuroraUserGuide/USER_PerfInsights.Enabling.html</t>
        </r>
      </text>
    </comment>
    <comment ref="I321" authorId="0">
      <text>
        <r>
          <rPr>
            <sz val="9"/>
            <color indexed="81"/>
            <rFont val="Meiryo UI"/>
            <family val="2"/>
          </rPr>
          <t>https://dev.mysql.com/doc/refman/8.4/en/performance-schema-system-variables.html
https://docs.aws.amazon.com/AmazonRDS/latest/AuroraUserGuide/USER_PerfInsights.Enabling.html</t>
        </r>
      </text>
    </comment>
    <comment ref="I322" authorId="0">
      <text>
        <r>
          <rPr>
            <sz val="9"/>
            <color indexed="81"/>
            <rFont val="Meiryo UI"/>
            <family val="2"/>
          </rPr>
          <t>https://dev.mysql.com/doc/refman/8.4/en/performance-schema-system-variables.html
https://docs.aws.amazon.com/AmazonRDS/latest/AuroraUserGuide/USER_PerfInsights.Enabling.html</t>
        </r>
      </text>
    </comment>
    <comment ref="I323" authorId="0">
      <text>
        <r>
          <rPr>
            <sz val="9"/>
            <color indexed="81"/>
            <rFont val="Meiryo UI"/>
            <family val="2"/>
          </rPr>
          <t>https://dev.mysql.com/doc/refman/8.4/en/performance-schema-system-variables.html
https://docs.aws.amazon.com/AmazonRDS/latest/AuroraUserGuide/USER_PerfInsights.Enabling.html</t>
        </r>
      </text>
    </comment>
    <comment ref="I324" authorId="0">
      <text>
        <r>
          <rPr>
            <sz val="9"/>
            <color indexed="81"/>
            <rFont val="Meiryo UI"/>
            <family val="2"/>
          </rPr>
          <t>https://dev.mysql.com/doc/refman/8.4/en/performance-schema-system-variables.html
https://docs.aws.amazon.com/AmazonRDS/latest/AuroraUserGuide/USER_PerfInsights.Enabling.html</t>
        </r>
      </text>
    </comment>
    <comment ref="I325" authorId="0">
      <text>
        <r>
          <rPr>
            <sz val="9"/>
            <color indexed="81"/>
            <rFont val="Meiryo UI"/>
            <family val="2"/>
          </rPr>
          <t>https://dev.mysql.com/doc/refman/8.4/en/performance-schema-system-variables.html
https://docs.aws.amazon.com/AmazonRDS/latest/AuroraUserGuide/USER_PerfInsights.Enabling.html</t>
        </r>
      </text>
    </comment>
    <comment ref="I326" authorId="0">
      <text>
        <r>
          <rPr>
            <sz val="9"/>
            <color indexed="81"/>
            <rFont val="Meiryo UI"/>
            <family val="2"/>
          </rPr>
          <t>https://dev.mysql.com/doc/refman/8.4/en/performance-schema-system-variables.html
https://docs.aws.amazon.com/AmazonRDS/latest/AuroraUserGuide/USER_PerfInsights.Enabling.html</t>
        </r>
      </text>
    </comment>
    <comment ref="I327" authorId="0">
      <text>
        <r>
          <rPr>
            <sz val="9"/>
            <color indexed="81"/>
            <rFont val="Meiryo UI"/>
            <family val="2"/>
          </rPr>
          <t>https://dev.mysql.com/doc/refman/8.4/en/performance-schema-system-variables.html
https://docs.aws.amazon.com/AmazonRDS/latest/AuroraUserGuide/USER_PerfInsights.Enabling.html</t>
        </r>
      </text>
    </comment>
    <comment ref="I328" authorId="0">
      <text>
        <r>
          <rPr>
            <sz val="9"/>
            <color indexed="81"/>
            <rFont val="Meiryo UI"/>
            <family val="2"/>
          </rPr>
          <t>https://dev.mysql.com/doc/refman/8.4/en/performance-schema-system-variables.html
https://docs.aws.amazon.com/AmazonRDS/latest/AuroraUserGuide/USER_PerfInsights.Enabling.html</t>
        </r>
      </text>
    </comment>
    <comment ref="I329" authorId="0">
      <text>
        <r>
          <rPr>
            <sz val="9"/>
            <color indexed="81"/>
            <rFont val="Meiryo UI"/>
            <family val="2"/>
          </rPr>
          <t>https://dev.mysql.com/doc/refman/8.4/en/performance-schema-system-variables.html
https://docs.aws.amazon.com/AmazonRDS/latest/AuroraUserGuide/USER_PerfInsights.Enabling.html</t>
        </r>
      </text>
    </comment>
    <comment ref="I330" authorId="0">
      <text>
        <r>
          <rPr>
            <sz val="9"/>
            <color indexed="81"/>
            <rFont val="Meiryo UI"/>
            <family val="2"/>
          </rPr>
          <t>https://dev.mysql.com/doc/refman/8.4/en/performance-schema-system-variables.html
https://docs.aws.amazon.com/AmazonRDS/latest/AuroraUserGuide/USER_PerfInsights.Enabling.html</t>
        </r>
      </text>
    </comment>
    <comment ref="I331" authorId="0">
      <text>
        <r>
          <rPr>
            <sz val="9"/>
            <color indexed="81"/>
            <rFont val="Meiryo UI"/>
            <family val="2"/>
          </rPr>
          <t>https://dev.mysql.com/doc/refman/8.4/en/performance-schema-system-variables.html
https://docs.aws.amazon.com/AmazonRDS/latest/AuroraUserGuide/USER_PerfInsights.Enabling.html</t>
        </r>
      </text>
    </comment>
    <comment ref="I332" authorId="0">
      <text>
        <r>
          <rPr>
            <sz val="9"/>
            <color indexed="81"/>
            <rFont val="Meiryo UI"/>
            <family val="2"/>
          </rPr>
          <t>https://dev.mysql.com/doc/refman/8.4/en/performance-schema-system-variables.html
https://docs.aws.amazon.com/AmazonRDS/latest/AuroraUserGuide/USER_PerfInsights.Enabling.html</t>
        </r>
      </text>
    </comment>
    <comment ref="I333" authorId="0">
      <text>
        <r>
          <rPr>
            <sz val="9"/>
            <color indexed="81"/>
            <rFont val="Meiryo UI"/>
            <family val="2"/>
          </rPr>
          <t>https://dev.mysql.com/doc/refman/8.4/en/performance-schema-system-variables.html
https://docs.aws.amazon.com/AmazonRDS/latest/AuroraUserGuide/USER_PerfInsights.Enabling.html</t>
        </r>
      </text>
    </comment>
    <comment ref="I334" authorId="0">
      <text>
        <r>
          <rPr>
            <sz val="9"/>
            <color indexed="81"/>
            <rFont val="Meiryo UI"/>
            <family val="2"/>
          </rPr>
          <t>https://docs.aws.amazon.com/AmazonRDS/latest/AuroraUserGuide/AuroraMySQL.Reference.ParameterGroups.html
https://dev.mysql.com/doc/refman/8.4/en/server-system-variables.html</t>
        </r>
      </text>
    </comment>
    <comment ref="I335" authorId="0">
      <text>
        <r>
          <rPr>
            <sz val="9"/>
            <color indexed="81"/>
            <rFont val="Meiryo UI"/>
            <family val="2"/>
          </rPr>
          <t>https://docs.aws.amazon.com/AmazonRDS/latest/AuroraUserGuide/AuroraMySQL.Reference.ParameterGroups.html
https://dev.mysql.com/doc/refman/8.4/en/server-system-variables.html</t>
        </r>
      </text>
    </comment>
    <comment ref="I336" authorId="0">
      <text>
        <r>
          <rPr>
            <sz val="9"/>
            <color indexed="81"/>
            <rFont val="Meiryo UI"/>
            <family val="2"/>
          </rPr>
          <t>https://docs.aws.amazon.com/AmazonRDS/latest/AuroraUserGuide/AuroraMySQL.Reference.ParameterGroups.html
https://dev.mysql.com/doc/refman/8.4/en/server-system-variables.html</t>
        </r>
      </text>
    </comment>
    <comment ref="I337"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338" authorId="0">
      <text>
        <r>
          <rPr>
            <sz val="9"/>
            <color indexed="81"/>
            <rFont val="Meiryo UI"/>
            <family val="2"/>
          </rPr>
          <t>https://docs.aws.amazon.com/AmazonRDS/latest/AuroraUserGuide/AuroraMySQL.Reference.ParameterGroups.html
https://dev.mysql.com/doc/refman/8.4/en/server-system-variables.html</t>
        </r>
      </text>
    </comment>
    <comment ref="I339" authorId="0">
      <text>
        <r>
          <rPr>
            <sz val="9"/>
            <color indexed="81"/>
            <rFont val="Meiryo UI"/>
            <family val="2"/>
          </rPr>
          <t>https://docs.aws.amazon.com/AmazonRDS/latest/AuroraUserGuide/AuroraMySQL.Reference.ParameterGroups.html
https://dev.mysql.com/doc/refman/8.4/en/server-system-variables.html</t>
        </r>
      </text>
    </comment>
    <comment ref="I340" authorId="0">
      <text>
        <r>
          <rPr>
            <sz val="9"/>
            <color indexed="81"/>
            <rFont val="Meiryo UI"/>
            <family val="2"/>
          </rPr>
          <t>https://docs.aws.amazon.com/AmazonRDS/latest/AuroraUserGuide/AuroraMySQL.Reference.ParameterGroups.html
https://dev.mysql.com/doc/refman/8.4/en/server-system-variables.html</t>
        </r>
      </text>
    </comment>
    <comment ref="I341" authorId="0">
      <text>
        <r>
          <rPr>
            <sz val="9"/>
            <color indexed="81"/>
            <rFont val="Meiryo UI"/>
            <family val="2"/>
          </rPr>
          <t>https://dev.mysql.com/doc/refman/8.4/en/server-system-variables.html</t>
        </r>
      </text>
    </comment>
    <comment ref="I342" authorId="0">
      <text>
        <r>
          <rPr>
            <sz val="9"/>
            <color indexed="81"/>
            <rFont val="Meiryo UI"/>
            <family val="2"/>
          </rPr>
          <t>https://dev.mysql.com/doc/refman/8.4/en/server-system-variables.html</t>
        </r>
      </text>
    </comment>
    <comment ref="I343"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344" authorId="0">
      <text>
        <r>
          <rPr>
            <sz val="9"/>
            <color indexed="81"/>
            <rFont val="Meiryo UI"/>
            <family val="2"/>
          </rPr>
          <t>https://docs.aws.amazon.com/AmazonRDS/latest/AuroraUserGuide/rds-proxy-gdb.html
https://docs.aws.amazon.com/AmazonRDS/latest/AuroraUserGuide/AuroraMySQL.Reference.ParameterGroups.html</t>
        </r>
      </text>
    </comment>
    <comment ref="I345"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346" authorId="0">
      <text>
        <r>
          <rPr>
            <sz val="9"/>
            <color indexed="81"/>
            <rFont val="Meiryo UI"/>
            <family val="2"/>
          </rPr>
          <t>https://dev.mysql.com/doc/refman/8.4/en/server-system-variables.html</t>
        </r>
      </text>
    </comment>
    <comment ref="I347" authorId="0">
      <text>
        <r>
          <rPr>
            <sz val="9"/>
            <color indexed="81"/>
            <rFont val="Meiryo UI"/>
            <family val="2"/>
          </rPr>
          <t>https://dev.mysql.com/doc/refman/8.4/en/server-system-variables.html</t>
        </r>
      </text>
    </comment>
    <comment ref="I348" authorId="0">
      <text>
        <r>
          <rPr>
            <sz val="9"/>
            <color indexed="81"/>
            <rFont val="Meiryo UI"/>
            <family val="2"/>
          </rPr>
          <t>https://docs.aws.amazon.com/AmazonRDS/latest/AuroraUserGuide/AuroraMySQL.Reference.ParameterGroups.html
https://docs.aws.amazon.com/AmazonRDS/latest/AuroraUserGuide/aurora-global-database.html</t>
        </r>
      </text>
    </comment>
    <comment ref="I349" authorId="0">
      <text>
        <r>
          <rPr>
            <sz val="9"/>
            <color indexed="81"/>
            <rFont val="Meiryo UI"/>
            <family val="2"/>
          </rPr>
          <t>https://docs.aws.amazon.com/AmazonRDS/latest/AuroraUserGuide/AuroraMySQL.Reference.ParameterGroups.html
https://docs.aws.amazon.com/AmazonRDS/latest/AuroraUserGuide/aurora-global-database.html</t>
        </r>
      </text>
    </comment>
    <comment ref="I350" authorId="0">
      <text>
        <r>
          <rPr>
            <sz val="9"/>
            <color indexed="81"/>
            <rFont val="Meiryo UI"/>
            <family val="2"/>
          </rPr>
          <t>https://docs.aws.amazon.com/AmazonRDS/latest/AuroraUserGuide/AuroraMySQL.Reference.ParameterGroups.html
https://docs.aws.amazon.com/AmazonRDS/latest/AuroraUserGuide/aurora-global-database.html</t>
        </r>
      </text>
    </comment>
    <comment ref="I351" authorId="0">
      <text>
        <r>
          <rPr>
            <sz val="9"/>
            <color indexed="81"/>
            <rFont val="Meiryo UI"/>
            <family val="2"/>
          </rPr>
          <t>https://docs.aws.amazon.com/AmazonRDS/latest/AuroraUserGuide/AuroraMySQL.Reference.ParameterGroups.html
https://docs.aws.amazon.com/AmazonRDS/latest/AuroraUserGuide/aurora-global-database.html</t>
        </r>
      </text>
    </comment>
    <comment ref="I352" authorId="0">
      <text>
        <r>
          <rPr>
            <sz val="9"/>
            <color indexed="81"/>
            <rFont val="Meiryo UI"/>
            <family val="2"/>
          </rPr>
          <t>https://docs.aws.amazon.com/AmazonRDS/latest/AuroraUserGuide/AuroraMySQL.Reference.ParameterGroups.html
https://docs.aws.amazon.com/AmazonRDS/latest/AuroraUserGuide/aurora-global-database.html</t>
        </r>
      </text>
    </comment>
    <comment ref="I353" authorId="0">
      <text>
        <r>
          <rPr>
            <sz val="9"/>
            <color indexed="81"/>
            <rFont val="Meiryo UI"/>
            <family val="2"/>
          </rPr>
          <t>https://docs.aws.amazon.com/AmazonRDS/latest/AuroraUserGuide/AuroraMySQL.Reference.ParameterGroups.html
https://docs.aws.amazon.com/AmazonRDS/latest/AuroraUserGuide/aurora-global-database.html</t>
        </r>
      </text>
    </comment>
    <comment ref="I354" authorId="0">
      <text>
        <r>
          <rPr>
            <sz val="9"/>
            <color indexed="81"/>
            <rFont val="Meiryo UI"/>
            <family val="2"/>
          </rPr>
          <t>https://docs.aws.amazon.com/AmazonRDS/latest/AuroraUserGuide/AuroraMySQL.Reference.ParameterGroups.html
https://docs.aws.amazon.com/AmazonRDS/latest/AuroraUserGuide/aurora-global-database.html</t>
        </r>
      </text>
    </comment>
    <comment ref="I355" authorId="0">
      <text>
        <r>
          <rPr>
            <sz val="9"/>
            <color indexed="81"/>
            <rFont val="Meiryo UI"/>
            <family val="2"/>
          </rPr>
          <t>https://docs.aws.amazon.com/AmazonRDS/latest/AuroraUserGuide/AuroraMySQL.Reference.ParameterGroups.html
https://docs.aws.amazon.com/AmazonRDS/latest/AuroraUserGuide/aurora-global-database.html</t>
        </r>
      </text>
    </comment>
    <comment ref="I356" authorId="0">
      <text>
        <r>
          <rPr>
            <sz val="9"/>
            <color indexed="81"/>
            <rFont val="Meiryo UI"/>
            <family val="2"/>
          </rPr>
          <t>https://docs.aws.amazon.com/AmazonRDS/latest/AuroraUserGuide/AuroraMySQL.Reference.ParameterGroups.html
https://docs.aws.amazon.com/AmazonRDS/latest/AuroraUserGuide/aurora-global-database.html</t>
        </r>
      </text>
    </comment>
    <comment ref="I357" authorId="0">
      <text>
        <r>
          <rPr>
            <sz val="9"/>
            <color indexed="81"/>
            <rFont val="Meiryo UI"/>
            <family val="2"/>
          </rPr>
          <t>https://docs.aws.amazon.com/AmazonRDS/latest/AuroraUserGuide/AuroraMySQL.Reference.ParameterGroups.html
https://docs.aws.amazon.com/AmazonRDS/latest/AuroraUserGuide/aurora-global-database.html</t>
        </r>
      </text>
    </comment>
    <comment ref="I358" authorId="0">
      <text>
        <r>
          <rPr>
            <sz val="9"/>
            <color indexed="81"/>
            <rFont val="Meiryo UI"/>
            <family val="2"/>
          </rPr>
          <t>https://docs.aws.amazon.com/AmazonRDS/latest/AuroraUserGuide/AuroraMySQL.Reference.ParameterGroups.html
https://docs.aws.amazon.com/AmazonRDS/latest/AuroraUserGuide/aurora-global-database.html</t>
        </r>
      </text>
    </comment>
    <comment ref="I359" authorId="0">
      <text>
        <r>
          <rPr>
            <sz val="9"/>
            <color indexed="81"/>
            <rFont val="Meiryo UI"/>
            <family val="2"/>
          </rPr>
          <t>https://docs.aws.amazon.com/AmazonRDS/latest/AuroraUserGuide/AuroraMySQL.Reference.ParameterGroups.html
https://docs.aws.amazon.com/AmazonRDS/latest/AuroraUserGuide/aurora-global-database.html</t>
        </r>
      </text>
    </comment>
    <comment ref="I360" authorId="0">
      <text>
        <r>
          <rPr>
            <sz val="9"/>
            <color indexed="81"/>
            <rFont val="Meiryo UI"/>
            <family val="2"/>
          </rPr>
          <t>https://docs.aws.amazon.com/AmazonRDS/latest/AuroraUserGuide/AuroraMySQL.Reference.ParameterGroups.html
https://docs.aws.amazon.com/AmazonRDS/latest/AuroraUserGuide/aurora-global-database.html</t>
        </r>
      </text>
    </comment>
    <comment ref="I361" authorId="0">
      <text>
        <r>
          <rPr>
            <sz val="9"/>
            <color indexed="81"/>
            <rFont val="Meiryo UI"/>
            <family val="2"/>
          </rPr>
          <t>https://docs.aws.amazon.com/AmazonRDS/latest/AuroraUserGuide/AuroraMySQL.Reference.ParameterGroups.html
https://docs.aws.amazon.com/AmazonRDS/latest/AuroraUserGuide/aurora-global-database.html</t>
        </r>
      </text>
    </comment>
    <comment ref="I362" authorId="0">
      <text>
        <r>
          <rPr>
            <sz val="9"/>
            <color indexed="81"/>
            <rFont val="Meiryo UI"/>
            <family val="2"/>
          </rPr>
          <t>https://docs.aws.amazon.com/AmazonRDS/latest/AuroraUserGuide/AuroraMySQL.Reference.ParameterGroups.html
https://docs.aws.amazon.com/AmazonRDS/latest/AuroraUserGuide/aurora-global-database.html</t>
        </r>
      </text>
    </comment>
    <comment ref="I363" authorId="0">
      <text>
        <r>
          <rPr>
            <sz val="9"/>
            <color indexed="81"/>
            <rFont val="Meiryo UI"/>
            <family val="2"/>
          </rPr>
          <t>https://docs.aws.amazon.com/AmazonRDS/latest/AuroraUserGuide/AuroraMySQL.Reference.ParameterGroups.html
https://docs.aws.amazon.com/AmazonRDS/latest/AuroraUserGuide/aurora-global-database.html</t>
        </r>
      </text>
    </comment>
    <comment ref="I364" authorId="0">
      <text>
        <r>
          <rPr>
            <sz val="9"/>
            <color indexed="81"/>
            <rFont val="Meiryo UI"/>
            <family val="2"/>
          </rPr>
          <t>https://docs.aws.amazon.com/AmazonRDS/latest/AuroraUserGuide/AuroraMySQL.Reference.ParameterGroups.html
https://docs.aws.amazon.com/AmazonRDS/latest/AuroraUserGuide/aurora-global-database.html</t>
        </r>
      </text>
    </comment>
    <comment ref="I365" authorId="0">
      <text>
        <r>
          <rPr>
            <sz val="9"/>
            <color indexed="81"/>
            <rFont val="Meiryo UI"/>
            <family val="2"/>
          </rPr>
          <t>https://docs.aws.amazon.com/AmazonRDS/latest/AuroraUserGuide/AuroraMySQL.Reference.ParameterGroups.html
https://docs.aws.amazon.com/AmazonRDS/latest/AuroraUserGuide/aurora-global-database.html</t>
        </r>
      </text>
    </comment>
    <comment ref="I366" authorId="0">
      <text>
        <r>
          <rPr>
            <sz val="9"/>
            <color indexed="81"/>
            <rFont val="Meiryo UI"/>
            <family val="2"/>
          </rPr>
          <t>https://docs.aws.amazon.com/AmazonRDS/latest/AuroraUserGuide/AuroraMySQL.Reference.ParameterGroups.html
https://docs.aws.amazon.com/AmazonRDS/latest/AuroraUserGuide/aurora-global-database.html</t>
        </r>
      </text>
    </comment>
    <comment ref="I367" authorId="0">
      <text>
        <r>
          <rPr>
            <sz val="9"/>
            <color indexed="81"/>
            <rFont val="Meiryo UI"/>
            <family val="2"/>
          </rPr>
          <t>https://docs.aws.amazon.com/AmazonRDS/latest/AuroraUserGuide/AuroraMySQL.Upgrade-v3-v84-security.html
https://dev.mysql.com/doc/connector-j/en/connector-j-reference-using-ssl.html</t>
        </r>
      </text>
    </comment>
    <comment ref="I368" authorId="0">
      <text>
        <r>
          <rPr>
            <sz val="9"/>
            <color indexed="81"/>
            <rFont val="Meiryo UI"/>
            <family val="2"/>
          </rPr>
          <t>https://docs.aws.amazon.com/AmazonRDS/latest/AuroraUserGuide/AuroraMySQL.MySQL84.html</t>
        </r>
      </text>
    </comment>
    <comment ref="I369" authorId="0">
      <text>
        <r>
          <rPr>
            <sz val="9"/>
            <color indexed="81"/>
            <rFont val="Meiryo UI"/>
            <family val="2"/>
          </rPr>
          <t>https://docs.aws.amazon.com/AmazonRDS/latest/AuroraUserGuide/AuroraMySQL.Reference.ParameterGroups.html
https://dev.mysql.com/doc/refman/8.4/en/server-system-variables.html</t>
        </r>
      </text>
    </comment>
    <comment ref="I370" authorId="0">
      <text>
        <r>
          <rPr>
            <sz val="9"/>
            <color indexed="81"/>
            <rFont val="Meiryo UI"/>
            <family val="2"/>
          </rPr>
          <t>https://docs.aws.amazon.com/AmazonRDS/latest/AuroraUserGuide/AuroraMySQL.Reference.ParameterGroups.html
https://dev.mysql.com/doc/refman/8.4/en/server-system-variables.html</t>
        </r>
      </text>
    </comment>
    <comment ref="I371"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372" authorId="0">
      <text>
        <r>
          <rPr>
            <sz val="9"/>
            <color indexed="81"/>
            <rFont val="Meiryo UI"/>
            <family val="2"/>
          </rPr>
          <t>https://docs.aws.amazon.com/AmazonRDS/latest/AuroraUserGuide/AuroraMySQL.Reference.ParameterGroups.html
https://dev.mysql.com/doc/refman/8.4/en/server-system-variables.html</t>
        </r>
      </text>
    </comment>
    <comment ref="I373" authorId="0">
      <text>
        <r>
          <rPr>
            <sz val="9"/>
            <color indexed="81"/>
            <rFont val="Meiryo UI"/>
            <family val="2"/>
          </rPr>
          <t>https://docs.aws.amazon.com/AmazonRDS/latest/AuroraUserGuide/AuroraMySQL.Reference.ParameterGroups.html</t>
        </r>
      </text>
    </comment>
    <comment ref="I374" authorId="0">
      <text>
        <r>
          <rPr>
            <sz val="9"/>
            <color indexed="81"/>
            <rFont val="Meiryo UI"/>
            <family val="2"/>
          </rPr>
          <t>https://docs.aws.amazon.com/AmazonRDS/latest/AuroraUserGuide/AuroraMySQL.Reference.ParameterGroups.html</t>
        </r>
      </text>
    </comment>
    <comment ref="I375" authorId="0">
      <text>
        <r>
          <rPr>
            <sz val="9"/>
            <color indexed="81"/>
            <rFont val="Meiryo UI"/>
            <family val="2"/>
          </rPr>
          <t>https://docs.aws.amazon.com/AmazonRDS/latest/AuroraUserGuide/AuroraMySQL.Reference.ParameterGroups.html</t>
        </r>
      </text>
    </comment>
    <comment ref="I376" authorId="0">
      <text>
        <r>
          <rPr>
            <sz val="9"/>
            <color indexed="81"/>
            <rFont val="Meiryo UI"/>
            <family val="2"/>
          </rPr>
          <t>https://docs.aws.amazon.com/AmazonRDS/latest/AuroraUserGuide/AuroraMySQL.Reference.ParameterGroups.html</t>
        </r>
      </text>
    </comment>
    <comment ref="I377" authorId="0">
      <text>
        <r>
          <rPr>
            <sz val="9"/>
            <color indexed="81"/>
            <rFont val="Meiryo UI"/>
            <family val="2"/>
          </rPr>
          <t>https://docs.aws.amazon.com/AmazonRDS/latest/AuroraUserGuide/AuroraMySQL.Reference.ParameterGroups.html</t>
        </r>
      </text>
    </comment>
    <comment ref="I378" authorId="0">
      <text>
        <r>
          <rPr>
            <sz val="9"/>
            <color indexed="81"/>
            <rFont val="Meiryo UI"/>
            <family val="2"/>
          </rPr>
          <t>https://docs.aws.amazon.com/AmazonRDS/latest/AuroraUserGuide/AuroraMySQL.Reference.ParameterGroups.html</t>
        </r>
      </text>
    </comment>
    <comment ref="I379" authorId="0">
      <text>
        <r>
          <rPr>
            <sz val="9"/>
            <color indexed="81"/>
            <rFont val="Meiryo UI"/>
            <family val="2"/>
          </rPr>
          <t>https://docs.aws.amazon.com/AmazonRDS/latest/AuroraUserGuide/AuroraMySQL.Reference.ParameterGroups.html
https://dev.mysql.com/doc/refman/8.4/en/server-system-variables.html</t>
        </r>
      </text>
    </comment>
    <comment ref="I380" authorId="0">
      <text>
        <r>
          <rPr>
            <sz val="9"/>
            <color indexed="81"/>
            <rFont val="Meiryo UI"/>
            <family val="2"/>
          </rPr>
          <t>https://docs.aws.amazon.com/AmazonRDS/latest/AuroraUserGuide/AuroraMySQL.Reference.ParameterGroups.html
https://dev.mysql.com/doc/refman/8.4/en/server-system-variables.html</t>
        </r>
      </text>
    </comment>
    <comment ref="I381" authorId="0">
      <text>
        <r>
          <rPr>
            <sz val="9"/>
            <color indexed="81"/>
            <rFont val="Meiryo UI"/>
            <family val="2"/>
          </rPr>
          <t>https://docs.aws.amazon.com/AmazonRDS/latest/AuroraUserGuide/AuroraMySQL.Reference.ParameterGroups.html
https://dev.mysql.com/doc/refman/8.4/en/server-system-variables.html</t>
        </r>
      </text>
    </comment>
    <comment ref="I382" authorId="0">
      <text>
        <r>
          <rPr>
            <sz val="9"/>
            <color indexed="81"/>
            <rFont val="Meiryo UI"/>
            <family val="2"/>
          </rPr>
          <t>https://docs.aws.amazon.com/AmazonRDS/latest/AuroraUserGuide/AuroraMySQL.Reference.ParameterGroups.html
https://dev.mysql.com/doc/refman/8.4/en/server-system-variables.html</t>
        </r>
      </text>
    </comment>
    <comment ref="I383" authorId="0">
      <text>
        <r>
          <rPr>
            <sz val="9"/>
            <color indexed="81"/>
            <rFont val="Meiryo UI"/>
            <family val="2"/>
          </rPr>
          <t>https://docs.aws.amazon.com/AmazonRDS/latest/AuroraUserGuide/AuroraMySQL.Reference.ParameterGroups.html
https://dev.mysql.com/doc/refman/8.4/en/server-system-variables.html</t>
        </r>
      </text>
    </comment>
    <comment ref="I384" authorId="0">
      <text>
        <r>
          <rPr>
            <sz val="9"/>
            <color indexed="81"/>
            <rFont val="Meiryo UI"/>
            <family val="2"/>
          </rPr>
          <t>https://docs.aws.amazon.com/AmazonRDS/latest/AuroraUserGuide/AuroraMySQL.Reference.ParameterGroups.html
https://dev.mysql.com/doc/refman/8.4/en/server-system-variables.html</t>
        </r>
      </text>
    </comment>
    <comment ref="I385" authorId="0">
      <text>
        <r>
          <rPr>
            <sz val="9"/>
            <color indexed="81"/>
            <rFont val="Meiryo UI"/>
            <family val="2"/>
          </rPr>
          <t>https://docs.aws.amazon.com/AmazonRDS/latest/AuroraUserGuide/AuroraMySQL.Reference.ParameterGroups.html
https://dev.mysql.com/doc/refman/8.4/en/server-system-variables.html</t>
        </r>
      </text>
    </comment>
    <comment ref="I386" authorId="0">
      <text>
        <r>
          <rPr>
            <sz val="9"/>
            <color indexed="81"/>
            <rFont val="Meiryo UI"/>
            <family val="2"/>
          </rPr>
          <t>https://docs.aws.amazon.com/AmazonRDS/latest/AuroraUserGuide/AuroraMySQL.Reference.ParameterGroups.html</t>
        </r>
      </text>
    </comment>
    <comment ref="I387" authorId="0">
      <text>
        <r>
          <rPr>
            <sz val="9"/>
            <color indexed="81"/>
            <rFont val="Meiryo UI"/>
            <family val="2"/>
          </rPr>
          <t>https://docs.aws.amazon.com/AmazonRDS/latest/AuroraUserGuide/AuroraMySQL.Reference.ParameterGroups.html</t>
        </r>
      </text>
    </comment>
    <comment ref="I388" authorId="0">
      <text>
        <r>
          <rPr>
            <sz val="9"/>
            <color indexed="81"/>
            <rFont val="Meiryo UI"/>
            <family val="2"/>
          </rPr>
          <t>https://docs.aws.amazon.com/AmazonRDS/latest/AuroraUserGuide/AuroraMySQL.Reference.ParameterGroups.html</t>
        </r>
      </text>
    </comment>
    <comment ref="I389" authorId="0">
      <text>
        <r>
          <rPr>
            <sz val="9"/>
            <color indexed="81"/>
            <rFont val="Meiryo UI"/>
            <family val="2"/>
          </rPr>
          <t>https://docs.aws.amazon.com/AmazonRDS/latest/AuroraUserGuide/AuroraMySQL.Reference.ParameterGroups.html
https://dev.mysql.com/doc/refman/8.4/en/server-system-variables.html</t>
        </r>
      </text>
    </comment>
    <comment ref="I390"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391" authorId="0">
      <text>
        <r>
          <rPr>
            <sz val="9"/>
            <color indexed="81"/>
            <rFont val="Meiryo UI"/>
            <family val="2"/>
          </rPr>
          <t>https://docs.aws.amazon.com/AmazonRDS/latest/AuroraUserGuide/AuroraMySQL.Reference.ParameterGroups.html
https://dev.mysql.com/doc/refman/8.4/en/server-system-variables.html</t>
        </r>
      </text>
    </comment>
    <comment ref="I392" authorId="0">
      <text>
        <r>
          <rPr>
            <sz val="9"/>
            <color indexed="81"/>
            <rFont val="Meiryo UI"/>
            <family val="2"/>
          </rPr>
          <t>https://dev.mysql.com/doc/refman/8.4/en/server-system-variables.html</t>
        </r>
      </text>
    </comment>
    <comment ref="I393" authorId="0">
      <text>
        <r>
          <rPr>
            <sz val="9"/>
            <color indexed="81"/>
            <rFont val="Meiryo UI"/>
            <family val="2"/>
          </rPr>
          <t>https://dev.mysql.com/doc/refman/8.4/en/server-system-variables.html</t>
        </r>
      </text>
    </comment>
    <comment ref="I394" authorId="0">
      <text>
        <r>
          <rPr>
            <sz val="9"/>
            <color indexed="81"/>
            <rFont val="Meiryo UI"/>
            <family val="2"/>
          </rPr>
          <t>https://dev.mysql.com/doc/refman/8.4/en/server-system-variables.html</t>
        </r>
      </text>
    </comment>
    <comment ref="I395"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396"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397"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398"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399"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00" authorId="0">
      <text>
        <r>
          <rPr>
            <sz val="9"/>
            <color indexed="81"/>
            <rFont val="Meiryo UI"/>
            <family val="2"/>
          </rPr>
          <t>https://docs.aws.amazon.com/AmazonRDS/latest/AuroraUserGuide/AuroraMySQL.Reference.ParameterGroups.html
https://dev.mysql.com/doc/refman/8.4/en/server-system-variables.html</t>
        </r>
      </text>
    </comment>
    <comment ref="I401" authorId="0">
      <text>
        <r>
          <rPr>
            <sz val="9"/>
            <color indexed="81"/>
            <rFont val="Meiryo UI"/>
            <family val="2"/>
          </rPr>
          <t>https://docs.aws.amazon.com/AmazonRDS/latest/AuroraUserGuide/AuroraMySQL.Reference.ParameterGroups.html
https://docs.aws.amazon.com/AmazonRDS/latest/AuroraUserGuide/aurora-global-database.html</t>
        </r>
      </text>
    </comment>
    <comment ref="I402" authorId="0">
      <text>
        <r>
          <rPr>
            <sz val="9"/>
            <color indexed="81"/>
            <rFont val="Meiryo UI"/>
            <family val="2"/>
          </rPr>
          <t>https://docs.aws.amazon.com/AmazonRDS/latest/AuroraUserGuide/AuroraMySQL.Reference.ParameterGroups.html
https://docs.aws.amazon.com/AmazonRDS/latest/AuroraUserGuide/aurora-global-database.html</t>
        </r>
      </text>
    </comment>
    <comment ref="I403" authorId="0">
      <text>
        <r>
          <rPr>
            <sz val="9"/>
            <color indexed="81"/>
            <rFont val="Meiryo UI"/>
            <family val="2"/>
          </rPr>
          <t>https://docs.aws.amazon.com/AmazonRDS/latest/AuroraUserGuide/AuroraMySQL.Reference.ParameterGroups.html
https://dev.mysql.com/doc/refman/8.4/en/server-system-variables.html</t>
        </r>
      </text>
    </comment>
    <comment ref="I404"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05" authorId="0">
      <text>
        <r>
          <rPr>
            <sz val="9"/>
            <color indexed="81"/>
            <rFont val="Meiryo UI"/>
            <family val="2"/>
          </rPr>
          <t>https://docs.aws.amazon.com/AmazonRDS/latest/AuroraUserGuide/aurora-serverless-v2.setting-capacity.html</t>
        </r>
      </text>
    </comment>
    <comment ref="I406" authorId="0">
      <text>
        <r>
          <rPr>
            <sz val="9"/>
            <color indexed="81"/>
            <rFont val="Meiryo UI"/>
            <family val="2"/>
          </rPr>
          <t>https://docs.aws.amazon.com/AmazonRDS/latest/AuroraUserGuide/aurora-serverless-v2.setting-capacity.html</t>
        </r>
      </text>
    </comment>
    <comment ref="I407"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08"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09"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10"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11"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12"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13" authorId="0">
      <text>
        <r>
          <rPr>
            <sz val="9"/>
            <color indexed="81"/>
            <rFont val="Meiryo UI"/>
            <family val="2"/>
          </rPr>
          <t>https://docs.aws.amazon.com/AmazonRDS/latest/AuroraUserGuide/AuroraMySQL.Reference.ParameterGroups.html
https://dev.mysql.com/doc/refman/8.4/en/server-system-variables.html</t>
        </r>
      </text>
    </comment>
    <comment ref="I414" authorId="0">
      <text>
        <r>
          <rPr>
            <sz val="9"/>
            <color indexed="81"/>
            <rFont val="Meiryo UI"/>
            <family val="2"/>
          </rPr>
          <t>https://docs.aws.amazon.com/AmazonRDS/latest/AuroraUserGuide/AuroraMySQL.Reference.ParameterGroups.html
https://dev.mysql.com/doc/refman/8.4/en/server-system-variables.html</t>
        </r>
      </text>
    </comment>
    <comment ref="I415" authorId="0">
      <text>
        <r>
          <rPr>
            <sz val="9"/>
            <color indexed="81"/>
            <rFont val="Meiryo UI"/>
            <family val="2"/>
          </rPr>
          <t>https://dev.mysql.com/doc/refman/8.4/en/server-system-variables.html</t>
        </r>
      </text>
    </comment>
    <comment ref="I416"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417" authorId="0">
      <text>
        <r>
          <rPr>
            <sz val="9"/>
            <color indexed="81"/>
            <rFont val="Meiryo UI"/>
            <family val="2"/>
          </rPr>
          <t>https://docs.aws.amazon.com/AmazonRDS/latest/AuroraUserGuide/AuroraMySQL.Upgrade-v3-v84-security.html
https://dev.mysql.com/doc/connector-j/en/connector-j-reference-using-ssl.html</t>
        </r>
      </text>
    </comment>
    <comment ref="I418" authorId="0">
      <text>
        <r>
          <rPr>
            <sz val="9"/>
            <color indexed="81"/>
            <rFont val="Meiryo UI"/>
            <family val="2"/>
          </rPr>
          <t>https://docs.aws.amazon.com/AmazonRDS/latest/AuroraUserGuide/AuroraMySQL.Reference.ParameterGroups.html
https://dev.mysql.com/doc/refman/8.4/en/server-system-variables.html</t>
        </r>
      </text>
    </comment>
    <comment ref="I419"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420" authorId="0">
      <text>
        <r>
          <rPr>
            <sz val="9"/>
            <color indexed="81"/>
            <rFont val="Meiryo UI"/>
            <family val="2"/>
          </rPr>
          <t>https://docs.aws.amazon.com/AmazonRDS/latest/AuroraUserGuide/AuroraMySQL.Reference.ParameterGroups.html
https://dev.mysql.com/doc/refman/8.4/en/server-system-variables.html</t>
        </r>
      </text>
    </comment>
    <comment ref="I421" authorId="0">
      <text>
        <r>
          <rPr>
            <sz val="9"/>
            <color indexed="81"/>
            <rFont val="Meiryo UI"/>
            <family val="2"/>
          </rPr>
          <t>https://dev.mysql.com/doc/refman/8.4/en/server-system-variables.html</t>
        </r>
      </text>
    </comment>
    <comment ref="I422" authorId="0">
      <text>
        <r>
          <rPr>
            <sz val="9"/>
            <color indexed="81"/>
            <rFont val="Meiryo UI"/>
            <family val="2"/>
          </rPr>
          <t>https://docs.aws.amazon.com/AmazonRDS/latest/AuroraUserGuide/AuroraMySQL.Reference.ParameterGroups.html
https://dev.mysql.com/doc/refman/8.4/en/server-system-variables.html</t>
        </r>
      </text>
    </comment>
    <comment ref="I423" authorId="0">
      <text>
        <r>
          <rPr>
            <sz val="9"/>
            <color indexed="81"/>
            <rFont val="Meiryo UI"/>
            <family val="2"/>
          </rPr>
          <t>https://docs.aws.amazon.com/AmazonRDS/latest/AuroraUserGuide/AuroraMySQL.Reference.ParameterGroups.html
https://dev.mysql.com/doc/refman/8.4/en/server-system-variables.html</t>
        </r>
      </text>
    </comment>
    <comment ref="I424"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425"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426" authorId="0">
      <text>
        <r>
          <rPr>
            <sz val="9"/>
            <color indexed="81"/>
            <rFont val="Meiryo UI"/>
            <family val="2"/>
          </rPr>
          <t>https://docs.aws.amazon.com/AmazonRDS/latest/AuroraUserGuide/AuroraMySQL.Compare-v84-community.html</t>
        </r>
      </text>
    </comment>
    <comment ref="I427"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428" authorId="0">
      <text>
        <r>
          <rPr>
            <sz val="9"/>
            <color indexed="81"/>
            <rFont val="Meiryo UI"/>
            <family val="2"/>
          </rPr>
          <t>https://docs.aws.amazon.com/AmazonRDS/latest/AuroraUserGuide/AuroraMySQL.Compare-v84-community.html</t>
        </r>
      </text>
    </comment>
    <comment ref="I429"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430"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431" authorId="0">
      <text>
        <r>
          <rPr>
            <sz val="9"/>
            <color indexed="81"/>
            <rFont val="Meiryo UI"/>
            <family val="2"/>
          </rPr>
          <t>https://docs.aws.amazon.com/AmazonRDS/latest/AuroraUserGuide/AuroraMySQL.Compare-v84-community.html</t>
        </r>
      </text>
    </comment>
    <comment ref="I432"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433" authorId="0">
      <text>
        <r>
          <rPr>
            <sz val="9"/>
            <color indexed="81"/>
            <rFont val="Meiryo UI"/>
            <family val="2"/>
          </rPr>
          <t>https://docs.aws.amazon.com/AmazonRDS/latest/AuroraUserGuide/rds-proxy-connections.html
https://dev.mysql.com/doc/refman/8.4/en/server-system-variables.html</t>
        </r>
      </text>
    </comment>
    <comment ref="I434" authorId="0">
      <text>
        <r>
          <rPr>
            <sz val="9"/>
            <color indexed="81"/>
            <rFont val="Meiryo UI"/>
            <family val="2"/>
          </rPr>
          <t>https://docs.aws.amazon.com/AmazonRDS/latest/AuroraUserGuide/AuroraMySQL.Reference.ParameterGroups.html
https://dev.mysql.com/doc/refman/8.4/en/server-system-variables.html</t>
        </r>
      </text>
    </comment>
    <comment ref="I435" authorId="0">
      <text>
        <r>
          <rPr>
            <sz val="9"/>
            <color indexed="81"/>
            <rFont val="Meiryo UI"/>
            <family val="2"/>
          </rPr>
          <t>https://docs.aws.amazon.com/AmazonRDS/latest/AuroraUserGuide/AuroraMySQL.Reference.ParameterGroups.html
https://dev.mysql.com/doc/refman/8.4/en/server-system-variables.html</t>
        </r>
      </text>
    </comment>
  </commentList>
</comments>
</file>

<file path=xl/comments17.xml><?xml version="1.0" encoding="utf-8"?>
<comments xmlns="http://schemas.openxmlformats.org/spreadsheetml/2006/main">
  <authors>
    <author/>
  </authors>
  <commentList>
    <comment ref="B6" authorId="0">
      <text>
        <r>
          <rPr>
            <sz val="9"/>
            <color indexed="81"/>
            <rFont val="Meiryo UI"/>
            <family val="2"/>
          </rPr>
          <t>APIメタデータ: {"ParameterName": "activate_all_roles_on_login", "ParameterValue": "0", "Description": "Automatically set all granted roles as active after the user has authenticated successfully.", "Source": "engine-default", "ApplyType": "dynamic", "DataType": "boolean", "AllowedValues": "0,1", "IsModifiable": true, "ApplyMethod": "pending-reboot"}</t>
        </r>
      </text>
    </comment>
    <comment ref="E6" authorId="0">
      <text>
        <r>
          <rPr>
            <sz val="9"/>
            <color indexed="81"/>
            <rFont val="Meiryo UI"/>
            <family val="2"/>
          </rPr>
          <t>https://dev.mysql.com/doc/refman/8.4/en/server-system-variables.html#sysvar_activate_all_roles_on_login
Community参考値でありAurora実効値ではありません。</t>
        </r>
      </text>
    </comment>
    <comment ref="M6"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7" authorId="0">
      <text>
        <r>
          <rPr>
            <sz val="9"/>
            <color indexed="81"/>
            <rFont val="Meiryo UI"/>
            <family val="2"/>
          </rPr>
          <t>APIメタデータ: {"ParameterName": "allow-suspicious-udfs", "Description": "Controls whether user-defined functions that have only an xxx symbol for the main function can be loaded", "Source": "engine-default", "ApplyType": "static", "DataType": "boolean", "AllowedValues": "0,1", "IsModifiable": false, "ApplyMethod": "pending-reboot"}</t>
        </r>
      </text>
    </comment>
    <comment ref="M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8" authorId="0">
      <text>
        <r>
          <rPr>
            <sz val="9"/>
            <color indexed="81"/>
            <rFont val="Meiryo UI"/>
            <family val="2"/>
          </rPr>
          <t>APIメタデータ: {"ParameterName": "aurora_binlog_replication_sec_index_parallel_workers", "Description": "Sets the number of background threads used to apply DML changes to secondary indexes. This optimization can be used on binlog replicas to improve binary log replication performance for tables that contain a large number of secondary indexes. Setting this variable to 0 (the default) disables this feature.", "Source": "engine-default", "ApplyType": "dynamic", "DataType": "integer", "AllowedValues": "0-1024", "IsModifiable": true, "ApplyMethod": "pending-reboot"}</t>
        </r>
      </text>
    </comment>
    <comment ref="M8"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9" authorId="0">
      <text>
        <r>
          <rPr>
            <sz val="9"/>
            <color indexed="81"/>
            <rFont val="Meiryo UI"/>
            <family val="2"/>
          </rPr>
          <t>APIメタデータ: {"ParameterName": "aurora_enable_memory_management", "Description": "Enable Aurora automatic memory management. When enabled, Aurora automatically manages memory to maximize availability by monitoring pressure and executing recovery actions as needed. When disabled, recovery actions are configured by aurora_oom_response.", "Source": "engine-default", "ApplyType": "dynamic", "DataType": "boolean", "AllowedValues": "0,1", "IsModifiable": true, "ApplyMethod": "pending-reboot"}</t>
        </r>
      </text>
    </comment>
    <comment ref="M9" authorId="0">
      <text>
        <r>
          <rPr>
            <sz val="9"/>
            <color indexed="81"/>
            <rFont val="Meiryo UI"/>
            <family val="2"/>
          </rPr>
          <t>https://docs.aws.amazon.com/AmazonRDS/latest/APIReference/API_DescribeDBParameters.html
https://docs.aws.amazon.com/AmazonRDS/latest/AuroraUserGuide/AuroraMySQL.Reference.ParameterGroups.html</t>
        </r>
      </text>
    </comment>
    <comment ref="B10" authorId="0">
      <text>
        <r>
          <rPr>
            <sz val="9"/>
            <color indexed="81"/>
            <rFont val="Meiryo UI"/>
            <family val="2"/>
          </rPr>
          <t>APIメタデータ: {"ParameterName": "aurora_in_memory_relaylog", "ParameterValue": "OFF", "Description": "Sets the Non-persistent Relay log mode. You can use this feature on binlog replicas to improve binary log replication performance. To turn this feature off, set the parameter to OFF. To turn this feature on, set the parameter to ON.", "Source": "engine-default", "ApplyType": "dynamic", "DataType": "string", "AllowedValues": "OFF,ON", "IsModifiable": true, "ApplyMethod": "pending-reboot"}</t>
        </r>
      </text>
    </comment>
    <comment ref="M1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1" authorId="0">
      <text>
        <r>
          <rPr>
            <sz val="9"/>
            <color indexed="81"/>
            <rFont val="Meiryo UI"/>
            <family val="2"/>
          </rPr>
          <t>APIメタデータ: {"ParameterName": "aurora_jemalloc_background_thread", "Description": "By default, the memory purging is performed by the thread that is performing a memory operation. Using background threads can reduce tail latencies as cleanup is asynchronous", "Source": "engine-default", "ApplyType": "dynamic", "DataType": "boolean", "AllowedValues": "0,1", "IsModifiable": true, "ApplyMethod": "pending-reboot"}</t>
        </r>
      </text>
    </comment>
    <comment ref="M1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2" authorId="0">
      <text>
        <r>
          <rPr>
            <sz val="9"/>
            <color indexed="81"/>
            <rFont val="Meiryo UI"/>
            <family val="2"/>
          </rPr>
          <t>APIメタデータ: {"ParameterName": "aurora_jemalloc_dirty_decay_ms", "Description": "Duration within which the memory allocator purges dirst pages back to the operating system", "Source": "engine-default", "ApplyType": "dynamic", "DataType": "integer", "AllowedValues": "0-18446744073709551615", "IsModifiable": true, "ApplyMethod": "pending-reboot"}</t>
        </r>
      </text>
    </comment>
    <comment ref="M12"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3" authorId="0">
      <text>
        <r>
          <rPr>
            <sz val="9"/>
            <color indexed="81"/>
            <rFont val="Meiryo UI"/>
            <family val="2"/>
          </rPr>
          <t>APIメタデータ: {"ParameterName": "aurora_jemalloc_tcache_enabled", "Description": "By default, memory allocator uses thread caches to avoid locking. However, if explicitly disabled, it will send all allocations to the global memory arenas", "Source": "engine-default", "ApplyType": "dynamic", "DataType": "boolean", "AllowedValues": "0,1", "IsModifiable": true, "ApplyMethod": "pending-reboot"}</t>
        </r>
      </text>
    </comment>
    <comment ref="M13"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14" authorId="0">
      <text>
        <r>
          <rPr>
            <sz val="9"/>
            <color indexed="81"/>
            <rFont val="Meiryo UI"/>
            <family val="2"/>
          </rPr>
          <t>APIメタデータ: {"ParameterName": "aurora_oom_response", "Description": "Once the available memory on the instance is low, the list of actions separated by commas, taken by engine as a best-effort measure to avoid OOM. Valid actions include print, tune, decline, kill_query or any combination of these.", "Source": "engine-default", "ApplyType": "dynamic", "DataType": "string", "IsModifiable": true, "ApplyMethod": "pending-reboot"}</t>
        </r>
      </text>
    </comment>
    <comment ref="M14" authorId="0">
      <text>
        <r>
          <rPr>
            <sz val="9"/>
            <color indexed="81"/>
            <rFont val="Meiryo UI"/>
            <family val="2"/>
          </rPr>
          <t>https://docs.aws.amazon.com/AmazonRDS/latest/APIReference/API_DescribeDBParameters.html
https://docs.aws.amazon.com/AmazonRDS/latest/AuroraUserGuide/AuroraMySQL.Reference.ParameterGroups.html</t>
        </r>
      </text>
    </comment>
    <comment ref="B15" authorId="0">
      <text>
        <r>
          <rPr>
            <sz val="9"/>
            <color indexed="81"/>
            <rFont val="Meiryo UI"/>
            <family val="2"/>
          </rPr>
          <t>APIメタデータ: {"ParameterName": "aurora_parallel_query", "Description": "This parameter can be used to enable and disable Aurora Parallel Query.", "Source": "engine-default", "ApplyType": "dynamic", "DataType": "boolean", "AllowedValues": "0,1", "IsModifiable": true, "ApplyMethod": "pending-reboot"}</t>
        </r>
      </text>
    </comment>
    <comment ref="M15" authorId="0">
      <text>
        <r>
          <rPr>
            <sz val="9"/>
            <color indexed="81"/>
            <rFont val="Meiryo UI"/>
            <family val="2"/>
          </rPr>
          <t>https://docs.aws.amazon.com/AmazonRDS/latest/APIReference/API_DescribeDBParameters.html
https://docs.aws.amazon.com/rds/latest/auroraextendedcontent/aurora-faq-performance.html</t>
        </r>
      </text>
    </comment>
    <comment ref="B16" authorId="0">
      <text>
        <r>
          <rPr>
            <sz val="9"/>
            <color indexed="81"/>
            <rFont val="Meiryo UI"/>
            <family val="2"/>
          </rPr>
          <t>APIメタデータ: {"ParameterName": "aurora_replica_read_consistency", "Description": "Control the degree of read consistency on a forwarding reader instance when using global write forwarding or in-Region write forwarding. Set aurora_replica_read_consistency to one of the allowed values to use write forwarding. For the definition of each allowed value, see the documentation on using write forwarding in an Amazon Aurora MySQL DB cluster.", "Source": "engine-default", "ApplyType": "dynamic", "DataType": "string", "AllowedValues": "GLOBAL,SESSION,EVENTUAL", "IsModifiable": true, "ApplyMethod": "pending-reboot"}</t>
        </r>
      </text>
    </comment>
    <comment ref="M16" authorId="0">
      <text>
        <r>
          <rPr>
            <sz val="9"/>
            <color indexed="81"/>
            <rFont val="Meiryo UI"/>
            <family val="2"/>
          </rPr>
          <t>https://docs.aws.amazon.com/AmazonRDS/latest/APIReference/API_DescribeDBParameters.html
https://docs.aws.amazon.com/AmazonRDS/latest/AuroraUserGuide/rds-proxy-gdb.html</t>
        </r>
      </text>
    </comment>
    <comment ref="B17" authorId="0">
      <text>
        <r>
          <rPr>
            <sz val="9"/>
            <color indexed="81"/>
            <rFont val="Meiryo UI"/>
            <family val="2"/>
          </rPr>
          <t>APIメタデータ: {"ParameterName": "aurora_tmptable_enable_per_table_limit", "Description": "When this variable is enabled, tmp_table_size defines the maximum size of individual in-memory internal temporary table created by the TempTable storage engine. The parameter applies to Aurora release 3.04 and later.", "Source": "engine-default", "ApplyType": "dynamic", "DataType": "boolean", "AllowedValues": "0,1", "IsModifiable": true, "ApplyMethod": "pending-reboot"}</t>
        </r>
      </text>
    </comment>
    <comment ref="M1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8" authorId="0">
      <text>
        <r>
          <rPr>
            <sz val="9"/>
            <color indexed="81"/>
            <rFont val="Meiryo UI"/>
            <family val="2"/>
          </rPr>
          <t>APIメタデータ: {"ParameterName": "aurora_transaction_timeout", "Description": "The timeout in seconds after which the system will rollback an active transaction, or terminate connection for an idle transaction.", "Source": "engine-default", "ApplyType": "dynamic", "DataType": "integer", "AllowedValues": "0-604800", "IsModifiable": true, "MinimumEngineVersion": "8.4.mysql_aurora.8.4.8", "ApplyMethod": "pending-reboot"}</t>
        </r>
      </text>
    </comment>
    <comment ref="M18" authorId="0">
      <text>
        <r>
          <rPr>
            <sz val="9"/>
            <color indexed="81"/>
            <rFont val="Meiryo UI"/>
            <family val="2"/>
          </rPr>
          <t>https://docs.aws.amazon.com/AmazonRDS/latest/APIReference/API_DescribeDBParameters.html
https://docs.aws.amazon.com/AmazonRDS/latest/APIReference/API_DescribeDBClusterParameters.html
https://docs.aws.amazon.com/AmazonRDS/latest/APIReference/API_DescribeDBParameters.html</t>
        </r>
      </text>
    </comment>
    <comment ref="B19" authorId="0">
      <text>
        <r>
          <rPr>
            <sz val="9"/>
            <color indexed="81"/>
            <rFont val="Meiryo UI"/>
            <family val="2"/>
          </rPr>
          <t>APIメタデータ: {"ParameterName": "aurora_use_vector_instructions", "Description": "Enabling this value optimizes some internal operations with hardware vector instructions", "Source": "engine-default", "ApplyType": "dynamic", "DataType": "boolean", "AllowedValues": "0,1", "IsModifiable": true, "ApplyMethod": "pending-reboot"}</t>
        </r>
      </text>
    </comment>
    <comment ref="M19"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0" authorId="0">
      <text>
        <r>
          <rPr>
            <sz val="9"/>
            <color indexed="81"/>
            <rFont val="Meiryo UI"/>
            <family val="2"/>
          </rPr>
          <t>APIメタデータ: {"ParameterName": "authentication_policy", "ParameterValue": "*:caching_sha2_password", "Description": "This parameter controls the default authentication plugin used to authenticate users. We recommend that you do not use the mysql_native_password plugin because it is deprecated and will be removed in the next major release.", "Source": "system", "ApplyType": "dynamic", "DataType": "string", "AllowedValues": "*:caching_sha2_password,*:mysql_native_password", "IsModifiable": true, "ApplyMethod": "pending-reboot"}</t>
        </r>
      </text>
    </comment>
    <comment ref="E20" authorId="0">
      <text>
        <r>
          <rPr>
            <sz val="9"/>
            <color indexed="81"/>
            <rFont val="Meiryo UI"/>
            <family val="2"/>
          </rPr>
          <t>https://dev.mysql.com/doc/refman/8.4/en/server-system-variables.html#sysvar_authentication_policy
Community参考値でありAurora実効値ではありません。</t>
        </r>
      </text>
    </comment>
    <comment ref="M20" authorId="0">
      <text>
        <r>
          <rPr>
            <sz val="9"/>
            <color indexed="81"/>
            <rFont val="Meiryo UI"/>
            <family val="2"/>
          </rPr>
          <t>https://docs.aws.amazon.com/AmazonRDS/latest/APIReference/API_DescribeDBParameters.html
https://docs.aws.amazon.com/AmazonRDS/latest/AuroraUserGuide/AuroraMySQL.Upgrade-v3-v84-security.html</t>
        </r>
      </text>
    </comment>
    <comment ref="B21" authorId="0">
      <text>
        <r>
          <rPr>
            <sz val="9"/>
            <color indexed="81"/>
            <rFont val="Meiryo UI"/>
            <family val="2"/>
          </rPr>
          <t>APIメタデータ: {"ParameterName": "autocommit", "Description": "Sets the autocommit mode", "Source": "engine-default", "ApplyType": "dynamic", "DataType": "boolean", "AllowedValues": "0,1", "IsModifiable": true, "ApplyMethod": "pending-reboot"}</t>
        </r>
      </text>
    </comment>
    <comment ref="E21" authorId="0">
      <text>
        <r>
          <rPr>
            <sz val="9"/>
            <color indexed="81"/>
            <rFont val="Meiryo UI"/>
            <family val="2"/>
          </rPr>
          <t>https://dev.mysql.com/doc/refman/8.4/en/server-system-variables.html#sysvar_autocommit
Community参考値でありAurora実効値ではありません。</t>
        </r>
      </text>
    </comment>
    <comment ref="M21" authorId="0">
      <text>
        <r>
          <rPr>
            <sz val="9"/>
            <color indexed="81"/>
            <rFont val="Meiryo UI"/>
            <family val="2"/>
          </rPr>
          <t>https://docs.aws.amazon.com/AmazonRDS/latest/APIReference/API_DescribeDBParameters.html
https://docs.aws.amazon.com/AmazonRDS/latest/AuroraUserGuide/rds-proxy.howitworks.html</t>
        </r>
      </text>
    </comment>
    <comment ref="B22" authorId="0">
      <text>
        <r>
          <rPr>
            <sz val="9"/>
            <color indexed="81"/>
            <rFont val="Meiryo UI"/>
            <family val="2"/>
          </rPr>
          <t>APIメタデータ: {"ParameterName": "automatic_sp_privileges", "Description": "When this variable has a value of 1 (the default), the server automatically grants the EXECUTE and ALTER ROUTINE privileges to the creator of a stored routine, if the user cannot already execute and alter or drop the routine.", "Source": "engine-default", "ApplyType": "dynamic", "DataType": "boolean", "AllowedValues": "0,1", "IsModifiable": true, "ApplyMethod": "pending-reboot"}</t>
        </r>
      </text>
    </comment>
    <comment ref="E22" authorId="0">
      <text>
        <r>
          <rPr>
            <sz val="9"/>
            <color indexed="81"/>
            <rFont val="Meiryo UI"/>
            <family val="2"/>
          </rPr>
          <t>https://dev.mysql.com/doc/refman/8.4/en/server-system-variables.html#sysvar_automatic_sp_privileges
Community参考値でありAurora実効値ではありません。</t>
        </r>
      </text>
    </comment>
    <comment ref="M22"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3" authorId="0">
      <text>
        <r>
          <rPr>
            <sz val="9"/>
            <color indexed="81"/>
            <rFont val="Meiryo UI"/>
            <family val="2"/>
          </rPr>
          <t>APIメタデータ: {"ParameterName": "back_log", "Description": "The number of outstanding connection requests MySQL can have", "Source": "engine-default", "ApplyType": "static", "DataType": "integer", "AllowedValues": "1-65535", "IsModifiable": true, "ApplyMethod": "pending-reboot"}</t>
        </r>
      </text>
    </comment>
    <comment ref="E23" authorId="0">
      <text>
        <r>
          <rPr>
            <sz val="9"/>
            <color indexed="81"/>
            <rFont val="Meiryo UI"/>
            <family val="2"/>
          </rPr>
          <t>https://dev.mysql.com/doc/refman/8.4/en/server-system-variables.html#sysvar_back_log
Community参考値でありAurora実効値ではありません。</t>
        </r>
      </text>
    </comment>
    <comment ref="M2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4" authorId="0">
      <text>
        <r>
          <rPr>
            <sz val="9"/>
            <color indexed="81"/>
            <rFont val="Meiryo UI"/>
            <family val="2"/>
          </rPr>
          <t>APIメタデータ: {"ParameterName": "basedir", "ParameterValue": "/rdsdbbin/oscar", "Description": "The MySQL installation base directory.", "Source": "system", "ApplyType": "static", "DataType": "string", "IsModifiable": false, "ApplyMethod": "pending-reboot"}</t>
        </r>
      </text>
    </comment>
    <comment ref="E24" authorId="0">
      <text>
        <r>
          <rPr>
            <sz val="9"/>
            <color indexed="81"/>
            <rFont val="Meiryo UI"/>
            <family val="2"/>
          </rPr>
          <t>https://dev.mysql.com/doc/refman/8.4/en/server-options.html#sysvar_basedir
Community参考値でありAurora実効値ではありません。</t>
        </r>
      </text>
    </comment>
    <comment ref="M2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5" authorId="0">
      <text>
        <r>
          <rPr>
            <sz val="9"/>
            <color indexed="81"/>
            <rFont val="Meiryo UI"/>
            <family val="2"/>
          </rPr>
          <t>APIメタデータ: {"ParameterName": "binlog_cache_size", "ParameterValue": "32768", "Description": "The size of the cache to hold the SQL statements for the binary log during a transaction.", "Source": "system", "ApplyType": "dynamic", "DataType": "integer", "AllowedValues": "4096-18446744073709547520", "IsModifiable": true, "ApplyMethod": "pending-reboot"}</t>
        </r>
      </text>
    </comment>
    <comment ref="E25" authorId="0">
      <text>
        <r>
          <rPr>
            <sz val="9"/>
            <color indexed="81"/>
            <rFont val="Meiryo UI"/>
            <family val="2"/>
          </rPr>
          <t>https://dev.mysql.com/doc/refman/8.4/en/replication-options-binary-log.html#sysvar_binlog_cache_size
Community参考値でありAurora実効値ではありません。</t>
        </r>
      </text>
    </comment>
    <comment ref="M25"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6" authorId="0">
      <text>
        <r>
          <rPr>
            <sz val="9"/>
            <color indexed="81"/>
            <rFont val="Meiryo UI"/>
            <family val="2"/>
          </rPr>
          <t>APIメタデータ: {"ParameterName": "binlog_max_flush_queue_time", "Description": "How long in microseconds to keep reading transactions from the flush queue before proceeding with the group commit (and syncing the log to disk, if sync_binlog is greater than 0). If the value is 0 (the default), there is no timeout and the server keeps reading new transactions until the queue is empty.", "Source": "engine-default", "ApplyType": "dynamic", "DataType": "integer", "AllowedValues": "0-100000", "IsModifiable": true, "ApplyMethod": "pending-reboot"}</t>
        </r>
      </text>
    </comment>
    <comment ref="E26" authorId="0">
      <text>
        <r>
          <rPr>
            <sz val="9"/>
            <color indexed="81"/>
            <rFont val="Meiryo UI"/>
            <family val="2"/>
          </rPr>
          <t>https://dev.mysql.com/doc/refman/8.4/en/replication-options-binary-log.html#sysvar_binlog_max_flush_queue_time
Community参考値でありAurora実効値ではありません。</t>
        </r>
      </text>
    </comment>
    <comment ref="M26"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7" authorId="0">
      <text>
        <r>
          <rPr>
            <sz val="9"/>
            <color indexed="81"/>
            <rFont val="Meiryo UI"/>
            <family val="2"/>
          </rPr>
          <t>APIメタデータ: {"ParameterName": "binlog_order_commits", "Description": "If this variable is enabled (the default), transactions are committed in the same order they are written to the binary log. If disabled, transactions may be committed in parallel.", "Source": "engine-default", "ApplyType": "dynamic", "DataType": "boolean", "AllowedValues": "0,1", "IsModifiable": true, "ApplyMethod": "pending-reboot"}</t>
        </r>
      </text>
    </comment>
    <comment ref="E27" authorId="0">
      <text>
        <r>
          <rPr>
            <sz val="9"/>
            <color indexed="81"/>
            <rFont val="Meiryo UI"/>
            <family val="2"/>
          </rPr>
          <t>https://dev.mysql.com/doc/refman/8.4/en/replication-options-binary-log.html#sysvar_binlog_order_commits
Community参考値でありAurora実効値ではありません。</t>
        </r>
      </text>
    </comment>
    <comment ref="M27"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8" authorId="0">
      <text>
        <r>
          <rPr>
            <sz val="9"/>
            <color indexed="81"/>
            <rFont val="Meiryo UI"/>
            <family val="2"/>
          </rPr>
          <t>APIメタデータ: {"ParameterName": "binlog_stmt_cache_size", "Description": "This variable determines the size of the cache for the binary log to hold nontransactional statements issued during a transaction.", "Source": "engine-default", "ApplyType": "dynamic", "DataType": "integer", "AllowedValues": "4096-18446744073709547520", "IsModifiable": true, "ApplyMethod": "pending-reboot"}</t>
        </r>
      </text>
    </comment>
    <comment ref="E28" authorId="0">
      <text>
        <r>
          <rPr>
            <sz val="9"/>
            <color indexed="81"/>
            <rFont val="Meiryo UI"/>
            <family val="2"/>
          </rPr>
          <t>https://dev.mysql.com/doc/refman/8.4/en/replication-options-binary-log.html#sysvar_binlog_stmt_cache_size
Community参考値でありAurora実効値ではありません。</t>
        </r>
      </text>
    </comment>
    <comment ref="M28"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9" authorId="0">
      <text>
        <r>
          <rPr>
            <sz val="9"/>
            <color indexed="81"/>
            <rFont val="Meiryo UI"/>
            <family val="2"/>
          </rPr>
          <t>APIメタデータ: {"ParameterName": "binlog_transaction_compression", "Description": "Enables compression for transactions that are written to binary log files on this server", "Source": "engine-default", "ApplyType": "dynamic", "DataType": "string", "AllowedValues": "ON,OFF", "IsModifiable": true, "ApplyMethod": "pending-reboot"}</t>
        </r>
      </text>
    </comment>
    <comment ref="E29" authorId="0">
      <text>
        <r>
          <rPr>
            <sz val="9"/>
            <color indexed="81"/>
            <rFont val="Meiryo UI"/>
            <family val="2"/>
          </rPr>
          <t>https://dev.mysql.com/doc/refman/8.4/en/replication-options-binary-log.html#sysvar_binlog_transaction_compression
Community参考値でありAurora実効値ではありません。</t>
        </r>
      </text>
    </comment>
    <comment ref="M29"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30" authorId="0">
      <text>
        <r>
          <rPr>
            <sz val="9"/>
            <color indexed="81"/>
            <rFont val="Meiryo UI"/>
            <family val="2"/>
          </rPr>
          <t>APIメタデータ: {"ParameterName": "binlog_transaction_compression_level_zstd", "Description": "Sets the compression level for binary log transaction compression on this server, which is enabled by the binlog_transaction_compression system variable.", "Source": "engine-default", "ApplyType": "dynamic", "DataType": "integer", "AllowedValues": "1-22", "IsModifiable": true, "ApplyMethod": "pending-reboot"}</t>
        </r>
      </text>
    </comment>
    <comment ref="E30" authorId="0">
      <text>
        <r>
          <rPr>
            <sz val="9"/>
            <color indexed="81"/>
            <rFont val="Meiryo UI"/>
            <family val="2"/>
          </rPr>
          <t>https://dev.mysql.com/doc/refman/8.4/en/replication-options-binary-log.html#sysvar_binlog_transaction_compression_level_zstd
Community参考値でありAurora実効値ではありません。</t>
        </r>
      </text>
    </comment>
    <comment ref="M30"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31" authorId="0">
      <text>
        <r>
          <rPr>
            <sz val="9"/>
            <color indexed="81"/>
            <rFont val="Meiryo UI"/>
            <family val="2"/>
          </rPr>
          <t>APIメタデータ: {"ParameterName": "bulk_insert_buffer_size", "Description": "Limits the size of the MyISAM cache tree in bytes per thread.", "Source": "engine-default", "ApplyType": "dynamic", "DataType": "integer", "AllowedValues": "0-18446744073709547520", "IsModifiable": true, "ApplyMethod": "pending-reboot"}</t>
        </r>
      </text>
    </comment>
    <comment ref="E31" authorId="0">
      <text>
        <r>
          <rPr>
            <sz val="9"/>
            <color indexed="81"/>
            <rFont val="Meiryo UI"/>
            <family val="2"/>
          </rPr>
          <t>https://dev.mysql.com/doc/refman/8.4/en/server-system-variables.html#sysvar_bulk_insert_buffer_size
Community参考値でありAurora実効値ではありません。</t>
        </r>
      </text>
    </comment>
    <comment ref="M3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2" authorId="0">
      <text>
        <r>
          <rPr>
            <sz val="9"/>
            <color indexed="81"/>
            <rFont val="Meiryo UI"/>
            <family val="2"/>
          </rPr>
          <t>APIメタデータ: {"ParameterName": "concurrent_insert", "Description": "Allows INSERT and SELECT statements to run concurrently for MyISAM tables that have no free blocks in the middle of the data file.", "Source": "engine-default", "ApplyType": "dynamic", "DataType": "integer", "AllowedValues": "0-2", "IsModifiable": true, "ApplyMethod": "pending-reboot"}</t>
        </r>
      </text>
    </comment>
    <comment ref="E32" authorId="0">
      <text>
        <r>
          <rPr>
            <sz val="9"/>
            <color indexed="81"/>
            <rFont val="Meiryo UI"/>
            <family val="2"/>
          </rPr>
          <t>https://dev.mysql.com/doc/refman/8.4/en/server-system-variables.html#sysvar_concurrent_insert
Community参考値でありAurora実効値ではありません。</t>
        </r>
      </text>
    </comment>
    <comment ref="M32"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3" authorId="0">
      <text>
        <r>
          <rPr>
            <sz val="9"/>
            <color indexed="81"/>
            <rFont val="Meiryo UI"/>
            <family val="2"/>
          </rPr>
          <t>APIメタデータ: {"ParameterName": "connect_timeout", "Description": "The number of seconds that the MySQLd  server waits for a connect packet before responding with Bad handshake.", "Source": "engine-default", "ApplyType": "dynamic", "DataType": "integer", "AllowedValues": "2-31536000", "IsModifiable": true, "ApplyMethod": "pending-reboot"}</t>
        </r>
      </text>
    </comment>
    <comment ref="E33" authorId="0">
      <text>
        <r>
          <rPr>
            <sz val="9"/>
            <color indexed="81"/>
            <rFont val="Meiryo UI"/>
            <family val="2"/>
          </rPr>
          <t>https://dev.mysql.com/doc/refman/8.4/en/server-system-variables.html#sysvar_connect_timeout
Community参考値でありAurora実効値ではありません。</t>
        </r>
      </text>
    </comment>
    <comment ref="M33" authorId="0">
      <text>
        <r>
          <rPr>
            <sz val="9"/>
            <color indexed="81"/>
            <rFont val="Meiryo UI"/>
            <family val="2"/>
          </rPr>
          <t>https://docs.aws.amazon.com/AmazonRDS/latest/APIReference/API_DescribeDBParameters.html
https://dev.mysql.com/doc/refman/8.4/en/server-system-variables.html</t>
        </r>
      </text>
    </comment>
    <comment ref="B34" authorId="0">
      <text>
        <r>
          <rPr>
            <sz val="9"/>
            <color indexed="81"/>
            <rFont val="Meiryo UI"/>
            <family val="2"/>
          </rPr>
          <t>APIメタデータ: {"ParameterName": "core-file", "Description": "Write a core file if mysqld dies.", "Source": "engine-default", "ApplyType": "static", "DataType": "boolean", "AllowedValues": "0,1", "IsModifiable": false, "ApplyMethod": "pending-reboot"}</t>
        </r>
      </text>
    </comment>
    <comment ref="E34" authorId="0">
      <text>
        <r>
          <rPr>
            <sz val="9"/>
            <color indexed="81"/>
            <rFont val="Meiryo UI"/>
            <family val="2"/>
          </rPr>
          <t>https://dev.mysql.com/doc/refman/8.4/en/server-system-variables.html#sysvar_core_file
Community参考値でありAurora実効値ではありません。</t>
        </r>
      </text>
    </comment>
    <comment ref="M3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5" authorId="0">
      <text>
        <r>
          <rPr>
            <sz val="9"/>
            <color indexed="81"/>
            <rFont val="Meiryo UI"/>
            <family val="2"/>
          </rPr>
          <t>APIメタデータ: {"ParameterName": "cte_max_recursion_depth", "Description": "Abort a recursive common table expression if it does more than this number of iterations.", "Source": "engine-default", "ApplyType": "dynamic", "DataType": "integer", "AllowedValues": "0-4294967295", "IsModifiable": true, "ApplyMethod": "pending-reboot"}</t>
        </r>
      </text>
    </comment>
    <comment ref="E35" authorId="0">
      <text>
        <r>
          <rPr>
            <sz val="9"/>
            <color indexed="81"/>
            <rFont val="Meiryo UI"/>
            <family val="2"/>
          </rPr>
          <t>https://dev.mysql.com/doc/refman/8.4/en/server-system-variables.html#sysvar_cte_max_recursion_depth
Community参考値でありAurora実効値ではありません。</t>
        </r>
      </text>
    </comment>
    <comment ref="M35" authorId="0">
      <text>
        <r>
          <rPr>
            <sz val="9"/>
            <color indexed="81"/>
            <rFont val="Meiryo UI"/>
            <family val="2"/>
          </rPr>
          <t>https://docs.aws.amazon.com/AmazonRDS/latest/APIReference/API_DescribeDBParameters.html
https://dev.mysql.com/doc/refman/8.4/en/server-system-variables.html</t>
        </r>
      </text>
    </comment>
    <comment ref="B36" authorId="0">
      <text>
        <r>
          <rPr>
            <sz val="9"/>
            <color indexed="81"/>
            <rFont val="Meiryo UI"/>
            <family val="2"/>
          </rPr>
          <t>APIメタデータ: {"ParameterName": "datadir", "ParameterValue": "/rdsdbdata/db/", "Description": "MySQL data directory", "Source": "system", "ApplyType": "static", "DataType": "string", "IsModifiable": false, "ApplyMethod": "pending-reboot"}</t>
        </r>
      </text>
    </comment>
    <comment ref="M36"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7" authorId="0">
      <text>
        <r>
          <rPr>
            <sz val="9"/>
            <color indexed="81"/>
            <rFont val="Meiryo UI"/>
            <family val="2"/>
          </rPr>
          <t>APIメタデータ: {"ParameterName": "default_time_zone", "Description": "Server current time zone", "Source": "engine-default", "ApplyType": "static", "DataType": "string", "IsModifiable": false, "ApplyMethod": "pending-reboot"}</t>
        </r>
      </text>
    </comment>
    <comment ref="M3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8" authorId="0">
      <text>
        <r>
          <rPr>
            <sz val="9"/>
            <color indexed="81"/>
            <rFont val="Meiryo UI"/>
            <family val="2"/>
          </rPr>
          <t>APIメタデータ: {"ParameterName": "default_tmp_storage_engine", "ParameterValue": "InnoDB", "Description": "The default storage engine for TEMPORARY tables.", "Source": "system", "ApplyType": "static", "DataType": "string", "AllowedValues": "InnoDB,MyISAM", "IsModifiable": true, "ApplyMethod": "pending-reboot"}</t>
        </r>
      </text>
    </comment>
    <comment ref="E38" authorId="0">
      <text>
        <r>
          <rPr>
            <sz val="9"/>
            <color indexed="81"/>
            <rFont val="Meiryo UI"/>
            <family val="2"/>
          </rPr>
          <t>https://dev.mysql.com/doc/refman/8.4/en/server-system-variables.html#sysvar_default_tmp_storage_engine
Community参考値でありAurora実効値ではありません。</t>
        </r>
      </text>
    </comment>
    <comment ref="M38"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9" authorId="0">
      <text>
        <r>
          <rPr>
            <sz val="9"/>
            <color indexed="81"/>
            <rFont val="Meiryo UI"/>
            <family val="2"/>
          </rPr>
          <t>APIメタデータ: {"ParameterName": "default_week_format", "Description": "The default mode value to use for the WEEK() function.", "Source": "engine-default", "ApplyType": "dynamic", "DataType": "integer", "AllowedValues": "0-7", "IsModifiable": true, "ApplyMethod": "pending-reboot"}</t>
        </r>
      </text>
    </comment>
    <comment ref="E39" authorId="0">
      <text>
        <r>
          <rPr>
            <sz val="9"/>
            <color indexed="81"/>
            <rFont val="Meiryo UI"/>
            <family val="2"/>
          </rPr>
          <t>https://dev.mysql.com/doc/refman/8.4/en/server-system-variables.html#sysvar_default_week_format
Community参考値でありAurora実効値ではありません。</t>
        </r>
      </text>
    </comment>
    <comment ref="M39"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0" authorId="0">
      <text>
        <r>
          <rPr>
            <sz val="9"/>
            <color indexed="81"/>
            <rFont val="Meiryo UI"/>
            <family val="2"/>
          </rPr>
          <t>APIメタデータ: {"ParameterName": "delayed_insert_limit", "Description": "After inserting delayed_insert_limit delayed rows, the INSERT DELAYED handler thread checks whether there are any SELECT statements pending. If so, it allows them to execute before continuing to insert delayed rows.", "Source": "engine-default", "ApplyType": "dynamic", "DataType": "integer", "AllowedValues": "1-9223372036854775807", "IsModifiable": true, "ApplyMethod": "pending-reboot"}</t>
        </r>
      </text>
    </comment>
    <comment ref="E40" authorId="0">
      <text>
        <r>
          <rPr>
            <sz val="9"/>
            <color indexed="81"/>
            <rFont val="Meiryo UI"/>
            <family val="2"/>
          </rPr>
          <t>https://dev.mysql.com/doc/refman/8.4/en/server-system-variables.html#sysvar_delayed_insert_limit
Community参考値でありAurora実効値ではありません。</t>
        </r>
      </text>
    </comment>
    <comment ref="M4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1" authorId="0">
      <text>
        <r>
          <rPr>
            <sz val="9"/>
            <color indexed="81"/>
            <rFont val="Meiryo UI"/>
            <family val="2"/>
          </rPr>
          <t>APIメタデータ: {"ParameterName": "delayed_insert_timeout", "Description": "How many seconds an INSERT DELAYED handler thread should wait for INSERT statements before terminating.", "Source": "engine-default", "ApplyType": "dynamic", "DataType": "integer", "AllowedValues": "1-31536000", "IsModifiable": true, "ApplyMethod": "pending-reboot"}</t>
        </r>
      </text>
    </comment>
    <comment ref="E41" authorId="0">
      <text>
        <r>
          <rPr>
            <sz val="9"/>
            <color indexed="81"/>
            <rFont val="Meiryo UI"/>
            <family val="2"/>
          </rPr>
          <t>https://dev.mysql.com/doc/refman/8.4/en/server-system-variables.html#sysvar_delayed_insert_timeout
Community参考値でありAurora実効値ではありません。</t>
        </r>
      </text>
    </comment>
    <comment ref="M4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2" authorId="0">
      <text>
        <r>
          <rPr>
            <sz val="9"/>
            <color indexed="81"/>
            <rFont val="Meiryo UI"/>
            <family val="2"/>
          </rPr>
          <t>APIメタデータ: {"ParameterName": "delayed_queue_size", "Description": "If the queue becomes full, any client that issues an INSERT DELAYED statement waits until there is room in the queue again.", "Source": "engine-default", "ApplyType": "dynamic", "DataType": "integer", "AllowedValues": "1-9223372036854775807", "IsModifiable": true, "ApplyMethod": "pending-reboot"}</t>
        </r>
      </text>
    </comment>
    <comment ref="E42" authorId="0">
      <text>
        <r>
          <rPr>
            <sz val="9"/>
            <color indexed="81"/>
            <rFont val="Meiryo UI"/>
            <family val="2"/>
          </rPr>
          <t>https://dev.mysql.com/doc/refman/8.4/en/server-system-variables.html#sysvar_delayed_queue_size
Community参考値でありAurora実効値ではありません。</t>
        </r>
      </text>
    </comment>
    <comment ref="M42"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3" authorId="0">
      <text>
        <r>
          <rPr>
            <sz val="9"/>
            <color indexed="81"/>
            <rFont val="Meiryo UI"/>
            <family val="2"/>
          </rPr>
          <t>APIメタデータ: {"ParameterName": "delay_key_write", "Description": "Determines when keys are flushed for MyISAM tables", "Source": "engine-default", "ApplyType": "dynamic", "DataType": "string", "AllowedValues": "OFF,ON,ALL", "IsModifiable": true, "ApplyMethod": "pending-reboot"}</t>
        </r>
      </text>
    </comment>
    <comment ref="E43" authorId="0">
      <text>
        <r>
          <rPr>
            <sz val="9"/>
            <color indexed="81"/>
            <rFont val="Meiryo UI"/>
            <family val="2"/>
          </rPr>
          <t>https://dev.mysql.com/doc/refman/8.4/en/server-system-variables.html#sysvar_delay_key_write
Community参考値でありAurora実効値ではありません。</t>
        </r>
      </text>
    </comment>
    <comment ref="M4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4" authorId="0">
      <text>
        <r>
          <rPr>
            <sz val="9"/>
            <color indexed="81"/>
            <rFont val="Meiryo UI"/>
            <family val="2"/>
          </rPr>
          <t>APIメタデータ: {"ParameterName": "div_precision_increment", "Description": "Number of digits by which to increase the scale of the result of division operations.", "Source": "engine-default", "ApplyType": "dynamic", "DataType": "integer", "AllowedValues": "0-30", "IsModifiable": true, "ApplyMethod": "pending-reboot"}</t>
        </r>
      </text>
    </comment>
    <comment ref="E44" authorId="0">
      <text>
        <r>
          <rPr>
            <sz val="9"/>
            <color indexed="81"/>
            <rFont val="Meiryo UI"/>
            <family val="2"/>
          </rPr>
          <t>https://dev.mysql.com/doc/refman/8.4/en/server-system-variables.html#sysvar_div_precision_increment
Community参考値でありAurora実効値ではありません。</t>
        </r>
      </text>
    </comment>
    <comment ref="M4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5" authorId="0">
      <text>
        <r>
          <rPr>
            <sz val="9"/>
            <color indexed="81"/>
            <rFont val="Meiryo UI"/>
            <family val="2"/>
          </rPr>
          <t>APIメタデータ: {"ParameterName": "end_markers_in_json", "Description": "Whether optimizer JSON output should add end markers.", "Source": "engine-default", "ApplyType": "dynamic", "DataType": "boolean", "AllowedValues": "0,1", "IsModifiable": true, "ApplyMethod": "pending-reboot"}</t>
        </r>
      </text>
    </comment>
    <comment ref="E45" authorId="0">
      <text>
        <r>
          <rPr>
            <sz val="9"/>
            <color indexed="81"/>
            <rFont val="Meiryo UI"/>
            <family val="2"/>
          </rPr>
          <t>https://dev.mysql.com/doc/refman/8.4/en/server-system-variables.html#sysvar_end_markers_in_json
Community参考値でありAurora実効値ではありません。</t>
        </r>
      </text>
    </comment>
    <comment ref="M45"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6" authorId="0">
      <text>
        <r>
          <rPr>
            <sz val="9"/>
            <color indexed="81"/>
            <rFont val="Meiryo UI"/>
            <family val="2"/>
          </rPr>
          <t>APIメタデータ: {"ParameterName": "eq_range_index_dive_limit", "Description": "Number of equality ranges when the optimizer should switch from using index dives to index statistics.", "Source": "engine-default", "ApplyType": "dynamic", "DataType": "integer", "AllowedValues": "0-4294967295", "IsModifiable": true, "ApplyMethod": "pending-reboot"}</t>
        </r>
      </text>
    </comment>
    <comment ref="E46" authorId="0">
      <text>
        <r>
          <rPr>
            <sz val="9"/>
            <color indexed="81"/>
            <rFont val="Meiryo UI"/>
            <family val="2"/>
          </rPr>
          <t>https://dev.mysql.com/doc/refman/8.4/en/server-system-variables.html#sysvar_eq_range_index_dive_limit
Community参考値でありAurora実効値ではありません。</t>
        </r>
      </text>
    </comment>
    <comment ref="M46" authorId="0">
      <text>
        <r>
          <rPr>
            <sz val="9"/>
            <color indexed="81"/>
            <rFont val="Meiryo UI"/>
            <family val="2"/>
          </rPr>
          <t>https://docs.aws.amazon.com/AmazonRDS/latest/APIReference/API_DescribeDBParameters.html
https://dev.mysql.com/doc/refman/8.4/en/server-system-variables.html</t>
        </r>
      </text>
    </comment>
    <comment ref="B47" authorId="0">
      <text>
        <r>
          <rPr>
            <sz val="9"/>
            <color indexed="81"/>
            <rFont val="Meiryo UI"/>
            <family val="2"/>
          </rPr>
          <t>APIメタデータ: {"ParameterName": "explain_format", "Description": "Determines the default output format used by EXPLAIN in the absence of a FORMAT option when displaying a query execution plan.", "Source": "engine-default", "ApplyType": "dynamic", "DataType": "string", "AllowedValues": "TRADITIONAL,JSON,TREE", "IsModifiable": true, "ApplyMethod": "pending-reboot"}</t>
        </r>
      </text>
    </comment>
    <comment ref="E47" authorId="0">
      <text>
        <r>
          <rPr>
            <sz val="9"/>
            <color indexed="81"/>
            <rFont val="Meiryo UI"/>
            <family val="2"/>
          </rPr>
          <t>https://dev.mysql.com/doc/refman/8.4/en/server-system-variables.html#sysvar_explain_format
Community参考値でありAurora実効値ではありません。</t>
        </r>
      </text>
    </comment>
    <comment ref="M4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8" authorId="0">
      <text>
        <r>
          <rPr>
            <sz val="9"/>
            <color indexed="81"/>
            <rFont val="Meiryo UI"/>
            <family val="2"/>
          </rPr>
          <t>APIメタデータ: {"ParameterName": "explicit_defaults_for_timestamp", "ParameterValue": "1", "Description": "Needed for 5.6.7", "Source": "system", "ApplyType": "static", "DataType": "boolean", "AllowedValues": "0,1", "IsModifiable": true, "ApplyMethod": "pending-reboot"}</t>
        </r>
      </text>
    </comment>
    <comment ref="E48" authorId="0">
      <text>
        <r>
          <rPr>
            <sz val="9"/>
            <color indexed="81"/>
            <rFont val="Meiryo UI"/>
            <family val="2"/>
          </rPr>
          <t>https://dev.mysql.com/doc/refman/8.4/en/server-system-variables.html#sysvar_explicit_defaults_for_timestamp
Community参考値でありAurora実効値ではありません。</t>
        </r>
      </text>
    </comment>
    <comment ref="M48"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49" authorId="0">
      <text>
        <r>
          <rPr>
            <sz val="9"/>
            <color indexed="81"/>
            <rFont val="Meiryo UI"/>
            <family val="2"/>
          </rPr>
          <t>APIメタデータ: {"ParameterName": "flush", "Description": "If ON, the server flushes all changes to disk after each SQL statement.", "Source": "engine-default", "ApplyType": "dynamic", "DataType": "boolean", "AllowedValues": "0,1", "IsModifiable": false, "ApplyMethod": "pending-reboot"}</t>
        </r>
      </text>
    </comment>
    <comment ref="E49" authorId="0">
      <text>
        <r>
          <rPr>
            <sz val="9"/>
            <color indexed="81"/>
            <rFont val="Meiryo UI"/>
            <family val="2"/>
          </rPr>
          <t>https://dev.mysql.com/doc/refman/8.4/en/server-options.html#sysvar_flush
Community参考値でありAurora実効値ではありません。</t>
        </r>
      </text>
    </comment>
    <comment ref="M49"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50" authorId="0">
      <text>
        <r>
          <rPr>
            <sz val="9"/>
            <color indexed="81"/>
            <rFont val="Meiryo UI"/>
            <family val="2"/>
          </rPr>
          <t>APIメタデータ: {"ParameterName": "flush_time", "Description": "Frees up resources and synchronize unflushed data to disk. Recommended only on systems with minimal resources.", "Source": "engine-default", "ApplyType": "dynamic", "DataType": "integer", "AllowedValues": "0-31536000", "IsModifiable": true, "ApplyMethod": "pending-reboot"}</t>
        </r>
      </text>
    </comment>
    <comment ref="E50" authorId="0">
      <text>
        <r>
          <rPr>
            <sz val="9"/>
            <color indexed="81"/>
            <rFont val="Meiryo UI"/>
            <family val="2"/>
          </rPr>
          <t>https://dev.mysql.com/doc/refman/8.4/en/server-system-variables.html#sysvar_flush_time
Community参考値でありAurora実効値ではありません。</t>
        </r>
      </text>
    </comment>
    <comment ref="M5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51" authorId="0">
      <text>
        <r>
          <rPr>
            <sz val="9"/>
            <color indexed="81"/>
            <rFont val="Meiryo UI"/>
            <family val="2"/>
          </rPr>
          <t>APIメタデータ: {"ParameterName": "ft_boolean_syntax", "Description": "The list of operators supported by boolean full-text searches", "Source": "engine-default", "ApplyType": "dynamic", "DataType": "string", "IsModifiable": false, "ApplyMethod": "pending-reboot"}</t>
        </r>
      </text>
    </comment>
    <comment ref="E51" authorId="0">
      <text>
        <r>
          <rPr>
            <sz val="9"/>
            <color indexed="81"/>
            <rFont val="Meiryo UI"/>
            <family val="2"/>
          </rPr>
          <t>https://dev.mysql.com/doc/refman/8.4/en/server-system-variables.html#sysvar_ft_boolean_syntax
Community参考値でありAurora実効値ではありません。</t>
        </r>
      </text>
    </comment>
    <comment ref="M5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52" authorId="0">
      <text>
        <r>
          <rPr>
            <sz val="9"/>
            <color indexed="81"/>
            <rFont val="Meiryo UI"/>
            <family val="2"/>
          </rPr>
          <t>APIメタデータ: {"ParameterName": "ft_max_word_len", "Description": "Maximum length of the word to be included in a FULLTEXT index.", "Source": "engine-default", "ApplyType": "static", "DataType": "integer", "AllowedValues": "10-84", "IsModifiable": true, "ApplyMethod": "pending-reboot"}</t>
        </r>
      </text>
    </comment>
    <comment ref="E52" authorId="0">
      <text>
        <r>
          <rPr>
            <sz val="9"/>
            <color indexed="81"/>
            <rFont val="Meiryo UI"/>
            <family val="2"/>
          </rPr>
          <t>https://dev.mysql.com/doc/refman/8.4/en/server-system-variables.html#sysvar_ft_max_word_len
Community参考値でありAurora実効値ではありません。</t>
        </r>
      </text>
    </comment>
    <comment ref="M52"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53" authorId="0">
      <text>
        <r>
          <rPr>
            <sz val="9"/>
            <color indexed="81"/>
            <rFont val="Meiryo UI"/>
            <family val="2"/>
          </rPr>
          <t>APIメタデータ: {"ParameterName": "ft_min_word_len", "Description": "Minimum length of the word to be included in a FULLTEXT index.", "Source": "engine-default", "ApplyType": "static", "DataType": "integer", "AllowedValues": "1-84", "IsModifiable": true, "ApplyMethod": "pending-reboot"}</t>
        </r>
      </text>
    </comment>
    <comment ref="E53" authorId="0">
      <text>
        <r>
          <rPr>
            <sz val="9"/>
            <color indexed="81"/>
            <rFont val="Meiryo UI"/>
            <family val="2"/>
          </rPr>
          <t>https://dev.mysql.com/doc/refman/8.4/en/server-system-variables.html#sysvar_ft_min_word_len
Community参考値でありAurora実効値ではありません。</t>
        </r>
      </text>
    </comment>
    <comment ref="M5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54" authorId="0">
      <text>
        <r>
          <rPr>
            <sz val="9"/>
            <color indexed="81"/>
            <rFont val="Meiryo UI"/>
            <family val="2"/>
          </rPr>
          <t>APIメタデータ: {"ParameterName": "ft_query_expansion_limit", "Description": "Number of top matches to use for full-text searches performed using WITH QUERY EXPANSION.", "Source": "engine-default", "ApplyType": "static", "DataType": "integer", "AllowedValues": "0-1000", "IsModifiable": true, "ApplyMethod": "pending-reboot"}</t>
        </r>
      </text>
    </comment>
    <comment ref="E54" authorId="0">
      <text>
        <r>
          <rPr>
            <sz val="9"/>
            <color indexed="81"/>
            <rFont val="Meiryo UI"/>
            <family val="2"/>
          </rPr>
          <t>https://dev.mysql.com/doc/refman/8.4/en/server-system-variables.html#sysvar_ft_query_expansion_limit
Community参考値でありAurora実効値ではありません。</t>
        </r>
      </text>
    </comment>
    <comment ref="M5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55" authorId="0">
      <text>
        <r>
          <rPr>
            <sz val="9"/>
            <color indexed="81"/>
            <rFont val="Meiryo UI"/>
            <family val="2"/>
          </rPr>
          <t>APIメタデータ: {"ParameterName": "ft_stopword_file", "Description": "File for Full Search Stop Words. NULL uses Default, /dev/null to disable Stop Words", "Source": "engine-default", "ApplyType": "static", "DataType": "string", "AllowedValues": "/dev/null", "IsModifiable": true, "ApplyMethod": "pending-reboot"}</t>
        </r>
      </text>
    </comment>
    <comment ref="M55"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56" authorId="0">
      <text>
        <r>
          <rPr>
            <sz val="9"/>
            <color indexed="81"/>
            <rFont val="Meiryo UI"/>
            <family val="2"/>
          </rPr>
          <t>APIメタデータ: {"ParameterName": "general_log", "Description": "Whether the general query log is enabled", "Source": "engine-default", "ApplyType": "dynamic", "DataType": "boolean", "AllowedValues": "0,1", "IsModifiable": true, "ApplyMethod": "pending-reboot"}</t>
        </r>
      </text>
    </comment>
    <comment ref="E56" authorId="0">
      <text>
        <r>
          <rPr>
            <sz val="9"/>
            <color indexed="81"/>
            <rFont val="Meiryo UI"/>
            <family val="2"/>
          </rPr>
          <t>https://dev.mysql.com/doc/refman/8.4/en/server-system-variables.html#sysvar_general_log
Community参考値でありAurora実効値ではありません。</t>
        </r>
      </text>
    </comment>
    <comment ref="M56" authorId="0">
      <text>
        <r>
          <rPr>
            <sz val="9"/>
            <color indexed="81"/>
            <rFont val="Meiryo UI"/>
            <family val="2"/>
          </rPr>
          <t>https://docs.aws.amazon.com/AmazonRDS/latest/APIReference/API_DescribeDBParameters.html
https://docs.aws.amazon.com/AmazonRDS/latest/AuroraUserGuide/AuroraMySQL.Reference.ParameterGroups.html</t>
        </r>
      </text>
    </comment>
    <comment ref="B57" authorId="0">
      <text>
        <r>
          <rPr>
            <sz val="9"/>
            <color indexed="81"/>
            <rFont val="Meiryo UI"/>
            <family val="2"/>
          </rPr>
          <t>APIメタデータ: {"ParameterName": "general_log_file", "ParameterValue": "/rdsdbdata/log/general/mysql-general.log", "Description": "Location of mysql general log.", "Source": "system", "ApplyType": "dynamic", "DataType": "string", "IsModifiable": false, "ApplyMethod": "pending-reboot"}</t>
        </r>
      </text>
    </comment>
    <comment ref="E57" authorId="0">
      <text>
        <r>
          <rPr>
            <sz val="9"/>
            <color indexed="81"/>
            <rFont val="Meiryo UI"/>
            <family val="2"/>
          </rPr>
          <t>https://dev.mysql.com/doc/refman/8.4/en/server-system-variables.html#sysvar_general_log_file
Community参考値でありAurora実効値ではありません。</t>
        </r>
      </text>
    </comment>
    <comment ref="M57" authorId="0">
      <text>
        <r>
          <rPr>
            <sz val="9"/>
            <color indexed="81"/>
            <rFont val="Meiryo UI"/>
            <family val="2"/>
          </rPr>
          <t>https://docs.aws.amazon.com/AmazonRDS/latest/APIReference/API_DescribeDBParameters.html
https://docs.aws.amazon.com/AmazonRDS/latest/AuroraUserGuide/AuroraMySQL.Reference.ParameterGroups.html</t>
        </r>
      </text>
    </comment>
    <comment ref="B58" authorId="0">
      <text>
        <r>
          <rPr>
            <sz val="9"/>
            <color indexed="81"/>
            <rFont val="Meiryo UI"/>
            <family val="2"/>
          </rPr>
          <t>APIメタデータ: {"ParameterName": "group_concat_max_len", "Description": "Maximum allowed result length in bytes for the GROUP_CONCAT().", "Source": "engine-default", "ApplyType": "dynamic", "DataType": "integer", "AllowedValues": "4-18446744073709547520", "IsModifiable": true, "ApplyMethod": "pending-reboot"}</t>
        </r>
      </text>
    </comment>
    <comment ref="E58" authorId="0">
      <text>
        <r>
          <rPr>
            <sz val="9"/>
            <color indexed="81"/>
            <rFont val="Meiryo UI"/>
            <family val="2"/>
          </rPr>
          <t>https://dev.mysql.com/doc/refman/8.4/en/server-system-variables.html#sysvar_group_concat_max_len
Community参考値でありAurora実効値ではありません。</t>
        </r>
      </text>
    </comment>
    <comment ref="M58"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59" authorId="0">
      <text>
        <r>
          <rPr>
            <sz val="9"/>
            <color indexed="81"/>
            <rFont val="Meiryo UI"/>
            <family val="2"/>
          </rPr>
          <t>APIメタデータ: {"ParameterName": "histogram_generation_max_mem_size", "Description": "The maximum amount of memory available for generating histogram statistics.", "Source": "engine-default", "ApplyType": "dynamic", "DataType": "integer", "AllowedValues": "1000000-18446744073709551615", "IsModifiable": true, "ApplyMethod": "pending-reboot"}</t>
        </r>
      </text>
    </comment>
    <comment ref="E59" authorId="0">
      <text>
        <r>
          <rPr>
            <sz val="9"/>
            <color indexed="81"/>
            <rFont val="Meiryo UI"/>
            <family val="2"/>
          </rPr>
          <t>https://dev.mysql.com/doc/refman/8.4/en/server-system-variables.html#sysvar_histogram_generation_max_mem_size
Community参考値でありAurora実効値ではありません。</t>
        </r>
      </text>
    </comment>
    <comment ref="M59" authorId="0">
      <text>
        <r>
          <rPr>
            <sz val="9"/>
            <color indexed="81"/>
            <rFont val="Meiryo UI"/>
            <family val="2"/>
          </rPr>
          <t>https://docs.aws.amazon.com/AmazonRDS/latest/APIReference/API_DescribeDBParameters.html
https://dev.mysql.com/doc/refman/8.4/en/server-system-variables.html</t>
        </r>
      </text>
    </comment>
    <comment ref="B60" authorId="0">
      <text>
        <r>
          <rPr>
            <sz val="9"/>
            <color indexed="81"/>
            <rFont val="Meiryo UI"/>
            <family val="2"/>
          </rPr>
          <t>APIメタデータ: {"ParameterName": "host_cache_size", "Description": "The size of the internal host cache.", "Source": "engine-default", "ApplyType": "dynamic", "DataType": "integer", "AllowedValues": "0-65536", "IsModifiable": true, "ApplyMethod": "pending-reboot"}</t>
        </r>
      </text>
    </comment>
    <comment ref="E60" authorId="0">
      <text>
        <r>
          <rPr>
            <sz val="9"/>
            <color indexed="81"/>
            <rFont val="Meiryo UI"/>
            <family val="2"/>
          </rPr>
          <t>https://dev.mysql.com/doc/refman/8.4/en/server-system-variables.html#sysvar_host_cache_size
Community参考値でありAurora実効値ではありません。</t>
        </r>
      </text>
    </comment>
    <comment ref="M60"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61" authorId="0">
      <text>
        <r>
          <rPr>
            <sz val="9"/>
            <color indexed="81"/>
            <rFont val="Meiryo UI"/>
            <family val="2"/>
          </rPr>
          <t>APIメタデータ: {"ParameterName": "information_schema_stats_expiry", "Description": "The number of seconds after which mysqld server will fetch data from storage engine and replace the data in cache", "Source": "engine-default", "ApplyType": "dynamic", "DataType": "integer", "AllowedValues": "0-31536000", "IsModifiable": true, "ApplyMethod": "pending-reboot"}</t>
        </r>
      </text>
    </comment>
    <comment ref="E61" authorId="0">
      <text>
        <r>
          <rPr>
            <sz val="9"/>
            <color indexed="81"/>
            <rFont val="Meiryo UI"/>
            <family val="2"/>
          </rPr>
          <t>https://dev.mysql.com/doc/refman/8.4/en/server-system-variables.html#sysvar_information_schema_stats_expiry
Community参考値でありAurora実効値ではありません。</t>
        </r>
      </text>
    </comment>
    <comment ref="M6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62" authorId="0">
      <text>
        <r>
          <rPr>
            <sz val="9"/>
            <color indexed="81"/>
            <rFont val="Meiryo UI"/>
            <family val="2"/>
          </rPr>
          <t>APIメタデータ: {"ParameterName": "init_connect", "Description": "String to be executed by the server for each client that connects.", "Source": "engine-default", "ApplyType": "dynamic", "DataType": "string", "IsModifiable": true, "ApplyMethod": "pending-reboot"}</t>
        </r>
      </text>
    </comment>
    <comment ref="M62" authorId="0">
      <text>
        <r>
          <rPr>
            <sz val="9"/>
            <color indexed="81"/>
            <rFont val="Meiryo UI"/>
            <family val="2"/>
          </rPr>
          <t>https://docs.aws.amazon.com/AmazonRDS/latest/APIReference/API_DescribeDBParameters.html
https://docs.aws.amazon.com/AmazonRDS/latest/AuroraUserGuide/rds-proxy.html</t>
        </r>
      </text>
    </comment>
    <comment ref="B63" authorId="0">
      <text>
        <r>
          <rPr>
            <sz val="9"/>
            <color indexed="81"/>
            <rFont val="Meiryo UI"/>
            <family val="2"/>
          </rPr>
          <t>APIメタデータ: {"ParameterName": "innodb_adaptive_flushing", "Description": "Enables InnoDB Adaptive Flushing (default=on for RDS)", "Source": "engine-default", "ApplyType": "dynamic", "DataType": "boolean", "AllowedValues": "0,1", "IsModifiable": true, "ApplyMethod": "pending-reboot"}</t>
        </r>
      </text>
    </comment>
    <comment ref="E63" authorId="0">
      <text>
        <r>
          <rPr>
            <sz val="9"/>
            <color indexed="81"/>
            <rFont val="Meiryo UI"/>
            <family val="2"/>
          </rPr>
          <t>https://dev.mysql.com/doc/refman/8.4/en/innodb-parameters.html#sysvar_innodb_adaptive_flushing
Community参考値でありAurora実効値ではありません。</t>
        </r>
      </text>
    </comment>
    <comment ref="M63"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64" authorId="0">
      <text>
        <r>
          <rPr>
            <sz val="9"/>
            <color indexed="81"/>
            <rFont val="Meiryo UI"/>
            <family val="2"/>
          </rPr>
          <t>APIメタデータ: {"ParameterName": "innodb_adaptive_max_sleep_delay", "Description": "Allows InnoDB to automatically adjust the value of innodb_thread_concurrency up or down according to the current workload.", "Source": "engine-default", "ApplyType": "dynamic", "DataType": "integer", "AllowedValues": "0-1000000", "IsModifiable": true, "ApplyMethod": "pending-reboot"}</t>
        </r>
      </text>
    </comment>
    <comment ref="E64" authorId="0">
      <text>
        <r>
          <rPr>
            <sz val="9"/>
            <color indexed="81"/>
            <rFont val="Meiryo UI"/>
            <family val="2"/>
          </rPr>
          <t>https://dev.mysql.com/doc/refman/8.4/en/innodb-parameters.html#sysvar_innodb_adaptive_max_sleep_delay
Community参考値でありAurora実効値ではありません。</t>
        </r>
      </text>
    </comment>
    <comment ref="M64"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65" authorId="0">
      <text>
        <r>
          <rPr>
            <sz val="9"/>
            <color indexed="81"/>
            <rFont val="Meiryo UI"/>
            <family val="2"/>
          </rPr>
          <t>APIメタデータ: {"ParameterName": "innodb_aurora_max_partitions_for_range", "ParameterValue": "0", "Description": "Max number of partitions to check during range estimation.", "Source": "engine-default", "ApplyType": "dynamic", "DataType": "integer", "AllowedValues": "0-8192", "IsModifiable": true, "ApplyMethod": "pending-reboot"}</t>
        </r>
      </text>
    </comment>
    <comment ref="M65"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66" authorId="0">
      <text>
        <r>
          <rPr>
            <sz val="9"/>
            <color indexed="81"/>
            <rFont val="Meiryo UI"/>
            <family val="2"/>
          </rPr>
          <t>APIメタデータ: {"ParameterName": "innodb_buffer_pool_dump_at_shutdown", "ParameterValue": "0", "Description": "Specifies whether to record the pages cached in the InnoDB buffer pool when the MySQL server is shut down.", "Source": "engine-default", "ApplyType": "dynamic", "DataType": "boolean", "AllowedValues": "0,1", "IsModifiable": false, "ApplyMethod": "pending-reboot"}</t>
        </r>
      </text>
    </comment>
    <comment ref="E66" authorId="0">
      <text>
        <r>
          <rPr>
            <sz val="9"/>
            <color indexed="81"/>
            <rFont val="Meiryo UI"/>
            <family val="2"/>
          </rPr>
          <t>https://dev.mysql.com/doc/refman/8.4/en/innodb-parameters.html#sysvar_innodb_buffer_pool_dump_at_shutdown
Community参考値でありAurora実効値ではありません。</t>
        </r>
      </text>
    </comment>
    <comment ref="M66"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67" authorId="0">
      <text>
        <r>
          <rPr>
            <sz val="9"/>
            <color indexed="81"/>
            <rFont val="Meiryo UI"/>
            <family val="2"/>
          </rPr>
          <t>APIメタデータ: {"ParameterName": "innodb_buffer_pool_dump_now", "Description": "Immediately records the pages cached in the InnoDB buffer pool.", "Source": "engine-default", "ApplyType": "dynamic", "DataType": "boolean", "AllowedValues": "0,1", "IsModifiable": false, "ApplyMethod": "pending-reboot"}</t>
        </r>
      </text>
    </comment>
    <comment ref="E67" authorId="0">
      <text>
        <r>
          <rPr>
            <sz val="9"/>
            <color indexed="81"/>
            <rFont val="Meiryo UI"/>
            <family val="2"/>
          </rPr>
          <t>https://dev.mysql.com/doc/refman/8.4/en/innodb-parameters.html#sysvar_innodb_buffer_pool_dump_now
Community参考値でありAurora実効値ではありません。</t>
        </r>
      </text>
    </comment>
    <comment ref="M67"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68" authorId="0">
      <text>
        <r>
          <rPr>
            <sz val="9"/>
            <color indexed="81"/>
            <rFont val="Meiryo UI"/>
            <family val="2"/>
          </rPr>
          <t>APIメタデータ: {"ParameterName": "innodb_buffer_pool_filename", "Description": "Specifies the file that holds the list of page numbers produced by innodb_buffer_pool_dump_at_shutdown or innodb_buffer_pool_dump_now.", "Source": "engine-default", "ApplyType": "dynamic", "DataType": "string", "IsModifiable": false, "ApplyMethod": "pending-reboot"}</t>
        </r>
      </text>
    </comment>
    <comment ref="E68" authorId="0">
      <text>
        <r>
          <rPr>
            <sz val="9"/>
            <color indexed="81"/>
            <rFont val="Meiryo UI"/>
            <family val="2"/>
          </rPr>
          <t>https://dev.mysql.com/doc/refman/8.4/en/innodb-parameters.html#sysvar_innodb_buffer_pool_filename
Community参考値でありAurora実効値ではありません。</t>
        </r>
      </text>
    </comment>
    <comment ref="M68"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69" authorId="0">
      <text>
        <r>
          <rPr>
            <sz val="9"/>
            <color indexed="81"/>
            <rFont val="Meiryo UI"/>
            <family val="2"/>
          </rPr>
          <t>APIメタデータ: {"ParameterName": "innodb_buffer_pool_load_abort", "Description": "Interrupts the process of restoring InnoDB buffer pool contents triggered by innodb_buffer_pool_load_at_startup or innodb_buffer_pool_load_now.", "Source": "engine-default", "ApplyType": "dynamic", "DataType": "boolean", "AllowedValues": "0,1", "IsModifiable": false, "ApplyMethod": "pending-reboot"}</t>
        </r>
      </text>
    </comment>
    <comment ref="E69" authorId="0">
      <text>
        <r>
          <rPr>
            <sz val="9"/>
            <color indexed="81"/>
            <rFont val="Meiryo UI"/>
            <family val="2"/>
          </rPr>
          <t>https://dev.mysql.com/doc/refman/8.4/en/innodb-parameters.html#sysvar_innodb_buffer_pool_load_abort
Community参考値でありAurora実効値ではありません。</t>
        </r>
      </text>
    </comment>
    <comment ref="M69"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70" authorId="0">
      <text>
        <r>
          <rPr>
            <sz val="9"/>
            <color indexed="81"/>
            <rFont val="Meiryo UI"/>
            <family val="2"/>
          </rPr>
          <t>APIメタデータ: {"ParameterName": "innodb_buffer_pool_load_at_startup", "ParameterValue": "0", "Description": "Specifies that, on MySQL server startup, the InnoDB buffer pool is automatically warmed up by loading the same pages it held at an earlier time.", "Source": "engine-default", "ApplyType": "static", "DataType": "boolean", "AllowedValues": "0,1", "IsModifiable": false, "ApplyMethod": "pending-reboot"}</t>
        </r>
      </text>
    </comment>
    <comment ref="E70" authorId="0">
      <text>
        <r>
          <rPr>
            <sz val="9"/>
            <color indexed="81"/>
            <rFont val="Meiryo UI"/>
            <family val="2"/>
          </rPr>
          <t>https://dev.mysql.com/doc/refman/8.4/en/innodb-parameters.html#sysvar_innodb_buffer_pool_load_at_startup
Community参考値でありAurora実効値ではありません。</t>
        </r>
      </text>
    </comment>
    <comment ref="M70"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71" authorId="0">
      <text>
        <r>
          <rPr>
            <sz val="9"/>
            <color indexed="81"/>
            <rFont val="Meiryo UI"/>
            <family val="2"/>
          </rPr>
          <t>APIメタデータ: {"ParameterName": "innodb_buffer_pool_load_now", "Description": "Immediately warms up the InnoDB buffer pool by loading a set of data pages, without waiting for a server restart. ", "Source": "engine-default", "ApplyType": "dynamic", "DataType": "boolean", "AllowedValues": "0,1", "IsModifiable": false, "ApplyMethod": "pending-reboot"}</t>
        </r>
      </text>
    </comment>
    <comment ref="E71" authorId="0">
      <text>
        <r>
          <rPr>
            <sz val="9"/>
            <color indexed="81"/>
            <rFont val="Meiryo UI"/>
            <family val="2"/>
          </rPr>
          <t>https://dev.mysql.com/doc/refman/8.4/en/innodb-parameters.html#sysvar_innodb_buffer_pool_load_now
Community参考値でありAurora実効値ではありません。</t>
        </r>
      </text>
    </comment>
    <comment ref="M71"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72" authorId="0">
      <text>
        <r>
          <rPr>
            <sz val="9"/>
            <color indexed="81"/>
            <rFont val="Meiryo UI"/>
            <family val="2"/>
          </rPr>
          <t>APIメタデータ: {"ParameterName": "innodb_buffer_pool_size", "ParameterValue": "{DBInstanceClassMemory*3/4}", "Description": "The size in bytes of the memory buffer innodb uses to cache data and indexes of its tables", "Source": "system", "ApplyType": "static", "DataType": "integer", "AllowedValues": "335544320-9223372036854775807", "IsModifiable": true, "ApplyMethod": "pending-reboot"}</t>
        </r>
      </text>
    </comment>
    <comment ref="E72" authorId="0">
      <text>
        <r>
          <rPr>
            <sz val="9"/>
            <color indexed="81"/>
            <rFont val="Meiryo UI"/>
            <family val="2"/>
          </rPr>
          <t>https://dev.mysql.com/doc/refman/8.4/en/innodb-parameters.html#sysvar_innodb_buffer_pool_size
Community参考値でありAurora実効値ではありません。</t>
        </r>
      </text>
    </comment>
    <comment ref="M72" authorId="0">
      <text>
        <r>
          <rPr>
            <sz val="9"/>
            <color indexed="81"/>
            <rFont val="Meiryo UI"/>
            <family val="2"/>
          </rPr>
          <t>https://docs.aws.amazon.com/AmazonRDS/latest/APIReference/API_DescribeDBParameters.html
https://docs.aws.amazon.com/AmazonRDS/latest/AuroraUserGuide/aurora-serverless-v2.setting-capacity.html</t>
        </r>
      </text>
    </comment>
    <comment ref="B73" authorId="0">
      <text>
        <r>
          <rPr>
            <sz val="9"/>
            <color indexed="81"/>
            <rFont val="Meiryo UI"/>
            <family val="2"/>
          </rPr>
          <t>APIメタデータ: {"ParameterName": "innodb_change_buffer_max_size", "Description": "Maximum size for the InnoDB change buffer, as a percentage of the total size of the buffer pool.", "Source": "engine-default", "ApplyType": "dynamic", "DataType": "integer", "AllowedValues": "0-50", "IsModifiable": false, "ApplyMethod": "pending-reboot"}</t>
        </r>
      </text>
    </comment>
    <comment ref="E73" authorId="0">
      <text>
        <r>
          <rPr>
            <sz val="9"/>
            <color indexed="81"/>
            <rFont val="Meiryo UI"/>
            <family val="2"/>
          </rPr>
          <t>https://dev.mysql.com/doc/refman/8.4/en/innodb-parameters.html#sysvar_innodb_change_buffer_max_size
Community参考値でありAurora実効値ではありません。</t>
        </r>
      </text>
    </comment>
    <comment ref="M73"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74" authorId="0">
      <text>
        <r>
          <rPr>
            <sz val="9"/>
            <color indexed="81"/>
            <rFont val="Meiryo UI"/>
            <family val="2"/>
          </rPr>
          <t>APIメタデータ: {"ParameterName": "innodb_concurrency_tickets", "Description": "Number of times a thread can enter and leave Innodb before it is subject to innodb-thread-concurrency", "Source": "engine-default", "ApplyType": "dynamic", "DataType": "integer", "AllowedValues": "1-4294967295", "IsModifiable": true, "ApplyMethod": "pending-reboot"}</t>
        </r>
      </text>
    </comment>
    <comment ref="E74" authorId="0">
      <text>
        <r>
          <rPr>
            <sz val="9"/>
            <color indexed="81"/>
            <rFont val="Meiryo UI"/>
            <family val="2"/>
          </rPr>
          <t>https://dev.mysql.com/doc/refman/8.4/en/innodb-parameters.html#sysvar_innodb_concurrency_tickets
Community参考値でありAurora実効値ではありません。</t>
        </r>
      </text>
    </comment>
    <comment ref="M74"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75" authorId="0">
      <text>
        <r>
          <rPr>
            <sz val="9"/>
            <color indexed="81"/>
            <rFont val="Meiryo UI"/>
            <family val="2"/>
          </rPr>
          <t>APIメタデータ: {"ParameterName": "innodb_deadlock_detect", "ParameterValue": "ON", "Description": "Enable/disable InnoDB deadlock detector (default ON).", "Source": "engine-default", "ApplyType": "dynamic", "DataType": "string", "AllowedValues": "ON,OFF", "IsModifiable": true, "ApplyMethod": "pending-reboot"}</t>
        </r>
      </text>
    </comment>
    <comment ref="E75" authorId="0">
      <text>
        <r>
          <rPr>
            <sz val="9"/>
            <color indexed="81"/>
            <rFont val="Meiryo UI"/>
            <family val="2"/>
          </rPr>
          <t>https://dev.mysql.com/doc/refman/8.4/en/innodb-parameters.html#sysvar_innodb_deadlock_detect
Community参考値でありAurora実効値ではありません。</t>
        </r>
      </text>
    </comment>
    <comment ref="M75" authorId="0">
      <text>
        <r>
          <rPr>
            <sz val="9"/>
            <color indexed="81"/>
            <rFont val="Meiryo UI"/>
            <family val="2"/>
          </rPr>
          <t>https://docs.aws.amazon.com/AmazonRDS/latest/APIReference/API_DescribeDBParameters.html
https://dev.mysql.com/doc/refman/8.4/en/innodb-parameters.html</t>
        </r>
      </text>
    </comment>
    <comment ref="B76" authorId="0">
      <text>
        <r>
          <rPr>
            <sz val="9"/>
            <color indexed="81"/>
            <rFont val="Meiryo UI"/>
            <family val="2"/>
          </rPr>
          <t>APIメタデータ: {"ParameterName": "innodb_flushing_avg_loops", "Description": "Number of iterations for which InnoDB keeps the previously calculated snapshot of the flushing state, controlling how quickly adaptive flushing responds to changing workloads.", "Source": "engine-default", "ApplyType": "dynamic", "DataType": "integer", "AllowedValues": "1-1000", "IsModifiable": false, "ApplyMethod": "pending-reboot"}</t>
        </r>
      </text>
    </comment>
    <comment ref="E76" authorId="0">
      <text>
        <r>
          <rPr>
            <sz val="9"/>
            <color indexed="81"/>
            <rFont val="Meiryo UI"/>
            <family val="2"/>
          </rPr>
          <t>https://dev.mysql.com/doc/refman/8.4/en/innodb-parameters.html#sysvar_innodb_flushing_avg_loops
Community参考値でありAurora実効値ではありません。</t>
        </r>
      </text>
    </comment>
    <comment ref="M76"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77" authorId="0">
      <text>
        <r>
          <rPr>
            <sz val="9"/>
            <color indexed="81"/>
            <rFont val="Meiryo UI"/>
            <family val="2"/>
          </rPr>
          <t>APIメタデータ: {"ParameterName": "innodb_flush_log_at_timeout", "Description": "Write and flush the logs every N seconds. This setting has an effect only when innodb_flush_log_at_trx_commit has a value of 2.", "Source": "engine-default", "ApplyType": "dynamic", "DataType": "integer", "AllowedValues": "0-2700", "IsModifiable": false, "ApplyMethod": "pending-reboot"}</t>
        </r>
      </text>
    </comment>
    <comment ref="E77" authorId="0">
      <text>
        <r>
          <rPr>
            <sz val="9"/>
            <color indexed="81"/>
            <rFont val="Meiryo UI"/>
            <family val="2"/>
          </rPr>
          <t>https://dev.mysql.com/doc/refman/8.4/en/innodb-parameters.html#sysvar_innodb_flush_log_at_timeout
Community参考値でありAurora実効値ではありません。</t>
        </r>
      </text>
    </comment>
    <comment ref="M77" authorId="0">
      <text>
        <r>
          <rPr>
            <sz val="9"/>
            <color indexed="81"/>
            <rFont val="Meiryo UI"/>
            <family val="2"/>
          </rPr>
          <t>https://docs.aws.amazon.com/AmazonRDS/latest/APIReference/API_DescribeDBParameters.html
https://dev.mysql.com/doc/refman/8.4/en/server-system-variables.html
https://dev.mysql.com/doc/refman/8.4/en/innodb-parameters.html</t>
        </r>
      </text>
    </comment>
    <comment ref="B78" authorId="0">
      <text>
        <r>
          <rPr>
            <sz val="9"/>
            <color indexed="81"/>
            <rFont val="Meiryo UI"/>
            <family val="2"/>
          </rPr>
          <t>APIメタデータ: {"ParameterName": "innodb_flush_method", "ParameterValue": "O_DIRECT", "Description": "Determines Innodb flush method", "Source": "system", "ApplyType": "static", "DataType": "string", "AllowedValues": "O_DIRECT", "IsModifiable": false, "ApplyMethod": "pending-reboot"}</t>
        </r>
      </text>
    </comment>
    <comment ref="E78" authorId="0">
      <text>
        <r>
          <rPr>
            <sz val="9"/>
            <color indexed="81"/>
            <rFont val="Meiryo UI"/>
            <family val="2"/>
          </rPr>
          <t>https://dev.mysql.com/doc/refman/8.4/en/innodb-parameters.html#sysvar_innodb_flush_method
Community参考値でありAurora実効値ではありません。</t>
        </r>
      </text>
    </comment>
    <comment ref="M78"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79" authorId="0">
      <text>
        <r>
          <rPr>
            <sz val="9"/>
            <color indexed="81"/>
            <rFont val="Meiryo UI"/>
            <family val="2"/>
          </rPr>
          <t>APIメタデータ: {"ParameterName": "innodb_flush_neighbors", "Description": "Specifies whether flushing a page from the InnoDB buffer pool also flushes other dirty pages in the same extent.", "Source": "engine-default", "ApplyType": "dynamic", "DataType": "integer", "AllowedValues": "0-2", "IsModifiable": false, "ApplyMethod": "pending-reboot"}</t>
        </r>
      </text>
    </comment>
    <comment ref="E79" authorId="0">
      <text>
        <r>
          <rPr>
            <sz val="9"/>
            <color indexed="81"/>
            <rFont val="Meiryo UI"/>
            <family val="2"/>
          </rPr>
          <t>https://dev.mysql.com/doc/refman/8.4/en/innodb-parameters.html#sysvar_innodb_flush_neighbors
Community参考値でありAurora実効値ではありません。</t>
        </r>
      </text>
    </comment>
    <comment ref="M79"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80" authorId="0">
      <text>
        <r>
          <rPr>
            <sz val="9"/>
            <color indexed="81"/>
            <rFont val="Meiryo UI"/>
            <family val="2"/>
          </rPr>
          <t>APIメタデータ: {"ParameterName": "innodb_force_load_corrupted", "Description": "Lets InnoDB load tables at startup that are marked as corrupted", "Source": "engine-default", "ApplyType": "static", "DataType": "boolean", "AllowedValues": "0,1", "IsModifiable": false, "ApplyMethod": "pending-reboot"}</t>
        </r>
      </text>
    </comment>
    <comment ref="E80" authorId="0">
      <text>
        <r>
          <rPr>
            <sz val="9"/>
            <color indexed="81"/>
            <rFont val="Meiryo UI"/>
            <family val="2"/>
          </rPr>
          <t>https://dev.mysql.com/doc/refman/8.4/en/innodb-parameters.html#sysvar_innodb_force_load_corrupted
Community参考値でありAurora実効値ではありません。</t>
        </r>
      </text>
    </comment>
    <comment ref="M80"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81" authorId="0">
      <text>
        <r>
          <rPr>
            <sz val="9"/>
            <color indexed="81"/>
            <rFont val="Meiryo UI"/>
            <family val="2"/>
          </rPr>
          <t>APIメタデータ: {"ParameterName": "innodb_ft_aux_table", "Description": "Specifies the qualified name of an InnoDB table containing a FULLTEXT index.", "Source": "engine-default", "ApplyType": "dynamic", "DataType": "string", "IsModifiable": true, "ApplyMethod": "pending-reboot"}</t>
        </r>
      </text>
    </comment>
    <comment ref="M81" authorId="0">
      <text>
        <r>
          <rPr>
            <sz val="9"/>
            <color indexed="81"/>
            <rFont val="Meiryo UI"/>
            <family val="2"/>
          </rPr>
          <t>https://docs.aws.amazon.com/AmazonRDS/latest/APIReference/API_DescribeDBParameters.html
https://dev.mysql.com/doc/refman/8.4/en/innodb-parameters.html</t>
        </r>
      </text>
    </comment>
    <comment ref="B82" authorId="0">
      <text>
        <r>
          <rPr>
            <sz val="9"/>
            <color indexed="81"/>
            <rFont val="Meiryo UI"/>
            <family val="2"/>
          </rPr>
          <t>APIメタデータ: {"ParameterName": "innodb_ft_cache_size", "Description": "Size of the cache that holds a parsed document in memory while creating an InnoDB FULLTEXT index.", "Source": "engine-default", "ApplyType": "static", "DataType": "integer", "AllowedValues": "0-4294967295", "IsModifiable": true, "ApplyMethod": "pending-reboot"}</t>
        </r>
      </text>
    </comment>
    <comment ref="E82" authorId="0">
      <text>
        <r>
          <rPr>
            <sz val="9"/>
            <color indexed="81"/>
            <rFont val="Meiryo UI"/>
            <family val="2"/>
          </rPr>
          <t>https://dev.mysql.com/doc/refman/8.4/en/innodb-parameters.html#sysvar_innodb_ft_cache_size
Community参考値でありAurora実効値ではありません。</t>
        </r>
      </text>
    </comment>
    <comment ref="M82" authorId="0">
      <text>
        <r>
          <rPr>
            <sz val="9"/>
            <color indexed="81"/>
            <rFont val="Meiryo UI"/>
            <family val="2"/>
          </rPr>
          <t>https://docs.aws.amazon.com/AmazonRDS/latest/APIReference/API_DescribeDBParameters.html
https://dev.mysql.com/doc/refman/8.4/en/innodb-parameters.html</t>
        </r>
      </text>
    </comment>
    <comment ref="B83" authorId="0">
      <text>
        <r>
          <rPr>
            <sz val="9"/>
            <color indexed="81"/>
            <rFont val="Meiryo UI"/>
            <family val="2"/>
          </rPr>
          <t>APIメタデータ: {"ParameterName": "innodb_ft_enable_stopword", "Description": "Specifies that a set of stopwords is associated with an InnoDB FULLTEXT index at the time the index is created.", "Source": "engine-default", "ApplyType": "dynamic", "DataType": "boolean", "AllowedValues": "0,1", "IsModifiable": true, "ApplyMethod": "pending-reboot"}</t>
        </r>
      </text>
    </comment>
    <comment ref="E83" authorId="0">
      <text>
        <r>
          <rPr>
            <sz val="9"/>
            <color indexed="81"/>
            <rFont val="Meiryo UI"/>
            <family val="2"/>
          </rPr>
          <t>https://dev.mysql.com/doc/refman/8.4/en/innodb-parameters.html#sysvar_innodb_ft_enable_stopword
Community参考値でありAurora実効値ではありません。</t>
        </r>
      </text>
    </comment>
    <comment ref="M83" authorId="0">
      <text>
        <r>
          <rPr>
            <sz val="9"/>
            <color indexed="81"/>
            <rFont val="Meiryo UI"/>
            <family val="2"/>
          </rPr>
          <t>https://docs.aws.amazon.com/AmazonRDS/latest/APIReference/API_DescribeDBParameters.html
https://dev.mysql.com/doc/refman/8.4/en/innodb-parameters.html</t>
        </r>
      </text>
    </comment>
    <comment ref="B84" authorId="0">
      <text>
        <r>
          <rPr>
            <sz val="9"/>
            <color indexed="81"/>
            <rFont val="Meiryo UI"/>
            <family val="2"/>
          </rPr>
          <t>APIメタデータ: {"ParameterName": "innodb_ft_server_stopword_table", "Description": "Name of the table containing a list of words to ignore when creating an InnoDB FULLTEXT index, in the format db_name/table_name.", "Source": "engine-default", "ApplyType": "dynamic", "DataType": "string", "IsModifiable": true, "ApplyMethod": "pending-reboot"}</t>
        </r>
      </text>
    </comment>
    <comment ref="E84" authorId="0">
      <text>
        <r>
          <rPr>
            <sz val="9"/>
            <color indexed="81"/>
            <rFont val="Meiryo UI"/>
            <family val="2"/>
          </rPr>
          <t>https://dev.mysql.com/doc/refman/8.4/en/innodb-parameters.html#sysvar_innodb_ft_server_stopword_table
Community参考値でありAurora実効値ではありません。</t>
        </r>
      </text>
    </comment>
    <comment ref="M84" authorId="0">
      <text>
        <r>
          <rPr>
            <sz val="9"/>
            <color indexed="81"/>
            <rFont val="Meiryo UI"/>
            <family val="2"/>
          </rPr>
          <t>https://docs.aws.amazon.com/AmazonRDS/latest/APIReference/API_DescribeDBParameters.html
https://dev.mysql.com/doc/refman/8.4/en/innodb-parameters.html</t>
        </r>
      </text>
    </comment>
    <comment ref="B85" authorId="0">
      <text>
        <r>
          <rPr>
            <sz val="9"/>
            <color indexed="81"/>
            <rFont val="Meiryo UI"/>
            <family val="2"/>
          </rPr>
          <t>APIメタデータ: {"ParameterName": "innodb_ft_user_stopword_table", "Description": "Name of the table containing a list of words to ignore when creating an InnoDB FULLTEXT index, in the format db_name/table_name.", "Source": "engine-default", "ApplyType": "dynamic", "DataType": "string", "IsModifiable": true, "ApplyMethod": "pending-reboot"}</t>
        </r>
      </text>
    </comment>
    <comment ref="E85" authorId="0">
      <text>
        <r>
          <rPr>
            <sz val="9"/>
            <color indexed="81"/>
            <rFont val="Meiryo UI"/>
            <family val="2"/>
          </rPr>
          <t>https://dev.mysql.com/doc/refman/8.4/en/innodb-parameters.html#sysvar_innodb_ft_user_stopword_table
Community参考値でありAurora実効値ではありません。</t>
        </r>
      </text>
    </comment>
    <comment ref="M85" authorId="0">
      <text>
        <r>
          <rPr>
            <sz val="9"/>
            <color indexed="81"/>
            <rFont val="Meiryo UI"/>
            <family val="2"/>
          </rPr>
          <t>https://docs.aws.amazon.com/AmazonRDS/latest/APIReference/API_DescribeDBParameters.html
https://dev.mysql.com/doc/refman/8.4/en/innodb-parameters.html</t>
        </r>
      </text>
    </comment>
    <comment ref="B86" authorId="0">
      <text>
        <r>
          <rPr>
            <sz val="9"/>
            <color indexed="81"/>
            <rFont val="Meiryo UI"/>
            <family val="2"/>
          </rPr>
          <t>APIメタデータ: {"ParameterName": "innodb_io_capacity", "Description": "The maximum number of I/O operations per second that InnoDB will perform.", "Source": "engine-default", "ApplyType": "dynamic", "DataType": "integer", "AllowedValues": "100-18446744073709551615", "IsModifiable": false, "ApplyMethod": "pending-reboot"}</t>
        </r>
      </text>
    </comment>
    <comment ref="E86" authorId="0">
      <text>
        <r>
          <rPr>
            <sz val="9"/>
            <color indexed="81"/>
            <rFont val="Meiryo UI"/>
            <family val="2"/>
          </rPr>
          <t>https://dev.mysql.com/doc/refman/8.4/en/innodb-parameters.html#sysvar_innodb_io_capacity
Community参考値でありAurora実効値ではありません。</t>
        </r>
      </text>
    </comment>
    <comment ref="M86"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87" authorId="0">
      <text>
        <r>
          <rPr>
            <sz val="9"/>
            <color indexed="81"/>
            <rFont val="Meiryo UI"/>
            <family val="2"/>
          </rPr>
          <t>APIメタデータ: {"ParameterName": "innodb_io_capacity_max", "Description": "The limit up to which InnoDB is allowed to extend the innodb_io_capacity setting in case of emergency.", "Source": "engine-default", "ApplyType": "dynamic", "DataType": "integer", "AllowedValues": "2000-18446744073709547520", "IsModifiable": false, "ApplyMethod": "pending-reboot"}</t>
        </r>
      </text>
    </comment>
    <comment ref="E87" authorId="0">
      <text>
        <r>
          <rPr>
            <sz val="9"/>
            <color indexed="81"/>
            <rFont val="Meiryo UI"/>
            <family val="2"/>
          </rPr>
          <t>https://dev.mysql.com/doc/refman/8.4/en/innodb-parameters.html#sysvar_innodb_io_capacity_max
Community参考値でありAurora実効値ではありません。</t>
        </r>
      </text>
    </comment>
    <comment ref="M87"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88" authorId="0">
      <text>
        <r>
          <rPr>
            <sz val="9"/>
            <color indexed="81"/>
            <rFont val="Meiryo UI"/>
            <family val="2"/>
          </rPr>
          <t>APIメタデータ: {"ParameterName": "innodb_lock_wait_timeout", "Description": "Timeout in seconds an innodb transaction may wait for a row lock before giving up", "Source": "engine-default", "ApplyType": "dynamic", "DataType": "integer", "AllowedValues": "1-1073741824", "IsModifiable": true, "ApplyMethod": "pending-reboot"}</t>
        </r>
      </text>
    </comment>
    <comment ref="E88" authorId="0">
      <text>
        <r>
          <rPr>
            <sz val="9"/>
            <color indexed="81"/>
            <rFont val="Meiryo UI"/>
            <family val="2"/>
          </rPr>
          <t>https://dev.mysql.com/doc/refman/8.4/en/innodb-parameters.html#sysvar_innodb_lock_wait_timeout
Community参考値でありAurora実効値ではありません。</t>
        </r>
      </text>
    </comment>
    <comment ref="M88" authorId="0">
      <text>
        <r>
          <rPr>
            <sz val="9"/>
            <color indexed="81"/>
            <rFont val="Meiryo UI"/>
            <family val="2"/>
          </rPr>
          <t>https://docs.aws.amazon.com/AmazonRDS/latest/APIReference/API_DescribeDBParameters.html
https://dev.mysql.com/doc/refman/8.4/en/innodb-parameters.html</t>
        </r>
      </text>
    </comment>
    <comment ref="B89" authorId="0">
      <text>
        <r>
          <rPr>
            <sz val="9"/>
            <color indexed="81"/>
            <rFont val="Meiryo UI"/>
            <family val="2"/>
          </rPr>
          <t>APIメタデータ: {"ParameterName": "innodb_log_compressed_pages", "Description": "Specifies whether images of re-compressed pages are stored in InnoDB redo logs. ", "Source": "engine-default", "ApplyType": "dynamic", "DataType": "boolean", "AllowedValues": "0,1", "IsModifiable": false, "ApplyMethod": "pending-reboot"}</t>
        </r>
      </text>
    </comment>
    <comment ref="E89" authorId="0">
      <text>
        <r>
          <rPr>
            <sz val="9"/>
            <color indexed="81"/>
            <rFont val="Meiryo UI"/>
            <family val="2"/>
          </rPr>
          <t>https://dev.mysql.com/doc/refman/8.4/en/innodb-parameters.html#sysvar_innodb_log_compressed_pages
Community参考値でありAurora実効値ではありません。</t>
        </r>
      </text>
    </comment>
    <comment ref="M89"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0" authorId="0">
      <text>
        <r>
          <rPr>
            <sz val="9"/>
            <color indexed="81"/>
            <rFont val="Meiryo UI"/>
            <family val="2"/>
          </rPr>
          <t>APIメタデータ: {"ParameterName": "innodb_lru_scan_depth", "Description": "A parameter that influences the algorithms and heuristics for the flush operation for the InnoDB buffer pool.", "Source": "engine-default", "ApplyType": "dynamic", "DataType": "integer", "AllowedValues": "100-18446744073709551615", "IsModifiable": true, "ApplyMethod": "pending-reboot"}</t>
        </r>
      </text>
    </comment>
    <comment ref="E90" authorId="0">
      <text>
        <r>
          <rPr>
            <sz val="9"/>
            <color indexed="81"/>
            <rFont val="Meiryo UI"/>
            <family val="2"/>
          </rPr>
          <t>https://dev.mysql.com/doc/refman/8.4/en/innodb-parameters.html#sysvar_innodb_lru_scan_depth
Community参考値でありAurora実効値ではありません。</t>
        </r>
      </text>
    </comment>
    <comment ref="M90"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1" authorId="0">
      <text>
        <r>
          <rPr>
            <sz val="9"/>
            <color indexed="81"/>
            <rFont val="Meiryo UI"/>
            <family val="2"/>
          </rPr>
          <t>APIメタデータ: {"ParameterName": "innodb_max_dirty_pages_pct", "Description": "Maximum percentage of dirty pages in the buffer pool", "Source": "engine-default", "ApplyType": "dynamic", "DataType": "integer", "AllowedValues": "0-99", "IsModifiable": true, "ApplyMethod": "pending-reboot"}</t>
        </r>
      </text>
    </comment>
    <comment ref="E91" authorId="0">
      <text>
        <r>
          <rPr>
            <sz val="9"/>
            <color indexed="81"/>
            <rFont val="Meiryo UI"/>
            <family val="2"/>
          </rPr>
          <t>https://dev.mysql.com/doc/refman/8.4/en/innodb-parameters.html#sysvar_innodb_max_dirty_pages_pct
Community参考値でありAurora実効値ではありません。</t>
        </r>
      </text>
    </comment>
    <comment ref="M91"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2" authorId="0">
      <text>
        <r>
          <rPr>
            <sz val="9"/>
            <color indexed="81"/>
            <rFont val="Meiryo UI"/>
            <family val="2"/>
          </rPr>
          <t>APIメタデータ: {"ParameterName": "innodb_max_purge_lag", "Description": "Controls how to delay INSERT, UPDATE, and DELETE operations when purge operations are lagging", "Source": "engine-default", "ApplyType": "dynamic", "DataType": "integer", "AllowedValues": "0-4294967295", "IsModifiable": true, "ApplyMethod": "pending-reboot"}</t>
        </r>
      </text>
    </comment>
    <comment ref="E92" authorId="0">
      <text>
        <r>
          <rPr>
            <sz val="9"/>
            <color indexed="81"/>
            <rFont val="Meiryo UI"/>
            <family val="2"/>
          </rPr>
          <t>https://dev.mysql.com/doc/refman/8.4/en/innodb-parameters.html#sysvar_innodb_max_purge_lag
Community参考値でありAurora実効値ではありません。</t>
        </r>
      </text>
    </comment>
    <comment ref="M92"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3" authorId="0">
      <text>
        <r>
          <rPr>
            <sz val="9"/>
            <color indexed="81"/>
            <rFont val="Meiryo UI"/>
            <family val="2"/>
          </rPr>
          <t>APIメタデータ: {"ParameterName": "innodb_max_purge_lag_delay", "Description": "Specifies the maximum delay in microseconds for the delay imposed by the innodb_max_purge_lag configuration option", "Source": "engine-default", "ApplyType": "dynamic", "DataType": "integer", "AllowedValues": "0-18446744073709551615", "IsModifiable": true, "ApplyMethod": "pending-reboot"}</t>
        </r>
      </text>
    </comment>
    <comment ref="E93" authorId="0">
      <text>
        <r>
          <rPr>
            <sz val="9"/>
            <color indexed="81"/>
            <rFont val="Meiryo UI"/>
            <family val="2"/>
          </rPr>
          <t>https://dev.mysql.com/doc/refman/8.4/en/innodb-parameters.html#sysvar_innodb_max_purge_lag_delay
Community参考値でありAurora実効値ではありません。</t>
        </r>
      </text>
    </comment>
    <comment ref="M93"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4" authorId="0">
      <text>
        <r>
          <rPr>
            <sz val="9"/>
            <color indexed="81"/>
            <rFont val="Meiryo UI"/>
            <family val="2"/>
          </rPr>
          <t>APIメタデータ: {"ParameterName": "innodb_monitor_disable", "Description": "Turns off one or more counters in the information_schema.innodb_metrics table.", "Source": "engine-default", "ApplyType": "dynamic", "DataType": "string", "IsModifiable": true, "ApplyMethod": "pending-reboot"}</t>
        </r>
      </text>
    </comment>
    <comment ref="M94"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5" authorId="0">
      <text>
        <r>
          <rPr>
            <sz val="9"/>
            <color indexed="81"/>
            <rFont val="Meiryo UI"/>
            <family val="2"/>
          </rPr>
          <t>APIメタデータ: {"ParameterName": "innodb_monitor_enable", "Description": "Turns on one or more counters in the information_schema.innodb_metrics table.", "Source": "engine-default", "ApplyType": "dynamic", "DataType": "string", "IsModifiable": true, "ApplyMethod": "pending-reboot"}</t>
        </r>
      </text>
    </comment>
    <comment ref="M95"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6" authorId="0">
      <text>
        <r>
          <rPr>
            <sz val="9"/>
            <color indexed="81"/>
            <rFont val="Meiryo UI"/>
            <family val="2"/>
          </rPr>
          <t>APIメタデータ: {"ParameterName": "innodb_monitor_reset", "Description": "Resets to zero the count value for one or more counters in the information_schema.innodb_metrics table.", "Source": "engine-default", "ApplyType": "dynamic", "DataType": "string", "IsModifiable": true, "ApplyMethod": "pending-reboot"}</t>
        </r>
      </text>
    </comment>
    <comment ref="E96" authorId="0">
      <text>
        <r>
          <rPr>
            <sz val="9"/>
            <color indexed="81"/>
            <rFont val="Meiryo UI"/>
            <family val="2"/>
          </rPr>
          <t>https://dev.mysql.com/doc/refman/8.4/en/innodb-parameters.html#sysvar_innodb_monitor_reset
Community参考値でありAurora実効値ではありません。</t>
        </r>
      </text>
    </comment>
    <comment ref="M96"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7" authorId="0">
      <text>
        <r>
          <rPr>
            <sz val="9"/>
            <color indexed="81"/>
            <rFont val="Meiryo UI"/>
            <family val="2"/>
          </rPr>
          <t>APIメタデータ: {"ParameterName": "innodb_monitor_reset_all", "Description": "Resets all values (minimum, maximum, and so on) for one or more counters in the information_schema.innodb_metrics table.", "Source": "engine-default", "ApplyType": "dynamic", "DataType": "string", "IsModifiable": true, "ApplyMethod": "pending-reboot"}</t>
        </r>
      </text>
    </comment>
    <comment ref="E97" authorId="0">
      <text>
        <r>
          <rPr>
            <sz val="9"/>
            <color indexed="81"/>
            <rFont val="Meiryo UI"/>
            <family val="2"/>
          </rPr>
          <t>https://dev.mysql.com/doc/refman/8.4/en/innodb-parameters.html#sysvar_innodb_monitor_reset_all
Community参考値でありAurora実効値ではありません。</t>
        </r>
      </text>
    </comment>
    <comment ref="M97"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8" authorId="0">
      <text>
        <r>
          <rPr>
            <sz val="9"/>
            <color indexed="81"/>
            <rFont val="Meiryo UI"/>
            <family val="2"/>
          </rPr>
          <t>APIメタデータ: {"ParameterName": "innodb_old_blocks_pct", "Description": "Specifies the approximate percentage of the InnoDB buffer pool used for the old block sublist.", "Source": "engine-default", "ApplyType": "dynamic", "DataType": "integer", "AllowedValues": "5-95", "IsModifiable": true, "ApplyMethod": "pending-reboot"}</t>
        </r>
      </text>
    </comment>
    <comment ref="E98" authorId="0">
      <text>
        <r>
          <rPr>
            <sz val="9"/>
            <color indexed="81"/>
            <rFont val="Meiryo UI"/>
            <family val="2"/>
          </rPr>
          <t>https://dev.mysql.com/doc/refman/8.4/en/innodb-parameters.html#sysvar_innodb_old_blocks_pct
Community参考値でありAurora実効値ではありません。</t>
        </r>
      </text>
    </comment>
    <comment ref="M98"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99" authorId="0">
      <text>
        <r>
          <rPr>
            <sz val="9"/>
            <color indexed="81"/>
            <rFont val="Meiryo UI"/>
            <family val="2"/>
          </rPr>
          <t>APIメタデータ: {"ParameterName": "innodb_old_blocks_time", "Description": "Specifies how long in milliseconds (ms) a block inserted into the old sublist must stay there after its first access before it can be moved to the new sublist.", "Source": "engine-default", "ApplyType": "dynamic", "DataType": "integer", "AllowedValues": "0-4294967295", "IsModifiable": true, "ApplyMethod": "pending-reboot"}</t>
        </r>
      </text>
    </comment>
    <comment ref="E99" authorId="0">
      <text>
        <r>
          <rPr>
            <sz val="9"/>
            <color indexed="81"/>
            <rFont val="Meiryo UI"/>
            <family val="2"/>
          </rPr>
          <t>https://dev.mysql.com/doc/refman/8.4/en/innodb-parameters.html#sysvar_innodb_old_blocks_time
Community参考値でありAurora実効値ではありません。</t>
        </r>
      </text>
    </comment>
    <comment ref="M99"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00" authorId="0">
      <text>
        <r>
          <rPr>
            <sz val="9"/>
            <color indexed="81"/>
            <rFont val="Meiryo UI"/>
            <family val="2"/>
          </rPr>
          <t>APIメタデータ: {"ParameterName": "innodb_open_files", "Description": "Relevant only if you use multiple tablespaces in innodb. It specifies the maximum number of .ibd files that innodb can keep open at one time", "Source": "engine-default", "ApplyType": "static", "DataType": "integer", "AllowedValues": "-1,10-4294967295", "IsModifiable": true, "ApplyMethod": "pending-reboot"}</t>
        </r>
      </text>
    </comment>
    <comment ref="E100" authorId="0">
      <text>
        <r>
          <rPr>
            <sz val="9"/>
            <color indexed="81"/>
            <rFont val="Meiryo UI"/>
            <family val="2"/>
          </rPr>
          <t>https://dev.mysql.com/doc/refman/8.4/en/innodb-parameters.html#sysvar_innodb_open_files
Community参考値でありAurora実効値ではありません。</t>
        </r>
      </text>
    </comment>
    <comment ref="M100"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01" authorId="0">
      <text>
        <r>
          <rPr>
            <sz val="9"/>
            <color indexed="81"/>
            <rFont val="Meiryo UI"/>
            <family val="2"/>
          </rPr>
          <t>APIメタデータ: {"ParameterName": "innodb_parallel_read_threads", "Description": "Defines the number of threads that can be used for parallel clustered index reads", "Source": "engine-default", "ApplyType": "dynamic", "DataType": "integer", "AllowedValues": "1-256", "IsModifiable": true, "ApplyMethod": "pending-reboot"}</t>
        </r>
      </text>
    </comment>
    <comment ref="E101" authorId="0">
      <text>
        <r>
          <rPr>
            <sz val="9"/>
            <color indexed="81"/>
            <rFont val="Meiryo UI"/>
            <family val="2"/>
          </rPr>
          <t>https://dev.mysql.com/doc/refman/8.4/en/innodb-parameters.html#sysvar_innodb_parallel_read_threads
Community参考値でありAurora実効値ではありません。</t>
        </r>
      </text>
    </comment>
    <comment ref="M101"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02" authorId="0">
      <text>
        <r>
          <rPr>
            <sz val="9"/>
            <color indexed="81"/>
            <rFont val="Meiryo UI"/>
            <family val="2"/>
          </rPr>
          <t>APIメタデータ: {"ParameterName": "innodb_print_all_deadlocks", "Description": "Records information about all InnoDB deadlocks in Aurora error log.", "Source": "engine-default", "ApplyType": "dynamic", "DataType": "boolean", "AllowedValues": "0,1", "IsModifiable": true, "ApplyMethod": "pending-reboot"}</t>
        </r>
      </text>
    </comment>
    <comment ref="E102" authorId="0">
      <text>
        <r>
          <rPr>
            <sz val="9"/>
            <color indexed="81"/>
            <rFont val="Meiryo UI"/>
            <family val="2"/>
          </rPr>
          <t>https://dev.mysql.com/doc/refman/8.4/en/innodb-parameters.html#sysvar_innodb_print_all_deadlocks
Community参考値でありAurora実効値ではありません。</t>
        </r>
      </text>
    </comment>
    <comment ref="M102" authorId="0">
      <text>
        <r>
          <rPr>
            <sz val="9"/>
            <color indexed="81"/>
            <rFont val="Meiryo UI"/>
            <family val="2"/>
          </rPr>
          <t>https://docs.aws.amazon.com/AmazonRDS/latest/APIReference/API_DescribeDBParameters.html
https://docs.aws.amazon.com/AmazonRDS/latest/AuroraUserGuide/AuroraMySQL.Reference.ParameterGroups.html</t>
        </r>
      </text>
    </comment>
    <comment ref="B103" authorId="0">
      <text>
        <r>
          <rPr>
            <sz val="9"/>
            <color indexed="81"/>
            <rFont val="Meiryo UI"/>
            <family val="2"/>
          </rPr>
          <t>APIメタデータ: {"ParameterName": "innodb_read_io_threads", "Description": "The number of I/O threads for read operations in InnoDB.", "Source": "engine-default", "ApplyType": "static", "DataType": "integer", "AllowedValues": "1-64", "IsModifiable": false, "ApplyMethod": "pending-reboot"}</t>
        </r>
      </text>
    </comment>
    <comment ref="E103" authorId="0">
      <text>
        <r>
          <rPr>
            <sz val="9"/>
            <color indexed="81"/>
            <rFont val="Meiryo UI"/>
            <family val="2"/>
          </rPr>
          <t>https://dev.mysql.com/doc/refman/8.4/en/innodb-parameters.html#sysvar_innodb_read_io_threads
Community参考値でありAurora実効値ではありません。</t>
        </r>
      </text>
    </comment>
    <comment ref="M103"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04" authorId="0">
      <text>
        <r>
          <rPr>
            <sz val="9"/>
            <color indexed="81"/>
            <rFont val="Meiryo UI"/>
            <family val="2"/>
          </rPr>
          <t>APIメタデータ: {"ParameterName": "innodb_read_only", "Description": "Starts the server in read-only mode.", "Source": "engine-default", "ApplyType": "static", "DataType": "boolean", "AllowedValues": "0,1", "IsModifiable": false, "ApplyMethod": "pending-reboot"}</t>
        </r>
      </text>
    </comment>
    <comment ref="E104" authorId="0">
      <text>
        <r>
          <rPr>
            <sz val="9"/>
            <color indexed="81"/>
            <rFont val="Meiryo UI"/>
            <family val="2"/>
          </rPr>
          <t>https://dev.mysql.com/doc/refman/8.4/en/innodb-parameters.html#sysvar_innodb_read_only
Community参考値でありAurora実効値ではありません。</t>
        </r>
      </text>
    </comment>
    <comment ref="M104"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05" authorId="0">
      <text>
        <r>
          <rPr>
            <sz val="9"/>
            <color indexed="81"/>
            <rFont val="Meiryo UI"/>
            <family val="2"/>
          </rPr>
          <t>APIメタデータ: {"ParameterName": "innodb_replication_delay", "Description": "The replication thread delay (in ms) on a replica server if innodb_thread_concurrency is reached.", "Source": "engine-default", "ApplyType": "dynamic", "DataType": "integer", "AllowedValues": "0-4294967295", "IsModifiable": true, "ApplyMethod": "pending-reboot"}</t>
        </r>
      </text>
    </comment>
    <comment ref="E105" authorId="0">
      <text>
        <r>
          <rPr>
            <sz val="9"/>
            <color indexed="81"/>
            <rFont val="Meiryo UI"/>
            <family val="2"/>
          </rPr>
          <t>https://dev.mysql.com/doc/refman/8.4/en/innodb-parameters.html#sysvar_innodb_replication_delay
Community参考値でありAurora実効値ではありません。</t>
        </r>
      </text>
    </comment>
    <comment ref="M105"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06" authorId="0">
      <text>
        <r>
          <rPr>
            <sz val="9"/>
            <color indexed="81"/>
            <rFont val="Meiryo UI"/>
            <family val="2"/>
          </rPr>
          <t>APIメタデータ: {"ParameterName": "innodb_sort_buffer_size", "Description": "Specifies the sizes of several buffers used for sorting data during creation of an InnoDB index.", "Source": "engine-default", "ApplyType": "static", "DataType": "integer", "AllowedValues": "65536-67108864", "IsModifiable": true, "ApplyMethod": "pending-reboot"}</t>
        </r>
      </text>
    </comment>
    <comment ref="E106" authorId="0">
      <text>
        <r>
          <rPr>
            <sz val="9"/>
            <color indexed="81"/>
            <rFont val="Meiryo UI"/>
            <family val="2"/>
          </rPr>
          <t>https://dev.mysql.com/doc/refman/8.4/en/innodb-parameters.html#sysvar_innodb_sort_buffer_size
Community参考値でありAurora実効値ではありません。</t>
        </r>
      </text>
    </comment>
    <comment ref="M106"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107" authorId="0">
      <text>
        <r>
          <rPr>
            <sz val="9"/>
            <color indexed="81"/>
            <rFont val="Meiryo UI"/>
            <family val="2"/>
          </rPr>
          <t>APIメタデータ: {"ParameterName": "innodb_spin_wait_pause_multiplier", "Description": "Defines a multiplier value used to determine the number of PAUSE instructions in spin-wait loops that occur when a thread waits to acquire a mutex or rw-lock.", "Source": "engine-default", "ApplyType": "dynamic", "DataType": "integer", "AllowedValues": "1-100", "IsModifiable": true, "ApplyMethod": "pending-reboot"}</t>
        </r>
      </text>
    </comment>
    <comment ref="E107" authorId="0">
      <text>
        <r>
          <rPr>
            <sz val="9"/>
            <color indexed="81"/>
            <rFont val="Meiryo UI"/>
            <family val="2"/>
          </rPr>
          <t>https://dev.mysql.com/doc/refman/8.4/en/innodb-parameters.html#sysvar_innodb_spin_wait_pause_multiplier
Community参考値でありAurora実効値ではありません。</t>
        </r>
      </text>
    </comment>
    <comment ref="M107"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08" authorId="0">
      <text>
        <r>
          <rPr>
            <sz val="9"/>
            <color indexed="81"/>
            <rFont val="Meiryo UI"/>
            <family val="2"/>
          </rPr>
          <t>APIメタデータ: {"ParameterName": "innodb_stats_auto_recalc", "Description": "Causes InnoDB to automatically recalculate persistent statistics after the data in a table is changed substantially.", "Source": "system", "ApplyType": "dynamic", "DataType": "boolean", "AllowedValues": "0,1", "IsModifiable": true, "ApplyMethod": "pending-reboot"}</t>
        </r>
      </text>
    </comment>
    <comment ref="E108" authorId="0">
      <text>
        <r>
          <rPr>
            <sz val="9"/>
            <color indexed="81"/>
            <rFont val="Meiryo UI"/>
            <family val="2"/>
          </rPr>
          <t>https://dev.mysql.com/doc/refman/8.4/en/innodb-parameters.html#sysvar_innodb_stats_auto_recalc
Community参考値でありAurora実効値ではありません。</t>
        </r>
      </text>
    </comment>
    <comment ref="M108" authorId="0">
      <text>
        <r>
          <rPr>
            <sz val="9"/>
            <color indexed="81"/>
            <rFont val="Meiryo UI"/>
            <family val="2"/>
          </rPr>
          <t>https://docs.aws.amazon.com/AmazonRDS/latest/APIReference/API_DescribeDBParameters.html
https://docs.aws.amazon.com/AmazonRDS/latest/AuroraUserGuide/AuroraMySQL.MySQL84.html
https://dev.mysql.com/doc/refman/8.4/en/innodb-parameters.html</t>
        </r>
      </text>
    </comment>
    <comment ref="B109" authorId="0">
      <text>
        <r>
          <rPr>
            <sz val="9"/>
            <color indexed="81"/>
            <rFont val="Meiryo UI"/>
            <family val="2"/>
          </rPr>
          <t>APIメタデータ: {"ParameterName": "innodb_stats_method", "Description": "How the server treats NULL values when collecting statistics about the distribution of index values for InnoDB tables.", "Source": "engine-default", "ApplyType": "dynamic", "DataType": "string", "AllowedValues": "nulls_equal,nulls_unequal,nulls_ignored", "IsModifiable": true, "ApplyMethod": "pending-reboot"}</t>
        </r>
      </text>
    </comment>
    <comment ref="E109" authorId="0">
      <text>
        <r>
          <rPr>
            <sz val="9"/>
            <color indexed="81"/>
            <rFont val="Meiryo UI"/>
            <family val="2"/>
          </rPr>
          <t>https://dev.mysql.com/doc/refman/8.4/en/innodb-parameters.html#sysvar_innodb_stats_method
Community参考値でありAurora実効値ではありません。</t>
        </r>
      </text>
    </comment>
    <comment ref="M109"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10" authorId="0">
      <text>
        <r>
          <rPr>
            <sz val="9"/>
            <color indexed="81"/>
            <rFont val="Meiryo UI"/>
            <family val="2"/>
          </rPr>
          <t>APIメタデータ: {"ParameterName": "innodb_stats_on_metadata", "Description": "Controls whether table and index stats are updated when getting status information via SHOW STATUS or the INFORMATION_SCHEMA", "Source": "engine-default", "ApplyType": "dynamic", "DataType": "boolean", "AllowedValues": "0,1", "IsModifiable": true, "ApplyMethod": "pending-reboot"}</t>
        </r>
      </text>
    </comment>
    <comment ref="E110" authorId="0">
      <text>
        <r>
          <rPr>
            <sz val="9"/>
            <color indexed="81"/>
            <rFont val="Meiryo UI"/>
            <family val="2"/>
          </rPr>
          <t>https://dev.mysql.com/doc/refman/8.4/en/innodb-parameters.html#sysvar_innodb_stats_on_metadata
Community参考値でありAurora実効値ではありません。</t>
        </r>
      </text>
    </comment>
    <comment ref="M110" authorId="0">
      <text>
        <r>
          <rPr>
            <sz val="9"/>
            <color indexed="81"/>
            <rFont val="Meiryo UI"/>
            <family val="2"/>
          </rPr>
          <t>https://docs.aws.amazon.com/AmazonRDS/latest/APIReference/API_DescribeDBParameters.html
https://dev.mysql.com/doc/refman/8.4/en/innodb-parameters.html</t>
        </r>
      </text>
    </comment>
    <comment ref="B111" authorId="0">
      <text>
        <r>
          <rPr>
            <sz val="9"/>
            <color indexed="81"/>
            <rFont val="Meiryo UI"/>
            <family val="2"/>
          </rPr>
          <t>APIメタデータ: {"ParameterName": "innodb_stats_persistent", "Description": "Specifies whether the InnoDB index statistics produced by the ANALYZE TABLE command are stored on disk.", "Source": "system", "ApplyType": "dynamic", "DataType": "boolean", "AllowedValues": "OFF,ON,0,1", "IsModifiable": true, "ApplyMethod": "pending-reboot"}</t>
        </r>
      </text>
    </comment>
    <comment ref="E111" authorId="0">
      <text>
        <r>
          <rPr>
            <sz val="9"/>
            <color indexed="81"/>
            <rFont val="Meiryo UI"/>
            <family val="2"/>
          </rPr>
          <t>https://dev.mysql.com/doc/refman/8.4/en/innodb-parameters.html#sysvar_innodb_stats_persistent
Community参考値でありAurora実効値ではありません。</t>
        </r>
      </text>
    </comment>
    <comment ref="M111" authorId="0">
      <text>
        <r>
          <rPr>
            <sz val="9"/>
            <color indexed="81"/>
            <rFont val="Meiryo UI"/>
            <family val="2"/>
          </rPr>
          <t>https://docs.aws.amazon.com/AmazonRDS/latest/APIReference/API_DescribeDBParameters.html
https://dev.mysql.com/doc/refman/8.4/en/innodb-parameters.html</t>
        </r>
      </text>
    </comment>
    <comment ref="B112" authorId="0">
      <text>
        <r>
          <rPr>
            <sz val="9"/>
            <color indexed="81"/>
            <rFont val="Meiryo UI"/>
            <family val="2"/>
          </rPr>
          <t>APIメタデータ: {"ParameterName": "innodb_stats_persistent_sample_pages", "Description": "The number of index pages to sample when estimating cardinality and other statistics for an indexed column, such as those calculated by ANALYZE TABLE.", "Source": "engine-default", "ApplyType": "dynamic", "DataType": "integer", "AllowedValues": "0-18446744073709551615", "IsModifiable": true, "ApplyMethod": "pending-reboot"}</t>
        </r>
      </text>
    </comment>
    <comment ref="E112" authorId="0">
      <text>
        <r>
          <rPr>
            <sz val="9"/>
            <color indexed="81"/>
            <rFont val="Meiryo UI"/>
            <family val="2"/>
          </rPr>
          <t>https://dev.mysql.com/doc/refman/8.4/en/innodb-parameters.html#sysvar_innodb_stats_persistent_sample_pages
Community参考値でありAurora実効値ではありません。</t>
        </r>
      </text>
    </comment>
    <comment ref="M112"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13" authorId="0">
      <text>
        <r>
          <rPr>
            <sz val="9"/>
            <color indexed="81"/>
            <rFont val="Meiryo UI"/>
            <family val="2"/>
          </rPr>
          <t>APIメタデータ: {"ParameterName": "innodb_stats_transient_sample_pages", "Description": "The number of index pages to sample when estimating cardinality and other statistics for an indexed column, such as those calculated by ANALYZE TABLE.", "Source": "engine-default", "ApplyType": "dynamic", "DataType": "integer", "AllowedValues": "0-18446744073709551615", "IsModifiable": true, "ApplyMethod": "pending-reboot"}</t>
        </r>
      </text>
    </comment>
    <comment ref="E113" authorId="0">
      <text>
        <r>
          <rPr>
            <sz val="9"/>
            <color indexed="81"/>
            <rFont val="Meiryo UI"/>
            <family val="2"/>
          </rPr>
          <t>https://dev.mysql.com/doc/refman/8.4/en/innodb-parameters.html#sysvar_innodb_stats_transient_sample_pages
Community参考値でありAurora実効値ではありません。</t>
        </r>
      </text>
    </comment>
    <comment ref="M113"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14" authorId="0">
      <text>
        <r>
          <rPr>
            <sz val="9"/>
            <color indexed="81"/>
            <rFont val="Meiryo UI"/>
            <family val="2"/>
          </rPr>
          <t>APIメタデータ: {"ParameterName": "innodb_status_output", "Description": "Enables or disables periodic output for the standard InnoDB Monitor.", "Source": "engine-default", "ApplyType": "dynamic", "DataType": "boolean", "AllowedValues": "0,1", "IsModifiable": true, "ApplyMethod": "pending-reboot"}</t>
        </r>
      </text>
    </comment>
    <comment ref="E114" authorId="0">
      <text>
        <r>
          <rPr>
            <sz val="9"/>
            <color indexed="81"/>
            <rFont val="Meiryo UI"/>
            <family val="2"/>
          </rPr>
          <t>https://dev.mysql.com/doc/refman/8.4/en/innodb-parameters.html#sysvar_innodb_status_output
Community参考値でありAurora実効値ではありません。</t>
        </r>
      </text>
    </comment>
    <comment ref="M114"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15" authorId="0">
      <text>
        <r>
          <rPr>
            <sz val="9"/>
            <color indexed="81"/>
            <rFont val="Meiryo UI"/>
            <family val="2"/>
          </rPr>
          <t>APIメタデータ: {"ParameterName": "innodb_status_output_locks", "Description": "Enables or disables the InnoDB Lock Monitor.", "Source": "engine-default", "ApplyType": "dynamic", "DataType": "boolean", "AllowedValues": "0,1", "IsModifiable": true, "ApplyMethod": "pending-reboot"}</t>
        </r>
      </text>
    </comment>
    <comment ref="E115" authorId="0">
      <text>
        <r>
          <rPr>
            <sz val="9"/>
            <color indexed="81"/>
            <rFont val="Meiryo UI"/>
            <family val="2"/>
          </rPr>
          <t>https://dev.mysql.com/doc/refman/8.4/en/innodb-parameters.html#sysvar_innodb_status_output_locks
Community参考値でありAurora実効値ではありません。</t>
        </r>
      </text>
    </comment>
    <comment ref="M115"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16" authorId="0">
      <text>
        <r>
          <rPr>
            <sz val="9"/>
            <color indexed="81"/>
            <rFont val="Meiryo UI"/>
            <family val="2"/>
          </rPr>
          <t>APIメタデータ: {"ParameterName": "innodb_thread_concurrency", "Description": "The number of threads that can enter innodb concurrently", "Source": "engine-default", "ApplyType": "dynamic", "DataType": "integer", "AllowedValues": "0-1000", "IsModifiable": false, "ApplyMethod": "pending-reboot"}</t>
        </r>
      </text>
    </comment>
    <comment ref="E116" authorId="0">
      <text>
        <r>
          <rPr>
            <sz val="9"/>
            <color indexed="81"/>
            <rFont val="Meiryo UI"/>
            <family val="2"/>
          </rPr>
          <t>https://dev.mysql.com/doc/refman/8.4/en/innodb-parameters.html#sysvar_innodb_thread_concurrency
Community参考値でありAurora実効値ではありません。</t>
        </r>
      </text>
    </comment>
    <comment ref="M116"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17" authorId="0">
      <text>
        <r>
          <rPr>
            <sz val="9"/>
            <color indexed="81"/>
            <rFont val="Meiryo UI"/>
            <family val="2"/>
          </rPr>
          <t>APIメタデータ: {"ParameterName": "innodb_thread_sleep_delay", "Description": "How long innodb threads sleep before joining the innodb queue, in microseconds.", "Source": "engine-default", "ApplyType": "dynamic", "DataType": "integer", "AllowedValues": "0-9223372036854775807", "IsModifiable": true, "ApplyMethod": "pending-reboot"}</t>
        </r>
      </text>
    </comment>
    <comment ref="E117" authorId="0">
      <text>
        <r>
          <rPr>
            <sz val="9"/>
            <color indexed="81"/>
            <rFont val="Meiryo UI"/>
            <family val="2"/>
          </rPr>
          <t>https://dev.mysql.com/doc/refman/8.4/en/innodb-parameters.html#sysvar_innodb_thread_sleep_delay
Community参考値でありAurora実効値ではありません。</t>
        </r>
      </text>
    </comment>
    <comment ref="M117"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18" authorId="0">
      <text>
        <r>
          <rPr>
            <sz val="9"/>
            <color indexed="81"/>
            <rFont val="Meiryo UI"/>
            <family val="2"/>
          </rPr>
          <t>APIメタデータ: {"ParameterName": "innodb_use_native_aio", "Description": "Controls whether or not MySQL uses Linux native asynchronous IO.", "Source": "engine-default", "ApplyType": "static", "DataType": "boolean", "AllowedValues": "0,1", "IsModifiable": false, "ApplyMethod": "pending-reboot"}</t>
        </r>
      </text>
    </comment>
    <comment ref="E118" authorId="0">
      <text>
        <r>
          <rPr>
            <sz val="9"/>
            <color indexed="81"/>
            <rFont val="Meiryo UI"/>
            <family val="2"/>
          </rPr>
          <t>https://dev.mysql.com/doc/refman/8.4/en/innodb-parameters.html#sysvar_innodb_use_native_aio
Community参考値でありAurora実効値ではありません。</t>
        </r>
      </text>
    </comment>
    <comment ref="M118"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19" authorId="0">
      <text>
        <r>
          <rPr>
            <sz val="9"/>
            <color indexed="81"/>
            <rFont val="Meiryo UI"/>
            <family val="2"/>
          </rPr>
          <t>APIメタデータ: {"ParameterName": "innodb_write_io_threads", "Description": "The number of I/O threads for write operations in InnoDB.", "Source": "engine-default", "ApplyType": "static", "DataType": "integer", "AllowedValues": "1-64", "IsModifiable": false, "ApplyMethod": "pending-reboot"}</t>
        </r>
      </text>
    </comment>
    <comment ref="E119" authorId="0">
      <text>
        <r>
          <rPr>
            <sz val="9"/>
            <color indexed="81"/>
            <rFont val="Meiryo UI"/>
            <family val="2"/>
          </rPr>
          <t>https://dev.mysql.com/doc/refman/8.4/en/innodb-parameters.html#sysvar_innodb_write_io_threads
Community参考値でありAurora実効値ではありません。</t>
        </r>
      </text>
    </comment>
    <comment ref="M119" authorId="0">
      <text>
        <r>
          <rPr>
            <sz val="9"/>
            <color indexed="81"/>
            <rFont val="Meiryo UI"/>
            <family val="2"/>
          </rPr>
          <t>https://docs.aws.amazon.com/AmazonRDS/latest/APIReference/API_DescribeDBParameters.html
https://dev.mysql.com/doc/refman/8.4/en/innodb-parameters.html
https://docs.aws.amazon.com/AmazonRDS/latest/AuroraUserGuide/Aurora.Overview.StorageReliability.html</t>
        </r>
      </text>
    </comment>
    <comment ref="B120" authorId="0">
      <text>
        <r>
          <rPr>
            <sz val="9"/>
            <color indexed="81"/>
            <rFont val="Meiryo UI"/>
            <family val="2"/>
          </rPr>
          <t>APIメタデータ: {"ParameterName": "interactive_timeout", "Description": "Number of seconds the server waits for activity on an interactive connection before closing it.", "Source": "engine-default", "ApplyType": "dynamic", "DataType": "integer", "AllowedValues": "1-31536000", "IsModifiable": true, "ApplyMethod": "pending-reboot"}</t>
        </r>
      </text>
    </comment>
    <comment ref="E120" authorId="0">
      <text>
        <r>
          <rPr>
            <sz val="9"/>
            <color indexed="81"/>
            <rFont val="Meiryo UI"/>
            <family val="2"/>
          </rPr>
          <t>https://dev.mysql.com/doc/refman/8.4/en/server-system-variables.html#sysvar_interactive_timeout
Community参考値でありAurora実効値ではありません。</t>
        </r>
      </text>
    </comment>
    <comment ref="M120" authorId="0">
      <text>
        <r>
          <rPr>
            <sz val="9"/>
            <color indexed="81"/>
            <rFont val="Meiryo UI"/>
            <family val="2"/>
          </rPr>
          <t>https://docs.aws.amazon.com/AmazonRDS/latest/APIReference/API_DescribeDBParameters.html
https://dev.mysql.com/doc/connector-j/en/connector-j-reference-configuration-properties.html
https://dev.mysql.com/doc/refman/8.4/en/server-system-variables.html</t>
        </r>
      </text>
    </comment>
    <comment ref="B121" authorId="0">
      <text>
        <r>
          <rPr>
            <sz val="9"/>
            <color indexed="81"/>
            <rFont val="Meiryo UI"/>
            <family val="2"/>
          </rPr>
          <t>APIメタデータ: {"ParameterName": "internal_tmp_mem_storage_engine", "ParameterValue": "TempTable", "Description": "Controls which in-memory storage engine is used for internal temporary tables", "Source": "system", "ApplyType": "dynamic", "DataType": "string", "AllowedValues": "TempTable,MEMORY", "IsModifiable": true, "ApplyMethod": "pending-reboot"}</t>
        </r>
      </text>
    </comment>
    <comment ref="E121" authorId="0">
      <text>
        <r>
          <rPr>
            <sz val="9"/>
            <color indexed="81"/>
            <rFont val="Meiryo UI"/>
            <family val="2"/>
          </rPr>
          <t>https://dev.mysql.com/doc/refman/8.4/en/server-system-variables.html#sysvar_internal_tmp_mem_storage_engine
Community参考値でありAurora実効値ではありません。</t>
        </r>
      </text>
    </comment>
    <comment ref="M12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22" authorId="0">
      <text>
        <r>
          <rPr>
            <sz val="9"/>
            <color indexed="81"/>
            <rFont val="Meiryo UI"/>
            <family val="2"/>
          </rPr>
          <t>APIメタデータ: {"ParameterName": "join_buffer_size", "Description": "Increase the value of join_buffer_size to get a faster full join when adding indexes is not possible.", "Source": "engine-default", "ApplyType": "dynamic", "DataType": "integer", "AllowedValues": "128-18446744073709547520", "IsModifiable": true, "ApplyMethod": "pending-reboot"}</t>
        </r>
      </text>
    </comment>
    <comment ref="E122" authorId="0">
      <text>
        <r>
          <rPr>
            <sz val="9"/>
            <color indexed="81"/>
            <rFont val="Meiryo UI"/>
            <family val="2"/>
          </rPr>
          <t>https://dev.mysql.com/doc/refman/8.4/en/server-system-variables.html#sysvar_join_buffer_size
Community参考値でありAurora実効値ではありません。</t>
        </r>
      </text>
    </comment>
    <comment ref="M122"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123" authorId="0">
      <text>
        <r>
          <rPr>
            <sz val="9"/>
            <color indexed="81"/>
            <rFont val="Meiryo UI"/>
            <family val="2"/>
          </rPr>
          <t>APIメタデータ: {"ParameterName": "keep_files_on_create", "Description": "Suppress behavior to overwrite MyISAM file created in DATA DIRECTORY or INDEX DIRECTORY.", "Source": "engine-default", "ApplyType": "dynamic", "DataType": "boolean", "AllowedValues": "0,1", "IsModifiable": true, "ApplyMethod": "pending-reboot"}</t>
        </r>
      </text>
    </comment>
    <comment ref="E123" authorId="0">
      <text>
        <r>
          <rPr>
            <sz val="9"/>
            <color indexed="81"/>
            <rFont val="Meiryo UI"/>
            <family val="2"/>
          </rPr>
          <t>https://dev.mysql.com/doc/refman/8.4/en/server-system-variables.html#sysvar_keep_files_on_create
Community参考値でありAurora実効値ではありません。</t>
        </r>
      </text>
    </comment>
    <comment ref="M12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24" authorId="0">
      <text>
        <r>
          <rPr>
            <sz val="9"/>
            <color indexed="81"/>
            <rFont val="Meiryo UI"/>
            <family val="2"/>
          </rPr>
          <t>APIメタデータ: {"ParameterName": "key_buffer_size", "ParameterValue": "16777216", "Description": "Increase the buffer size to get better index handling used for index blocks (for all reads and multiple writes).", "Source": "system", "ApplyType": "dynamic", "DataType": "integer", "AllowedValues": "4096-4294967295", "IsModifiable": true, "ApplyMethod": "pending-reboot"}</t>
        </r>
      </text>
    </comment>
    <comment ref="E124" authorId="0">
      <text>
        <r>
          <rPr>
            <sz val="9"/>
            <color indexed="81"/>
            <rFont val="Meiryo UI"/>
            <family val="2"/>
          </rPr>
          <t>https://dev.mysql.com/doc/refman/8.4/en/server-system-variables.html#sysvar_key_buffer_size
Community参考値でありAurora実効値ではありません。</t>
        </r>
      </text>
    </comment>
    <comment ref="M124"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125" authorId="0">
      <text>
        <r>
          <rPr>
            <sz val="9"/>
            <color indexed="81"/>
            <rFont val="Meiryo UI"/>
            <family val="2"/>
          </rPr>
          <t>APIメタデータ: {"ParameterName": "key_cache_age_threshold", "Description": "Controls the demotion of buffers from the hot sub-chain of a key cache to the warm sub-chain. Lower values cause demotion to happen more quickly.", "Source": "engine-default", "ApplyType": "dynamic", "DataType": "integer", "AllowedValues": "100-18446744073709547520", "IsModifiable": true, "ApplyMethod": "pending-reboot"}</t>
        </r>
      </text>
    </comment>
    <comment ref="E125" authorId="0">
      <text>
        <r>
          <rPr>
            <sz val="9"/>
            <color indexed="81"/>
            <rFont val="Meiryo UI"/>
            <family val="2"/>
          </rPr>
          <t>https://dev.mysql.com/doc/refman/8.4/en/server-system-variables.html#sysvar_key_cache_age_threshold
Community参考値でありAurora実効値ではありません。</t>
        </r>
      </text>
    </comment>
    <comment ref="M125"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26" authorId="0">
      <text>
        <r>
          <rPr>
            <sz val="9"/>
            <color indexed="81"/>
            <rFont val="Meiryo UI"/>
            <family val="2"/>
          </rPr>
          <t>APIメタデータ: {"ParameterName": "key_cache_block_size", "Description": "Size in bytes of blocks in the key cache.", "Source": "engine-default", "ApplyType": "dynamic", "DataType": "integer", "AllowedValues": "512-16384", "IsModifiable": true, "ApplyMethod": "pending-reboot"}</t>
        </r>
      </text>
    </comment>
    <comment ref="E126" authorId="0">
      <text>
        <r>
          <rPr>
            <sz val="9"/>
            <color indexed="81"/>
            <rFont val="Meiryo UI"/>
            <family val="2"/>
          </rPr>
          <t>https://dev.mysql.com/doc/refman/8.4/en/server-system-variables.html#sysvar_key_cache_block_size
Community参考値でありAurora実効値ではありません。</t>
        </r>
      </text>
    </comment>
    <comment ref="M126"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27" authorId="0">
      <text>
        <r>
          <rPr>
            <sz val="9"/>
            <color indexed="81"/>
            <rFont val="Meiryo UI"/>
            <family val="2"/>
          </rPr>
          <t>APIメタデータ: {"ParameterName": "key_cache_division_limit", "Description": "The division point between the hot and warm sub-chains of the key cache buffer chain. The value is the percentage of the buffer chain to use for the warm sub-chain.", "Source": "engine-default", "ApplyType": "dynamic", "DataType": "integer", "AllowedValues": "1-100", "IsModifiable": true, "ApplyMethod": "pending-reboot"}</t>
        </r>
      </text>
    </comment>
    <comment ref="E127" authorId="0">
      <text>
        <r>
          <rPr>
            <sz val="9"/>
            <color indexed="81"/>
            <rFont val="Meiryo UI"/>
            <family val="2"/>
          </rPr>
          <t>https://dev.mysql.com/doc/refman/8.4/en/server-system-variables.html#sysvar_key_cache_division_limit
Community参考値でありAurora実効値ではありません。</t>
        </r>
      </text>
    </comment>
    <comment ref="M12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28" authorId="0">
      <text>
        <r>
          <rPr>
            <sz val="9"/>
            <color indexed="81"/>
            <rFont val="Meiryo UI"/>
            <family val="2"/>
          </rPr>
          <t>APIメタデータ: {"ParameterName": "local_infile", "ParameterValue": "1", "Description": "Controls whetther LOCAL is supported for LOAD DATA INFILE", "Source": "system", "ApplyType": "dynamic", "DataType": "boolean", "AllowedValues": "0,1", "IsModifiable": true, "ApplyMethod": "pending-reboot"}</t>
        </r>
      </text>
    </comment>
    <comment ref="E128" authorId="0">
      <text>
        <r>
          <rPr>
            <sz val="9"/>
            <color indexed="81"/>
            <rFont val="Meiryo UI"/>
            <family val="2"/>
          </rPr>
          <t>https://dev.mysql.com/doc/refman/8.4/en/server-system-variables.html#sysvar_local_infile
Community参考値でありAurora実効値ではありません。</t>
        </r>
      </text>
    </comment>
    <comment ref="M128" authorId="0">
      <text>
        <r>
          <rPr>
            <sz val="9"/>
            <color indexed="81"/>
            <rFont val="Meiryo UI"/>
            <family val="2"/>
          </rPr>
          <t>https://docs.aws.amazon.com/AmazonRDS/latest/APIReference/API_DescribeDBParameters.html
https://dev.mysql.com/doc/refman/8.4/en/server-system-variables.html</t>
        </r>
      </text>
    </comment>
    <comment ref="B129" authorId="0">
      <text>
        <r>
          <rPr>
            <sz val="9"/>
            <color indexed="81"/>
            <rFont val="Meiryo UI"/>
            <family val="2"/>
          </rPr>
          <t>APIメタデータ: {"ParameterName": "lock_wait_timeout", "Description": "Specifies the timeout in seconds for attempts to acquire metadata locks", "Source": "engine-default", "ApplyType": "dynamic", "DataType": "integer", "AllowedValues": "1-31536000", "IsModifiable": true, "ApplyMethod": "pending-reboot"}</t>
        </r>
      </text>
    </comment>
    <comment ref="E129" authorId="0">
      <text>
        <r>
          <rPr>
            <sz val="9"/>
            <color indexed="81"/>
            <rFont val="Meiryo UI"/>
            <family val="2"/>
          </rPr>
          <t>https://dev.mysql.com/doc/refman/8.4/en/server-system-variables.html#sysvar_lock_wait_timeout
Community参考値でありAurora実効値ではありません。</t>
        </r>
      </text>
    </comment>
    <comment ref="M129" authorId="0">
      <text>
        <r>
          <rPr>
            <sz val="9"/>
            <color indexed="81"/>
            <rFont val="Meiryo UI"/>
            <family val="2"/>
          </rPr>
          <t>https://docs.aws.amazon.com/AmazonRDS/latest/APIReference/API_DescribeDBParameters.html
https://dev.mysql.com/doc/refman/8.4/en/server-system-variables.html</t>
        </r>
      </text>
    </comment>
    <comment ref="B130" authorId="0">
      <text>
        <r>
          <rPr>
            <sz val="9"/>
            <color indexed="81"/>
            <rFont val="Meiryo UI"/>
            <family val="2"/>
          </rPr>
          <t>APIメタデータ: {"ParameterName": "log-bin", "ParameterValue": "/rdsdbdata/log/binlog/mysql-bin-changelog", "Description": "Controls binary logging.", "Source": "system", "ApplyType": "static", "DataType": "string", "IsModifiable": false, "ApplyMethod": "pending-reboot"}</t>
        </r>
      </text>
    </comment>
    <comment ref="M130" authorId="0">
      <text>
        <r>
          <rPr>
            <sz val="9"/>
            <color indexed="81"/>
            <rFont val="Meiryo UI"/>
            <family val="2"/>
          </rPr>
          <t>https://docs.aws.amazon.com/AmazonRDS/latest/APIReference/API_DescribeDBParameters.html
https://docs.aws.amazon.com/AmazonRDS/latest/AuroraUserGuide/AuroraMySQL.Reference.ParameterGroups.html</t>
        </r>
      </text>
    </comment>
    <comment ref="B131" authorId="0">
      <text>
        <r>
          <rPr>
            <sz val="9"/>
            <color indexed="81"/>
            <rFont val="Meiryo UI"/>
            <family val="2"/>
          </rPr>
          <t>APIメタデータ: {"ParameterName": "log_bin_trust_function_creators", "Description": "Enforces restrictions on stored functions / triggers - logging for replication.", "Source": "engine-default", "ApplyType": "dynamic", "DataType": "boolean", "AllowedValues": "0,1", "IsModifiable": true, "ApplyMethod": "pending-reboot"}</t>
        </r>
      </text>
    </comment>
    <comment ref="E131" authorId="0">
      <text>
        <r>
          <rPr>
            <sz val="9"/>
            <color indexed="81"/>
            <rFont val="Meiryo UI"/>
            <family val="2"/>
          </rPr>
          <t>https://dev.mysql.com/doc/refman/8.4/en/replication-options-binary-log.html#sysvar_log_bin_trust_function_creators
Community参考値でありAurora実効値ではありません。</t>
        </r>
      </text>
    </comment>
    <comment ref="M131" authorId="0">
      <text>
        <r>
          <rPr>
            <sz val="9"/>
            <color indexed="81"/>
            <rFont val="Meiryo UI"/>
            <family val="2"/>
          </rPr>
          <t>https://docs.aws.amazon.com/AmazonRDS/latest/APIReference/API_DescribeDBParameters.html
https://docs.aws.amazon.com/AmazonRDS/latest/AuroraUserGuide/AuroraMySQL.Reference.ParameterGroups.html</t>
        </r>
      </text>
    </comment>
    <comment ref="B132" authorId="0">
      <text>
        <r>
          <rPr>
            <sz val="9"/>
            <color indexed="81"/>
            <rFont val="Meiryo UI"/>
            <family val="2"/>
          </rPr>
          <t>APIメタデータ: {"ParameterName": "log_error", "ParameterValue": "/rdsdbdata/log/error/mysql-error.log", "Description": "Location  of error log.", "Source": "system", "ApplyType": "static", "DataType": "string", "IsModifiable": false, "ApplyMethod": "pending-reboot"}</t>
        </r>
      </text>
    </comment>
    <comment ref="M132" authorId="0">
      <text>
        <r>
          <rPr>
            <sz val="9"/>
            <color indexed="81"/>
            <rFont val="Meiryo UI"/>
            <family val="2"/>
          </rPr>
          <t>https://docs.aws.amazon.com/AmazonRDS/latest/APIReference/API_DescribeDBParameters.html
https://docs.aws.amazon.com/AmazonRDS/latest/AuroraUserGuide/AuroraMySQL.Reference.ParameterGroups.html</t>
        </r>
      </text>
    </comment>
    <comment ref="B133" authorId="0">
      <text>
        <r>
          <rPr>
            <sz val="9"/>
            <color indexed="81"/>
            <rFont val="Meiryo UI"/>
            <family val="2"/>
          </rPr>
          <t>APIメタデータ: {"ParameterName": "log_error_suppression_list", "Description": "The log_error_suppression_list parameter specifies a list of error codes that will be suppressed or not logged to the mysql error log. This allows you to ignore certain non-critical error conditions and keep your error logs clean.", "Source": "engine-default", "ApplyType": "dynamic", "DataType": "list", "AllowedValues": "MY-013360", "IsModifiable": true, "ApplyMethod": "pending-reboot"}</t>
        </r>
      </text>
    </comment>
    <comment ref="E133" authorId="0">
      <text>
        <r>
          <rPr>
            <sz val="9"/>
            <color indexed="81"/>
            <rFont val="Meiryo UI"/>
            <family val="2"/>
          </rPr>
          <t>https://dev.mysql.com/doc/refman/8.4/en/server-system-variables.html#sysvar_log_error_suppression_list
Community参考値でありAurora実効値ではありません。</t>
        </r>
      </text>
    </comment>
    <comment ref="M133" authorId="0">
      <text>
        <r>
          <rPr>
            <sz val="9"/>
            <color indexed="81"/>
            <rFont val="Meiryo UI"/>
            <family val="2"/>
          </rPr>
          <t>https://docs.aws.amazon.com/AmazonRDS/latest/APIReference/API_DescribeDBParameters.html
https://docs.aws.amazon.com/AmazonRDS/latest/AuroraUserGuide/AuroraMySQL.Reference.ParameterGroups.html</t>
        </r>
      </text>
    </comment>
    <comment ref="B134" authorId="0">
      <text>
        <r>
          <rPr>
            <sz val="9"/>
            <color indexed="81"/>
            <rFont val="Meiryo UI"/>
            <family val="2"/>
          </rPr>
          <t>APIメタデータ: {"ParameterName": "log_error_verbosity", "Description": "Controls verbosity of the server in writing error, warning, and note messages to the error log.", "Source": "engine-default", "ApplyType": "dynamic", "DataType": "integer", "AllowedValues": "1-3", "IsModifiable": true, "ApplyMethod": "pending-reboot"}</t>
        </r>
      </text>
    </comment>
    <comment ref="E134" authorId="0">
      <text>
        <r>
          <rPr>
            <sz val="9"/>
            <color indexed="81"/>
            <rFont val="Meiryo UI"/>
            <family val="2"/>
          </rPr>
          <t>https://dev.mysql.com/doc/refman/8.4/en/server-system-variables.html#sysvar_log_error_verbosity
Community参考値でありAurora実効値ではありません。</t>
        </r>
      </text>
    </comment>
    <comment ref="M134" authorId="0">
      <text>
        <r>
          <rPr>
            <sz val="9"/>
            <color indexed="81"/>
            <rFont val="Meiryo UI"/>
            <family val="2"/>
          </rPr>
          <t>https://docs.aws.amazon.com/AmazonRDS/latest/APIReference/API_DescribeDBParameters.html
https://docs.aws.amazon.com/AmazonRDS/latest/AuroraUserGuide/AuroraMySQL.Reference.ParameterGroups.html</t>
        </r>
      </text>
    </comment>
    <comment ref="B135" authorId="0">
      <text>
        <r>
          <rPr>
            <sz val="9"/>
            <color indexed="81"/>
            <rFont val="Meiryo UI"/>
            <family val="2"/>
          </rPr>
          <t>APIメタデータ: {"ParameterName": "log_output", "ParameterValue": "FILE", "Description": "Controls where to store query logs", "Source": "system", "ApplyType": "dynamic", "DataType": "string", "AllowedValues": "TABLE,FILE,NONE", "IsModifiable": true, "ApplyMethod": "pending-reboot"}</t>
        </r>
      </text>
    </comment>
    <comment ref="E135" authorId="0">
      <text>
        <r>
          <rPr>
            <sz val="9"/>
            <color indexed="81"/>
            <rFont val="Meiryo UI"/>
            <family val="2"/>
          </rPr>
          <t>https://dev.mysql.com/doc/refman/8.4/en/server-system-variables.html#sysvar_log_output
Community参考値でありAurora実効値ではありません。</t>
        </r>
      </text>
    </comment>
    <comment ref="M135" authorId="0">
      <text>
        <r>
          <rPr>
            <sz val="9"/>
            <color indexed="81"/>
            <rFont val="Meiryo UI"/>
            <family val="2"/>
          </rPr>
          <t>https://docs.aws.amazon.com/AmazonRDS/latest/APIReference/API_DescribeDBParameters.html
https://docs.aws.amazon.com/AmazonRDS/latest/AuroraUserGuide/AuroraMySQL.Reference.ParameterGroups.html</t>
        </r>
      </text>
    </comment>
    <comment ref="B136" authorId="0">
      <text>
        <r>
          <rPr>
            <sz val="9"/>
            <color indexed="81"/>
            <rFont val="Meiryo UI"/>
            <family val="2"/>
          </rPr>
          <t>APIメタデータ: {"ParameterName": "log_queries_not_using_indexes", "Description": "Logs queries that are expected to retrieve all rows to slow query log", "Source": "engine-default", "ApplyType": "dynamic", "DataType": "boolean", "AllowedValues": "0,1", "IsModifiable": true, "ApplyMethod": "pending-reboot"}</t>
        </r>
      </text>
    </comment>
    <comment ref="E136" authorId="0">
      <text>
        <r>
          <rPr>
            <sz val="9"/>
            <color indexed="81"/>
            <rFont val="Meiryo UI"/>
            <family val="2"/>
          </rPr>
          <t>https://dev.mysql.com/doc/refman/8.4/en/server-system-variables.html#sysvar_log_queries_not_using_indexes
Community参考値でありAurora実効値ではありません。</t>
        </r>
      </text>
    </comment>
    <comment ref="M136" authorId="0">
      <text>
        <r>
          <rPr>
            <sz val="9"/>
            <color indexed="81"/>
            <rFont val="Meiryo UI"/>
            <family val="2"/>
          </rPr>
          <t>https://docs.aws.amazon.com/AmazonRDS/latest/APIReference/API_DescribeDBParameters.html
https://dev.mysql.com/doc/refman/8.4/en/server-system-variables.html</t>
        </r>
      </text>
    </comment>
    <comment ref="B137" authorId="0">
      <text>
        <r>
          <rPr>
            <sz val="9"/>
            <color indexed="81"/>
            <rFont val="Meiryo UI"/>
            <family val="2"/>
          </rPr>
          <t>APIメタデータ: {"ParameterName": "log_replica_updates", "ParameterValue": "1", "Description": "log_replica_updates specifies whether updates received by a replica server from a replication source server should be logged to the replica's own binary log.", "Source": "system", "ApplyType": "static", "DataType": "boolean", "AllowedValues": "0,1", "IsModifiable": false, "ApplyMethod": "pending-reboot"}</t>
        </r>
      </text>
    </comment>
    <comment ref="E137" authorId="0">
      <text>
        <r>
          <rPr>
            <sz val="9"/>
            <color indexed="81"/>
            <rFont val="Meiryo UI"/>
            <family val="2"/>
          </rPr>
          <t>https://dev.mysql.com/doc/refman/8.4/en/replication-options-binary-log.html#sysvar_log_replica_updates
Community参考値でありAurora実効値ではありません。</t>
        </r>
      </text>
    </comment>
    <comment ref="M137" authorId="0">
      <text>
        <r>
          <rPr>
            <sz val="9"/>
            <color indexed="81"/>
            <rFont val="Meiryo UI"/>
            <family val="2"/>
          </rPr>
          <t>https://docs.aws.amazon.com/AmazonRDS/latest/APIReference/API_DescribeDBParameters.html
https://docs.aws.amazon.com/AmazonRDS/latest/AuroraUserGuide/AuroraMySQL.Reference.ParameterGroups.html</t>
        </r>
      </text>
    </comment>
    <comment ref="B138" authorId="0">
      <text>
        <r>
          <rPr>
            <sz val="9"/>
            <color indexed="81"/>
            <rFont val="Meiryo UI"/>
            <family val="2"/>
          </rPr>
          <t>APIメタデータ: {"ParameterName": "log_slow_admin_statements", "Description": "Include slow administrative statements in the statements written to the slow query log.", "Source": "engine-default", "ApplyType": "dynamic", "DataType": "boolean", "AllowedValues": "0,1", "IsModifiable": true, "ApplyMethod": "pending-reboot"}</t>
        </r>
      </text>
    </comment>
    <comment ref="E138" authorId="0">
      <text>
        <r>
          <rPr>
            <sz val="9"/>
            <color indexed="81"/>
            <rFont val="Meiryo UI"/>
            <family val="2"/>
          </rPr>
          <t>https://dev.mysql.com/doc/refman/8.4/en/server-system-variables.html#sysvar_log_slow_admin_statements
Community参考値でありAurora実効値ではありません。</t>
        </r>
      </text>
    </comment>
    <comment ref="M138" authorId="0">
      <text>
        <r>
          <rPr>
            <sz val="9"/>
            <color indexed="81"/>
            <rFont val="Meiryo UI"/>
            <family val="2"/>
          </rPr>
          <t>https://docs.aws.amazon.com/AmazonRDS/latest/APIReference/API_DescribeDBParameters.html
https://dev.mysql.com/doc/refman/8.4/en/server-system-variables.html</t>
        </r>
      </text>
    </comment>
    <comment ref="B139" authorId="0">
      <text>
        <r>
          <rPr>
            <sz val="9"/>
            <color indexed="81"/>
            <rFont val="Meiryo UI"/>
            <family val="2"/>
          </rPr>
          <t>APIメタデータ: {"ParameterName": "log_slow_extra", "Description": "When the slow query log is enabled and the output destination as FILE, additional information related to the slow query is written to the slow query log file. TABLE output is unaffected", "Source": "engine-default", "ApplyType": "dynamic", "DataType": "boolean", "AllowedValues": "0,1", "IsModifiable": true, "ApplyMethod": "pending-reboot"}</t>
        </r>
      </text>
    </comment>
    <comment ref="E139" authorId="0">
      <text>
        <r>
          <rPr>
            <sz val="9"/>
            <color indexed="81"/>
            <rFont val="Meiryo UI"/>
            <family val="2"/>
          </rPr>
          <t>https://dev.mysql.com/doc/refman/8.4/en/server-system-variables.html#sysvar_log_slow_extra
Community参考値でありAurora実効値ではありません。</t>
        </r>
      </text>
    </comment>
    <comment ref="M139" authorId="0">
      <text>
        <r>
          <rPr>
            <sz val="9"/>
            <color indexed="81"/>
            <rFont val="Meiryo UI"/>
            <family val="2"/>
          </rPr>
          <t>https://docs.aws.amazon.com/AmazonRDS/latest/APIReference/API_DescribeDBParameters.html
https://docs.aws.amazon.com/AmazonRDS/latest/AuroraUserGuide/AuroraMySQL.Reference.ParameterGroups.html</t>
        </r>
      </text>
    </comment>
    <comment ref="B140" authorId="0">
      <text>
        <r>
          <rPr>
            <sz val="9"/>
            <color indexed="81"/>
            <rFont val="Meiryo UI"/>
            <family val="2"/>
          </rPr>
          <t>APIメタデータ: {"ParameterName": "log_slow_replica_statements", "Description": "When the slow query log is enabled, this variable enables logging for queries that have taken more than long_query_time seconds to execute on the replica.", "Source": "engine-default", "ApplyType": "dynamic", "DataType": "boolean", "AllowedValues": "0,1", "IsModifiable": true, "ApplyMethod": "pending-reboot"}</t>
        </r>
      </text>
    </comment>
    <comment ref="E140" authorId="0">
      <text>
        <r>
          <rPr>
            <sz val="9"/>
            <color indexed="81"/>
            <rFont val="Meiryo UI"/>
            <family val="2"/>
          </rPr>
          <t>https://dev.mysql.com/doc/refman/8.4/en/replication-options-replica.html#sysvar_log_slow_replica_statements
Community参考値でありAurora実効値ではありません。</t>
        </r>
      </text>
    </comment>
    <comment ref="M140" authorId="0">
      <text>
        <r>
          <rPr>
            <sz val="9"/>
            <color indexed="81"/>
            <rFont val="Meiryo UI"/>
            <family val="2"/>
          </rPr>
          <t>https://docs.aws.amazon.com/AmazonRDS/latest/APIReference/API_DescribeDBParameters.html
https://docs.aws.amazon.com/AmazonRDS/latest/AuroraUserGuide/AuroraMySQL.Reference.ParameterGroups.html</t>
        </r>
      </text>
    </comment>
    <comment ref="B141" authorId="0">
      <text>
        <r>
          <rPr>
            <sz val="9"/>
            <color indexed="81"/>
            <rFont val="Meiryo UI"/>
            <family val="2"/>
          </rPr>
          <t>APIメタデータ: {"ParameterName": "log_throttle_queries_not_using_indexes", "Description": "Limits the number of such queries per minute that can be written to the slow query log.", "Source": "engine-default", "ApplyType": "dynamic", "DataType": "integer", "AllowedValues": "0-4294967295", "IsModifiable": true, "ApplyMethod": "pending-reboot"}</t>
        </r>
      </text>
    </comment>
    <comment ref="E141" authorId="0">
      <text>
        <r>
          <rPr>
            <sz val="9"/>
            <color indexed="81"/>
            <rFont val="Meiryo UI"/>
            <family val="2"/>
          </rPr>
          <t>https://dev.mysql.com/doc/refman/8.4/en/server-system-variables.html#sysvar_log_throttle_queries_not_using_indexes
Community参考値でありAurora実効値ではありません。</t>
        </r>
      </text>
    </comment>
    <comment ref="M141" authorId="0">
      <text>
        <r>
          <rPr>
            <sz val="9"/>
            <color indexed="81"/>
            <rFont val="Meiryo UI"/>
            <family val="2"/>
          </rPr>
          <t>https://docs.aws.amazon.com/AmazonRDS/latest/APIReference/API_DescribeDBParameters.html
https://docs.aws.amazon.com/AmazonRDS/latest/AuroraUserGuide/AuroraMySQL.Reference.ParameterGroups.html</t>
        </r>
      </text>
    </comment>
    <comment ref="B142" authorId="0">
      <text>
        <r>
          <rPr>
            <sz val="9"/>
            <color indexed="81"/>
            <rFont val="Meiryo UI"/>
            <family val="2"/>
          </rPr>
          <t>APIメタデータ: {"ParameterName": "long_query_time", "Description": "Defines what MySQL considers long queries", "Source": "engine-default", "ApplyType": "dynamic", "DataType": "float", "AllowedValues": "0-31536000", "IsModifiable": true, "ApplyMethod": "pending-reboot"}</t>
        </r>
      </text>
    </comment>
    <comment ref="E142" authorId="0">
      <text>
        <r>
          <rPr>
            <sz val="9"/>
            <color indexed="81"/>
            <rFont val="Meiryo UI"/>
            <family val="2"/>
          </rPr>
          <t>https://dev.mysql.com/doc/refman/8.4/en/server-system-variables.html#sysvar_long_query_time
Community参考値でありAurora実効値ではありません。</t>
        </r>
      </text>
    </comment>
    <comment ref="M142" authorId="0">
      <text>
        <r>
          <rPr>
            <sz val="9"/>
            <color indexed="81"/>
            <rFont val="Meiryo UI"/>
            <family val="2"/>
          </rPr>
          <t>https://docs.aws.amazon.com/AmazonRDS/latest/APIReference/API_DescribeDBParameters.html
https://dev.mysql.com/doc/refman/8.4/en/server-system-variables.html</t>
        </r>
      </text>
    </comment>
    <comment ref="B143" authorId="0">
      <text>
        <r>
          <rPr>
            <sz val="9"/>
            <color indexed="81"/>
            <rFont val="Meiryo UI"/>
            <family val="2"/>
          </rPr>
          <t>APIメタデータ: {"ParameterName": "low_priority_updates", "Description": "INSERT, UPDATE, DELETE, and LOCK TABLE WRITE wait until no pending SELECT. Affects only storage engines that use only table-level locking (MyISAM, MEMORY, MERGE).", "Source": "engine-default", "ApplyType": "dynamic", "DataType": "boolean", "AllowedValues": "0,1", "IsModifiable": true, "ApplyMethod": "pending-reboot"}</t>
        </r>
      </text>
    </comment>
    <comment ref="E143" authorId="0">
      <text>
        <r>
          <rPr>
            <sz val="9"/>
            <color indexed="81"/>
            <rFont val="Meiryo UI"/>
            <family val="2"/>
          </rPr>
          <t>https://dev.mysql.com/doc/refman/8.4/en/server-system-variables.html#sysvar_low_priority_updates
Community参考値でありAurora実効値ではありません。</t>
        </r>
      </text>
    </comment>
    <comment ref="M14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44" authorId="0">
      <text>
        <r>
          <rPr>
            <sz val="9"/>
            <color indexed="81"/>
            <rFont val="Meiryo UI"/>
            <family val="2"/>
          </rPr>
          <t>APIメタデータ: {"ParameterName": "max_allowed_packet", "Description": "This value by default is small, to catch large (possibly incorrect) packets. Must be increased if using large BLOB columns or long strings. As big as largest BLOB. ", "Source": "engine-default", "ApplyType": "dynamic", "DataType": "integer", "AllowedValues": "1024-1073741824", "IsModifiable": true, "ApplyMethod": "pending-reboot"}</t>
        </r>
      </text>
    </comment>
    <comment ref="E144" authorId="0">
      <text>
        <r>
          <rPr>
            <sz val="9"/>
            <color indexed="81"/>
            <rFont val="Meiryo UI"/>
            <family val="2"/>
          </rPr>
          <t>https://dev.mysql.com/doc/refman/8.4/en/server-system-variables.html#sysvar_max_allowed_packet
Community参考値でありAurora実効値ではありません。</t>
        </r>
      </text>
    </comment>
    <comment ref="M144" authorId="0">
      <text>
        <r>
          <rPr>
            <sz val="9"/>
            <color indexed="81"/>
            <rFont val="Meiryo UI"/>
            <family val="2"/>
          </rPr>
          <t>https://docs.aws.amazon.com/AmazonRDS/latest/APIReference/API_DescribeDBParameters.html
https://docs.aws.amazon.com/AmazonRDS/latest/AuroraUserGuide/rds-proxy-pinning.html
https://dev.mysql.com/doc/refman/8.4/en/server-system-variables.html</t>
        </r>
      </text>
    </comment>
    <comment ref="B145" authorId="0">
      <text>
        <r>
          <rPr>
            <sz val="9"/>
            <color indexed="81"/>
            <rFont val="Meiryo UI"/>
            <family val="2"/>
          </rPr>
          <t>APIメタデータ: {"ParameterName": "max_binlog_cache_size", "Description": "Maximum binlog cache size a transaction may use", "Source": "engine-default", "ApplyType": "dynamic", "DataType": "integer", "AllowedValues": "4096-18446744073709547520", "IsModifiable": true, "ApplyMethod": "pending-reboot"}</t>
        </r>
      </text>
    </comment>
    <comment ref="E145" authorId="0">
      <text>
        <r>
          <rPr>
            <sz val="9"/>
            <color indexed="81"/>
            <rFont val="Meiryo UI"/>
            <family val="2"/>
          </rPr>
          <t>https://dev.mysql.com/doc/refman/8.4/en/replication-options-binary-log.html#sysvar_max_binlog_cache_size
Community参考値でありAurora実効値ではありません。</t>
        </r>
      </text>
    </comment>
    <comment ref="M145"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146" authorId="0">
      <text>
        <r>
          <rPr>
            <sz val="9"/>
            <color indexed="81"/>
            <rFont val="Meiryo UI"/>
            <family val="2"/>
          </rPr>
          <t>APIメタデータ: {"ParameterName": "max_binlog_size", "ParameterValue": "134217728", "Description": "Server rotates the binlog once it reaches this size", "Source": "system", "ApplyType": "dynamic", "DataType": "integer", "AllowedValues": "4096-1073741824", "IsModifiable": false, "ApplyMethod": "pending-reboot"}</t>
        </r>
      </text>
    </comment>
    <comment ref="E146" authorId="0">
      <text>
        <r>
          <rPr>
            <sz val="9"/>
            <color indexed="81"/>
            <rFont val="Meiryo UI"/>
            <family val="2"/>
          </rPr>
          <t>https://dev.mysql.com/doc/refman/8.4/en/replication-options-binary-log.html#sysvar_max_binlog_size
Community参考値でありAurora実効値ではありません。</t>
        </r>
      </text>
    </comment>
    <comment ref="M146"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47" authorId="0">
      <text>
        <r>
          <rPr>
            <sz val="9"/>
            <color indexed="81"/>
            <rFont val="Meiryo UI"/>
            <family val="2"/>
          </rPr>
          <t>APIメタデータ: {"ParameterName": "max_binlog_stmt_cache_size", "Description": "If nontransactional statements within a transaction require more than this many bytes of memory, the server generates an error.", "Source": "engine-default", "ApplyType": "dynamic", "DataType": "integer", "AllowedValues": "4096-18446744073709547520", "IsModifiable": true, "ApplyMethod": "pending-reboot"}</t>
        </r>
      </text>
    </comment>
    <comment ref="E147" authorId="0">
      <text>
        <r>
          <rPr>
            <sz val="9"/>
            <color indexed="81"/>
            <rFont val="Meiryo UI"/>
            <family val="2"/>
          </rPr>
          <t>https://dev.mysql.com/doc/refman/8.4/en/replication-options-binary-log.html#sysvar_max_binlog_stmt_cache_size
Community参考値でありAurora実効値ではありません。</t>
        </r>
      </text>
    </comment>
    <comment ref="M147"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148" authorId="0">
      <text>
        <r>
          <rPr>
            <sz val="9"/>
            <color indexed="81"/>
            <rFont val="Meiryo UI"/>
            <family val="2"/>
          </rPr>
          <t>APIメタデータ: {"ParameterName": "max_connect_errors", "Description": "A host is blocked from further connections if there are more than this number of interrupted connections", "Source": "engine-default", "ApplyType": "dynamic", "DataType": "integer", "AllowedValues": "1-18446744073709547520", "IsModifiable": true, "ApplyMethod": "pending-reboot"}</t>
        </r>
      </text>
    </comment>
    <comment ref="E148" authorId="0">
      <text>
        <r>
          <rPr>
            <sz val="9"/>
            <color indexed="81"/>
            <rFont val="Meiryo UI"/>
            <family val="2"/>
          </rPr>
          <t>https://dev.mysql.com/doc/refman/8.4/en/server-system-variables.html#sysvar_max_connect_errors
Community参考値でありAurora実効値ではありません。</t>
        </r>
      </text>
    </comment>
    <comment ref="M148"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49" authorId="0">
      <text>
        <r>
          <rPr>
            <sz val="9"/>
            <color indexed="81"/>
            <rFont val="Meiryo UI"/>
            <family val="2"/>
          </rPr>
          <t>APIメタデータ: {"ParameterName": "max_connections", "ParameterValue": "GREATEST({log(DBInstanceClassMemory/805306368)*45},{log(DBInstanceClassMemory/8187281408)*1000})", "Description": "The number of simultaneous client connections allowed.", "Source": "system", "ApplyType": "dynamic", "DataType": "integer", "AllowedValues": "1-50000", "IsModifiable": true, "ApplyMethod": "pending-reboot"}</t>
        </r>
      </text>
    </comment>
    <comment ref="E149" authorId="0">
      <text>
        <r>
          <rPr>
            <sz val="9"/>
            <color indexed="81"/>
            <rFont val="Meiryo UI"/>
            <family val="2"/>
          </rPr>
          <t>https://dev.mysql.com/doc/refman/8.4/en/server-system-variables.html#sysvar_max_connections
Community参考値でありAurora実効値ではありません。</t>
        </r>
      </text>
    </comment>
    <comment ref="M149"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https://docs.aws.amazon.com/AmazonRDS/latest/AuroraUserGuide/rds-proxy.html</t>
        </r>
      </text>
    </comment>
    <comment ref="B150" authorId="0">
      <text>
        <r>
          <rPr>
            <sz val="9"/>
            <color indexed="81"/>
            <rFont val="Meiryo UI"/>
            <family val="2"/>
          </rPr>
          <t>APIメタデータ: {"ParameterName": "max_delayed_threads", "Description": "Do not start more than this number of threads to handle INSERT DELAYED statements.", "Source": "engine-default", "ApplyType": "dynamic", "DataType": "integer", "AllowedValues": "0-16384", "IsModifiable": true, "ApplyMethod": "pending-reboot"}</t>
        </r>
      </text>
    </comment>
    <comment ref="E150" authorId="0">
      <text>
        <r>
          <rPr>
            <sz val="9"/>
            <color indexed="81"/>
            <rFont val="Meiryo UI"/>
            <family val="2"/>
          </rPr>
          <t>https://dev.mysql.com/doc/refman/8.4/en/server-system-variables.html#sysvar_max_delayed_threads
Community参考値でありAurora実効値ではありません。</t>
        </r>
      </text>
    </comment>
    <comment ref="M15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51" authorId="0">
      <text>
        <r>
          <rPr>
            <sz val="9"/>
            <color indexed="81"/>
            <rFont val="Meiryo UI"/>
            <family val="2"/>
          </rPr>
          <t>APIメタデータ: {"ParameterName": "max_digest_length", "Description": "The maximum number of bytes available for computing statement digests.", "Source": "engine-default", "ApplyType": "static", "DataType": "integer", "AllowedValues": "0-1048576", "IsModifiable": true, "ApplyMethod": "pending-reboot"}</t>
        </r>
      </text>
    </comment>
    <comment ref="E151" authorId="0">
      <text>
        <r>
          <rPr>
            <sz val="9"/>
            <color indexed="81"/>
            <rFont val="Meiryo UI"/>
            <family val="2"/>
          </rPr>
          <t>https://dev.mysql.com/doc/refman/8.4/en/server-system-variables.html#sysvar_max_digest_length
Community参考値でありAurora実効値ではありません。</t>
        </r>
      </text>
    </comment>
    <comment ref="M15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52" authorId="0">
      <text>
        <r>
          <rPr>
            <sz val="9"/>
            <color indexed="81"/>
            <rFont val="Meiryo UI"/>
            <family val="2"/>
          </rPr>
          <t>APIメタデータ: {"ParameterName": "max_error_count", "Description": "The maximum number of error, warning, and note messages to be stored for display.", "Source": "engine-default", "ApplyType": "dynamic", "DataType": "integer", "AllowedValues": "0-65535", "IsModifiable": true, "ApplyMethod": "pending-reboot"}</t>
        </r>
      </text>
    </comment>
    <comment ref="E152" authorId="0">
      <text>
        <r>
          <rPr>
            <sz val="9"/>
            <color indexed="81"/>
            <rFont val="Meiryo UI"/>
            <family val="2"/>
          </rPr>
          <t>https://dev.mysql.com/doc/refman/8.4/en/server-system-variables.html#sysvar_max_error_count
Community参考値でありAurora実効値ではありません。</t>
        </r>
      </text>
    </comment>
    <comment ref="M152"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53" authorId="0">
      <text>
        <r>
          <rPr>
            <sz val="9"/>
            <color indexed="81"/>
            <rFont val="Meiryo UI"/>
            <family val="2"/>
          </rPr>
          <t>APIメタデータ: {"ParameterName": "max_execution_time", "Description": "The execution timeout for SELECT statements, in milliseconds.", "Source": "engine-default", "ApplyType": "dynamic", "DataType": "integer", "AllowedValues": "0-18446744073709551615", "IsModifiable": true, "ApplyMethod": "pending-reboot"}</t>
        </r>
      </text>
    </comment>
    <comment ref="E153" authorId="0">
      <text>
        <r>
          <rPr>
            <sz val="9"/>
            <color indexed="81"/>
            <rFont val="Meiryo UI"/>
            <family val="2"/>
          </rPr>
          <t>https://dev.mysql.com/doc/refman/8.4/en/server-system-variables.html#sysvar_max_execution_time
Community参考値でありAurora実効値ではありません。</t>
        </r>
      </text>
    </comment>
    <comment ref="M153" authorId="0">
      <text>
        <r>
          <rPr>
            <sz val="9"/>
            <color indexed="81"/>
            <rFont val="Meiryo UI"/>
            <family val="2"/>
          </rPr>
          <t>https://docs.aws.amazon.com/AmazonRDS/latest/APIReference/API_DescribeDBParameters.html
https://dev.mysql.com/doc/refman/8.4/en/server-system-variables.html</t>
        </r>
      </text>
    </comment>
    <comment ref="B154" authorId="0">
      <text>
        <r>
          <rPr>
            <sz val="9"/>
            <color indexed="81"/>
            <rFont val="Meiryo UI"/>
            <family val="2"/>
          </rPr>
          <t>APIメタデータ: {"ParameterName": "max_heap_table_size", "Description": "Maximum size to which MEMORY tables are allowed to grow.", "Source": "engine-default", "ApplyType": "dynamic", "DataType": "integer", "AllowedValues": "16384-1844674407370954752", "IsModifiable": true, "ApplyMethod": "pending-reboot"}</t>
        </r>
      </text>
    </comment>
    <comment ref="E154" authorId="0">
      <text>
        <r>
          <rPr>
            <sz val="9"/>
            <color indexed="81"/>
            <rFont val="Meiryo UI"/>
            <family val="2"/>
          </rPr>
          <t>https://dev.mysql.com/doc/refman/8.4/en/server-system-variables.html#sysvar_max_heap_table_size
Community参考値でありAurora実効値ではありません。</t>
        </r>
      </text>
    </comment>
    <comment ref="M154"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155" authorId="0">
      <text>
        <r>
          <rPr>
            <sz val="9"/>
            <color indexed="81"/>
            <rFont val="Meiryo UI"/>
            <family val="2"/>
          </rPr>
          <t>APIメタデータ: {"ParameterName": "max_insert_delayed_threads", "Description": "Synonym for max_delayed_threads", "Source": "engine-default", "ApplyType": "dynamic", "DataType": "integer", "AllowedValues": "0-16384", "IsModifiable": true, "ApplyMethod": "pending-reboot"}</t>
        </r>
      </text>
    </comment>
    <comment ref="E155" authorId="0">
      <text>
        <r>
          <rPr>
            <sz val="9"/>
            <color indexed="81"/>
            <rFont val="Meiryo UI"/>
            <family val="2"/>
          </rPr>
          <t>https://dev.mysql.com/doc/refman/8.4/en/server-system-variables.html#sysvar_max_insert_delayed_threads
Community参考値でありAurora実効値ではありません。</t>
        </r>
      </text>
    </comment>
    <comment ref="M155"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56" authorId="0">
      <text>
        <r>
          <rPr>
            <sz val="9"/>
            <color indexed="81"/>
            <rFont val="Meiryo UI"/>
            <family val="2"/>
          </rPr>
          <t>APIメタデータ: {"ParameterName": "max_join_size", "Description": "Catch SELECT statements where keys are not used properly and would probably take a long time. ", "Source": "engine-default", "ApplyType": "dynamic", "DataType": "integer", "AllowedValues": "1-18446744073709551615", "IsModifiable": true, "ApplyMethod": "pending-reboot"}</t>
        </r>
      </text>
    </comment>
    <comment ref="E156" authorId="0">
      <text>
        <r>
          <rPr>
            <sz val="9"/>
            <color indexed="81"/>
            <rFont val="Meiryo UI"/>
            <family val="2"/>
          </rPr>
          <t>https://dev.mysql.com/doc/refman/8.4/en/server-system-variables.html#sysvar_max_join_size
Community参考値でありAurora実効値ではありません。</t>
        </r>
      </text>
    </comment>
    <comment ref="M156" authorId="0">
      <text>
        <r>
          <rPr>
            <sz val="9"/>
            <color indexed="81"/>
            <rFont val="Meiryo UI"/>
            <family val="2"/>
          </rPr>
          <t>https://docs.aws.amazon.com/AmazonRDS/latest/APIReference/API_DescribeDBParameters.html
https://dev.mysql.com/doc/refman/8.4/en/server-system-variables.html</t>
        </r>
      </text>
    </comment>
    <comment ref="B157" authorId="0">
      <text>
        <r>
          <rPr>
            <sz val="9"/>
            <color indexed="81"/>
            <rFont val="Meiryo UI"/>
            <family val="2"/>
          </rPr>
          <t>APIメタデータ: {"ParameterName": "max_points_in_geometry", "Description": "The maximum value of the points_per_circle argument to the ST_Buffer_Strategy() function.", "Source": "engine-default", "ApplyType": "dynamic", "DataType": "integer", "AllowedValues": "3-1048576", "IsModifiable": false, "ApplyMethod": "pending-reboot"}</t>
        </r>
      </text>
    </comment>
    <comment ref="E157" authorId="0">
      <text>
        <r>
          <rPr>
            <sz val="9"/>
            <color indexed="81"/>
            <rFont val="Meiryo UI"/>
            <family val="2"/>
          </rPr>
          <t>https://dev.mysql.com/doc/refman/8.4/en/server-system-variables.html#sysvar_max_points_in_geometry
Community参考値でありAurora実効値ではありません。</t>
        </r>
      </text>
    </comment>
    <comment ref="M15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58" authorId="0">
      <text>
        <r>
          <rPr>
            <sz val="9"/>
            <color indexed="81"/>
            <rFont val="Meiryo UI"/>
            <family val="2"/>
          </rPr>
          <t>APIメタデータ: {"ParameterName": "max_prepared_stmt_count", "Description": "Used if the potential for denial-of-service attacks based on running the server out of memory by preparing huge numbers of statements.", "Source": "engine-default", "ApplyType": "dynamic", "DataType": "integer", "AllowedValues": "0-4194304", "IsModifiable": true, "ApplyMethod": "pending-reboot"}</t>
        </r>
      </text>
    </comment>
    <comment ref="E158" authorId="0">
      <text>
        <r>
          <rPr>
            <sz val="9"/>
            <color indexed="81"/>
            <rFont val="Meiryo UI"/>
            <family val="2"/>
          </rPr>
          <t>https://dev.mysql.com/doc/refman/8.4/en/server-system-variables.html#sysvar_max_prepared_stmt_count
Community参考値でありAurora実効値ではありません。</t>
        </r>
      </text>
    </comment>
    <comment ref="M158"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59" authorId="0">
      <text>
        <r>
          <rPr>
            <sz val="9"/>
            <color indexed="81"/>
            <rFont val="Meiryo UI"/>
            <family val="2"/>
          </rPr>
          <t>APIメタデータ: {"ParameterName": "max_seeks_for_key", "Description": "A low value can force MySQL to prefer indexes instead of table scans.", "Source": "engine-default", "ApplyType": "dynamic", "DataType": "integer", "AllowedValues": "1-18446744073709547520", "IsModifiable": true, "ApplyMethod": "pending-reboot"}</t>
        </r>
      </text>
    </comment>
    <comment ref="E159" authorId="0">
      <text>
        <r>
          <rPr>
            <sz val="9"/>
            <color indexed="81"/>
            <rFont val="Meiryo UI"/>
            <family val="2"/>
          </rPr>
          <t>https://dev.mysql.com/doc/refman/8.4/en/server-system-variables.html#sysvar_max_seeks_for_key
Community参考値でありAurora実効値ではありません。</t>
        </r>
      </text>
    </comment>
    <comment ref="M159"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0" authorId="0">
      <text>
        <r>
          <rPr>
            <sz val="9"/>
            <color indexed="81"/>
            <rFont val="Meiryo UI"/>
            <family val="2"/>
          </rPr>
          <t>APIメタデータ: {"ParameterName": "max_sort_length", "Description": "The number of bytes to use when sorting BLOB or TEXT values.", "Source": "engine-default", "ApplyType": "dynamic", "DataType": "integer", "AllowedValues": "4-8388608", "IsModifiable": true, "ApplyMethod": "pending-reboot"}</t>
        </r>
      </text>
    </comment>
    <comment ref="E160" authorId="0">
      <text>
        <r>
          <rPr>
            <sz val="9"/>
            <color indexed="81"/>
            <rFont val="Meiryo UI"/>
            <family val="2"/>
          </rPr>
          <t>https://dev.mysql.com/doc/refman/8.4/en/server-system-variables.html#sysvar_max_sort_length
Community参考値でありAurora実効値ではありません。</t>
        </r>
      </text>
    </comment>
    <comment ref="M16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1" authorId="0">
      <text>
        <r>
          <rPr>
            <sz val="9"/>
            <color indexed="81"/>
            <rFont val="Meiryo UI"/>
            <family val="2"/>
          </rPr>
          <t>APIメタデータ: {"ParameterName": "max_sp_recursion_depth", "Description": "Limits the number of times a stored procedure can be called recursively minimizing the demand on thread stack space.", "Source": "engine-default", "ApplyType": "dynamic", "DataType": "integer", "AllowedValues": "0-255", "IsModifiable": true, "ApplyMethod": "pending-reboot"}</t>
        </r>
      </text>
    </comment>
    <comment ref="E161" authorId="0">
      <text>
        <r>
          <rPr>
            <sz val="9"/>
            <color indexed="81"/>
            <rFont val="Meiryo UI"/>
            <family val="2"/>
          </rPr>
          <t>https://dev.mysql.com/doc/refman/8.4/en/server-system-variables.html#sysvar_max_sp_recursion_depth
Community参考値でありAurora実効値ではありません。</t>
        </r>
      </text>
    </comment>
    <comment ref="M16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2" authorId="0">
      <text>
        <r>
          <rPr>
            <sz val="9"/>
            <color indexed="81"/>
            <rFont val="Meiryo UI"/>
            <family val="2"/>
          </rPr>
          <t>APIメタデータ: {"ParameterName": "max_user_connections", "Description": "Maximum number of simultaneous connections allowed to any given MySQL account. ", "Source": "engine-default", "ApplyType": "dynamic", "DataType": "integer", "AllowedValues": "0-4294967295", "IsModifiable": true, "ApplyMethod": "pending-reboot"}</t>
        </r>
      </text>
    </comment>
    <comment ref="E162" authorId="0">
      <text>
        <r>
          <rPr>
            <sz val="9"/>
            <color indexed="81"/>
            <rFont val="Meiryo UI"/>
            <family val="2"/>
          </rPr>
          <t>https://dev.mysql.com/doc/refman/8.4/en/server-system-variables.html#sysvar_max_user_connections
Community参考値でありAurora実効値ではありません。</t>
        </r>
      </text>
    </comment>
    <comment ref="M162" authorId="0">
      <text>
        <r>
          <rPr>
            <sz val="9"/>
            <color indexed="81"/>
            <rFont val="Meiryo UI"/>
            <family val="2"/>
          </rPr>
          <t>https://docs.aws.amazon.com/AmazonRDS/latest/APIReference/API_DescribeDBParameters.html
https://dev.mysql.com/doc/refman/8.4/en/server-system-variables.html
https://docs.aws.amazon.com/AmazonRDS/latest/AuroraUserGuide/rds-proxy-connections.html</t>
        </r>
      </text>
    </comment>
    <comment ref="B163" authorId="0">
      <text>
        <r>
          <rPr>
            <sz val="9"/>
            <color indexed="81"/>
            <rFont val="Meiryo UI"/>
            <family val="2"/>
          </rPr>
          <t>APIメタデータ: {"ParameterName": "max_write_lock_count", "Description": "After this many write locks, allow some pending read lock requests to be processed in between.", "Source": "engine-default", "ApplyType": "dynamic", "DataType": "integer", "AllowedValues": "1-18446744073709547520", "IsModifiable": true, "ApplyMethod": "pending-reboot"}</t>
        </r>
      </text>
    </comment>
    <comment ref="E163" authorId="0">
      <text>
        <r>
          <rPr>
            <sz val="9"/>
            <color indexed="81"/>
            <rFont val="Meiryo UI"/>
            <family val="2"/>
          </rPr>
          <t>https://dev.mysql.com/doc/refman/8.4/en/server-system-variables.html#sysvar_max_write_lock_count
Community参考値でありAurora実効値ではありません。</t>
        </r>
      </text>
    </comment>
    <comment ref="M16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4" authorId="0">
      <text>
        <r>
          <rPr>
            <sz val="9"/>
            <color indexed="81"/>
            <rFont val="Meiryo UI"/>
            <family val="2"/>
          </rPr>
          <t>APIメタデータ: {"ParameterName": "min_examined_row_limit", "Description": "Can be used to cause queries which examine fewer than the stated number of rows not to be logged.", "Source": "engine-default", "ApplyType": "dynamic", "DataType": "integer", "AllowedValues": "0-18446744073709547520", "IsModifiable": true, "ApplyMethod": "pending-reboot"}</t>
        </r>
      </text>
    </comment>
    <comment ref="E164" authorId="0">
      <text>
        <r>
          <rPr>
            <sz val="9"/>
            <color indexed="81"/>
            <rFont val="Meiryo UI"/>
            <family val="2"/>
          </rPr>
          <t>https://dev.mysql.com/doc/refman/8.4/en/server-system-variables.html#sysvar_min_examined_row_limit
Community参考値でありAurora実効値ではありません。</t>
        </r>
      </text>
    </comment>
    <comment ref="M16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5" authorId="0">
      <text>
        <r>
          <rPr>
            <sz val="9"/>
            <color indexed="81"/>
            <rFont val="Meiryo UI"/>
            <family val="2"/>
          </rPr>
          <t>APIメタデータ: {"ParameterName": "myisam_data_pointer_size", "Description": "The default pointer size in bytes, to be used by CREATE TABLE for MyISAM tables when no MAX_ROWS option is specified.", "Source": "engine-default", "ApplyType": "dynamic", "DataType": "integer", "AllowedValues": "2-7", "IsModifiable": true, "ApplyMethod": "pending-reboot"}</t>
        </r>
      </text>
    </comment>
    <comment ref="E165" authorId="0">
      <text>
        <r>
          <rPr>
            <sz val="9"/>
            <color indexed="81"/>
            <rFont val="Meiryo UI"/>
            <family val="2"/>
          </rPr>
          <t>https://dev.mysql.com/doc/refman/8.4/en/server-system-variables.html#sysvar_myisam_data_pointer_size
Community参考値でありAurora実効値ではありません。</t>
        </r>
      </text>
    </comment>
    <comment ref="M165"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6" authorId="0">
      <text>
        <r>
          <rPr>
            <sz val="9"/>
            <color indexed="81"/>
            <rFont val="Meiryo UI"/>
            <family val="2"/>
          </rPr>
          <t>APIメタデータ: {"ParameterName": "myisam_max_sort_file_size", "Description": "The maximum size of the temporary file that MySQL is allowed to use while re-creating a MyISAM index", "Source": "engine-default", "ApplyType": "dynamic", "DataType": "integer", "AllowedValues": "0-9223372036853727232", "IsModifiable": true, "ApplyMethod": "pending-reboot"}</t>
        </r>
      </text>
    </comment>
    <comment ref="E166" authorId="0">
      <text>
        <r>
          <rPr>
            <sz val="9"/>
            <color indexed="81"/>
            <rFont val="Meiryo UI"/>
            <family val="2"/>
          </rPr>
          <t>https://dev.mysql.com/doc/refman/8.4/en/server-system-variables.html#sysvar_myisam_max_sort_file_size
Community参考値でありAurora実効値ではありません。</t>
        </r>
      </text>
    </comment>
    <comment ref="M166"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7" authorId="0">
      <text>
        <r>
          <rPr>
            <sz val="9"/>
            <color indexed="81"/>
            <rFont val="Meiryo UI"/>
            <family val="2"/>
          </rPr>
          <t>APIメタデータ: {"ParameterName": "myisam_mmap_size", "Description": "Maximum amount of memory to use for memory mapping compressed MyISAM files", "Source": "engine-default", "ApplyType": "static", "DataType": "integer", "AllowedValues": "7-922337203685477807", "IsModifiable": true, "ApplyMethod": "pending-reboot"}</t>
        </r>
      </text>
    </comment>
    <comment ref="E167" authorId="0">
      <text>
        <r>
          <rPr>
            <sz val="9"/>
            <color indexed="81"/>
            <rFont val="Meiryo UI"/>
            <family val="2"/>
          </rPr>
          <t>https://dev.mysql.com/doc/refman/8.4/en/server-system-variables.html#sysvar_myisam_mmap_size
Community参考値でありAurora実効値ではありません。</t>
        </r>
      </text>
    </comment>
    <comment ref="M16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8" authorId="0">
      <text>
        <r>
          <rPr>
            <sz val="9"/>
            <color indexed="81"/>
            <rFont val="Meiryo UI"/>
            <family val="2"/>
          </rPr>
          <t>APIメタデータ: {"ParameterName": "myisam_sort_buffer_size", "Description": "Size of the buffer that is allocated when sorting MyISAM indexes during a REPAIR TABLE or when creating indexes with CREATE INDEX or ALTER TABLE.", "Source": "engine-default", "ApplyType": "dynamic", "DataType": "integer", "AllowedValues": "4-9223372036854775807", "IsModifiable": true, "ApplyMethod": "pending-reboot"}</t>
        </r>
      </text>
    </comment>
    <comment ref="E168" authorId="0">
      <text>
        <r>
          <rPr>
            <sz val="9"/>
            <color indexed="81"/>
            <rFont val="Meiryo UI"/>
            <family val="2"/>
          </rPr>
          <t>https://dev.mysql.com/doc/refman/8.4/en/server-system-variables.html#sysvar_myisam_sort_buffer_size
Community参考値でありAurora実効値ではありません。</t>
        </r>
      </text>
    </comment>
    <comment ref="M168"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69" authorId="0">
      <text>
        <r>
          <rPr>
            <sz val="9"/>
            <color indexed="81"/>
            <rFont val="Meiryo UI"/>
            <family val="2"/>
          </rPr>
          <t>APIメタデータ: {"ParameterName": "myisam_stats_method", "Description": "How the server treats NULL values when collecting statistics about the distribution of index values for MyISAM tables", "Source": "engine-default", "ApplyType": "dynamic", "DataType": "string", "AllowedValues": "nulls_equal,nulls_unequal,nulls_ignored", "IsModifiable": true, "ApplyMethod": "pending-reboot"}</t>
        </r>
      </text>
    </comment>
    <comment ref="E169" authorId="0">
      <text>
        <r>
          <rPr>
            <sz val="9"/>
            <color indexed="81"/>
            <rFont val="Meiryo UI"/>
            <family val="2"/>
          </rPr>
          <t>https://dev.mysql.com/doc/refman/8.4/en/server-system-variables.html#sysvar_myisam_stats_method
Community参考値でありAurora実効値ではありません。</t>
        </r>
      </text>
    </comment>
    <comment ref="M169"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70" authorId="0">
      <text>
        <r>
          <rPr>
            <sz val="9"/>
            <color indexed="81"/>
            <rFont val="Meiryo UI"/>
            <family val="2"/>
          </rPr>
          <t>APIメタデータ: {"ParameterName": "myisam_use_mmap", "Description": "Memory mapping for reading and writing MyISAM tables.", "Source": "engine-default", "ApplyType": "dynamic", "DataType": "boolean", "AllowedValues": "0,1", "IsModifiable": true, "ApplyMethod": "pending-reboot"}</t>
        </r>
      </text>
    </comment>
    <comment ref="E170" authorId="0">
      <text>
        <r>
          <rPr>
            <sz val="9"/>
            <color indexed="81"/>
            <rFont val="Meiryo UI"/>
            <family val="2"/>
          </rPr>
          <t>https://dev.mysql.com/doc/refman/8.4/en/server-system-variables.html#sysvar_myisam_use_mmap
Community参考値でありAurora実効値ではありません。</t>
        </r>
      </text>
    </comment>
    <comment ref="M17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171" authorId="0">
      <text>
        <r>
          <rPr>
            <sz val="9"/>
            <color indexed="81"/>
            <rFont val="Meiryo UI"/>
            <family val="2"/>
          </rPr>
          <t>APIメタデータ: {"ParameterName": "net_buffer_length", "Description": "This variable should not normally be changed. For use when very little memory is available. Set it to the expected length of statements sent by clients.", "Source": "engine-default", "ApplyType": "dynamic", "DataType": "integer", "AllowedValues": "1024-1048576", "IsModifiable": true, "ApplyMethod": "pending-reboot"}</t>
        </r>
      </text>
    </comment>
    <comment ref="E171" authorId="0">
      <text>
        <r>
          <rPr>
            <sz val="9"/>
            <color indexed="81"/>
            <rFont val="Meiryo UI"/>
            <family val="2"/>
          </rPr>
          <t>https://dev.mysql.com/doc/refman/8.4/en/server-system-variables.html#sysvar_net_buffer_length
Community参考値でありAurora実効値ではありません。</t>
        </r>
      </text>
    </comment>
    <comment ref="M171"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172" authorId="0">
      <text>
        <r>
          <rPr>
            <sz val="9"/>
            <color indexed="81"/>
            <rFont val="Meiryo UI"/>
            <family val="2"/>
          </rPr>
          <t>APIメタデータ: {"ParameterName": "net_read_timeout", "Description": "The number of seconds to wait for more data from a TCP/IP connection before aborting the read.", "Source": "engine-default", "ApplyType": "dynamic", "DataType": "integer", "AllowedValues": "1-31536000", "IsModifiable": true, "ApplyMethod": "pending-reboot"}</t>
        </r>
      </text>
    </comment>
    <comment ref="E172" authorId="0">
      <text>
        <r>
          <rPr>
            <sz val="9"/>
            <color indexed="81"/>
            <rFont val="Meiryo UI"/>
            <family val="2"/>
          </rPr>
          <t>https://dev.mysql.com/doc/refman/8.4/en/server-system-variables.html#sysvar_net_read_timeout
Community参考値でありAurora実効値ではありません。</t>
        </r>
      </text>
    </comment>
    <comment ref="M172" authorId="0">
      <text>
        <r>
          <rPr>
            <sz val="9"/>
            <color indexed="81"/>
            <rFont val="Meiryo UI"/>
            <family val="2"/>
          </rPr>
          <t>https://docs.aws.amazon.com/AmazonRDS/latest/APIReference/API_DescribeDBParameters.html
https://dev.mysql.com/doc/refman/8.4/en/server-system-variables.html</t>
        </r>
      </text>
    </comment>
    <comment ref="B173" authorId="0">
      <text>
        <r>
          <rPr>
            <sz val="9"/>
            <color indexed="81"/>
            <rFont val="Meiryo UI"/>
            <family val="2"/>
          </rPr>
          <t>APIメタデータ: {"ParameterName": "net_retry_count", "Description": "If a read on a communication port is interrupted, retry this many times before giving up. This value should be set quite high on freebsd because internal interrupts are sent to all threads. ", "Source": "engine-default", "ApplyType": "dynamic", "DataType": "integer", "AllowedValues": "1-9223372036854775807", "IsModifiable": true, "ApplyMethod": "pending-reboot"}</t>
        </r>
      </text>
    </comment>
    <comment ref="E173" authorId="0">
      <text>
        <r>
          <rPr>
            <sz val="9"/>
            <color indexed="81"/>
            <rFont val="Meiryo UI"/>
            <family val="2"/>
          </rPr>
          <t>https://dev.mysql.com/doc/refman/8.4/en/server-system-variables.html#sysvar_net_retry_count
Community参考値でありAurora実効値ではありません。</t>
        </r>
      </text>
    </comment>
    <comment ref="M173" authorId="0">
      <text>
        <r>
          <rPr>
            <sz val="9"/>
            <color indexed="81"/>
            <rFont val="Meiryo UI"/>
            <family val="2"/>
          </rPr>
          <t>https://docs.aws.amazon.com/AmazonRDS/latest/APIReference/API_DescribeDBParameters.html
https://dev.mysql.com/doc/refman/8.4/en/server-system-variables.html
https://dev.mysql.com/doc/refman/8.4/en/innodb-parameters.html</t>
        </r>
      </text>
    </comment>
    <comment ref="B174" authorId="0">
      <text>
        <r>
          <rPr>
            <sz val="9"/>
            <color indexed="81"/>
            <rFont val="Meiryo UI"/>
            <family val="2"/>
          </rPr>
          <t>APIメタデータ: {"ParameterName": "net_write_timeout", "Description": "The number of seconds to wait on TCP/IP connections for a block to be written before aborting the write. ", "Source": "engine-default", "ApplyType": "dynamic", "DataType": "integer", "AllowedValues": "1-31536000", "IsModifiable": true, "ApplyMethod": "pending-reboot"}</t>
        </r>
      </text>
    </comment>
    <comment ref="E174" authorId="0">
      <text>
        <r>
          <rPr>
            <sz val="9"/>
            <color indexed="81"/>
            <rFont val="Meiryo UI"/>
            <family val="2"/>
          </rPr>
          <t>https://dev.mysql.com/doc/refman/8.4/en/server-system-variables.html#sysvar_net_write_timeout
Community参考値でありAurora実効値ではありません。</t>
        </r>
      </text>
    </comment>
    <comment ref="M174" authorId="0">
      <text>
        <r>
          <rPr>
            <sz val="9"/>
            <color indexed="81"/>
            <rFont val="Meiryo UI"/>
            <family val="2"/>
          </rPr>
          <t>https://docs.aws.amazon.com/AmazonRDS/latest/APIReference/API_DescribeDBParameters.html
https://dev.mysql.com/doc/refman/8.4/en/server-system-variables.html</t>
        </r>
      </text>
    </comment>
    <comment ref="B175" authorId="0">
      <text>
        <r>
          <rPr>
            <sz val="9"/>
            <color indexed="81"/>
            <rFont val="Meiryo UI"/>
            <family val="2"/>
          </rPr>
          <t>APIメタデータ: {"ParameterName": "optimizer_prune_level", "Description": "Controls the heuristics applied during query optimization to prune less-promising partial plans from the optimizer search space.", "Source": "engine-default", "ApplyType": "dynamic", "DataType": "boolean", "AllowedValues": "0,1", "IsModifiable": true, "ApplyMethod": "pending-reboot"}</t>
        </r>
      </text>
    </comment>
    <comment ref="E175" authorId="0">
      <text>
        <r>
          <rPr>
            <sz val="9"/>
            <color indexed="81"/>
            <rFont val="Meiryo UI"/>
            <family val="2"/>
          </rPr>
          <t>https://dev.mysql.com/doc/refman/8.4/en/server-system-variables.html#sysvar_optimizer_prune_level
Community参考値でありAurora実効値ではありません。</t>
        </r>
      </text>
    </comment>
    <comment ref="M175" authorId="0">
      <text>
        <r>
          <rPr>
            <sz val="9"/>
            <color indexed="81"/>
            <rFont val="Meiryo UI"/>
            <family val="2"/>
          </rPr>
          <t>https://docs.aws.amazon.com/AmazonRDS/latest/APIReference/API_DescribeDBParameters.html
https://dev.mysql.com/doc/refman/8.4/en/server-system-variables.html</t>
        </r>
      </text>
    </comment>
    <comment ref="B176" authorId="0">
      <text>
        <r>
          <rPr>
            <sz val="9"/>
            <color indexed="81"/>
            <rFont val="Meiryo UI"/>
            <family val="2"/>
          </rPr>
          <t>APIメタデータ: {"ParameterName": "optimizer_search_depth", "Description": "The maximum depth of search performed by the query optimizer.", "Source": "engine-default", "ApplyType": "dynamic", "DataType": "integer", "AllowedValues": "0-62", "IsModifiable": true, "ApplyMethod": "pending-reboot"}</t>
        </r>
      </text>
    </comment>
    <comment ref="E176" authorId="0">
      <text>
        <r>
          <rPr>
            <sz val="9"/>
            <color indexed="81"/>
            <rFont val="Meiryo UI"/>
            <family val="2"/>
          </rPr>
          <t>https://dev.mysql.com/doc/refman/8.4/en/server-system-variables.html#sysvar_optimizer_search_depth
Community参考値でありAurora実効値ではありません。</t>
        </r>
      </text>
    </comment>
    <comment ref="M176" authorId="0">
      <text>
        <r>
          <rPr>
            <sz val="9"/>
            <color indexed="81"/>
            <rFont val="Meiryo UI"/>
            <family val="2"/>
          </rPr>
          <t>https://docs.aws.amazon.com/AmazonRDS/latest/APIReference/API_DescribeDBParameters.html
https://dev.mysql.com/doc/refman/8.4/en/server-system-variables.html</t>
        </r>
      </text>
    </comment>
    <comment ref="B177" authorId="0">
      <text>
        <r>
          <rPr>
            <sz val="9"/>
            <color indexed="81"/>
            <rFont val="Meiryo UI"/>
            <family val="2"/>
          </rPr>
          <t>APIメタデータ: {"ParameterName": "optimizer_switch", "Description": "Controls optimizer behavior. ", "Source": "engine-default", "ApplyType": "dynamic", "DataType": "list", "AllowedValues": "default,batched_key_access=on,batched_key_access=off,block_nested_loop=on,block_nested_loop=off,condition_fanout_filter=on,condition_fanout_filter=off,derived_condition_pushdown=on,derived_condition_pushdown=off,derived_merge=on,derived_merge=off,duplicateweedout=on,duplicateweedout=off,engine_condition_pushdown=on,engine_condition_pushdown=off,firstmatch=on,firstmatch=off,hash_join=on,hash_join=off,index_condition_pushdown=on,index_condition_pushdown=off,index_merge=on,index_merge=off,index_merge_intersection=on,index_merge_intersection=off,index_merge_sort_union=on,index_merge_sort_union=off,index_merge_union=on,index_merge_union=off,loosescan=on,loosescan=off,materialization=on,materialization=off,mrr=on,mrr=off,mrr_cost_based=on,mrr_cost_based=off,prefer_ordering_index=on,prefer_ordering_index=off,semijoin=on,semijoin=off,skip_scan=on,skip_scan=off,subquery_materialization_cost_based=on,subquery_materialization_cost_based=off,use_index_extensions=on,use_index_extensions=off,use_invisible_indexes=on,use_invisible_indexes=off", "IsModifiable": true, "ApplyMethod": "pending-reboot"}</t>
        </r>
      </text>
    </comment>
    <comment ref="M177" authorId="0">
      <text>
        <r>
          <rPr>
            <sz val="9"/>
            <color indexed="81"/>
            <rFont val="Meiryo UI"/>
            <family val="2"/>
          </rPr>
          <t>https://docs.aws.amazon.com/AmazonRDS/latest/APIReference/API_DescribeDBParameters.html
https://dev.mysql.com/doc/refman/8.4/en/server-system-variables.html</t>
        </r>
      </text>
    </comment>
    <comment ref="B178" authorId="0">
      <text>
        <r>
          <rPr>
            <sz val="9"/>
            <color indexed="81"/>
            <rFont val="Meiryo UI"/>
            <family val="2"/>
          </rPr>
          <t>APIメタデータ: {"ParameterName": "optimizer_trace", "Description": "Controls how statements are traced.", "Source": "engine-default", "ApplyType": "dynamic", "DataType": "string", "AllowedValues": "enabled=on,enabled=off,one_line=on,one_line=off", "IsModifiable": true, "ApplyMethod": "pending-reboot"}</t>
        </r>
      </text>
    </comment>
    <comment ref="M178" authorId="0">
      <text>
        <r>
          <rPr>
            <sz val="9"/>
            <color indexed="81"/>
            <rFont val="Meiryo UI"/>
            <family val="2"/>
          </rPr>
          <t>https://docs.aws.amazon.com/AmazonRDS/latest/APIReference/API_DescribeDBParameters.html
https://dev.mysql.com/doc/refman/8.4/en/server-system-variables.html</t>
        </r>
      </text>
    </comment>
    <comment ref="B179" authorId="0">
      <text>
        <r>
          <rPr>
            <sz val="9"/>
            <color indexed="81"/>
            <rFont val="Meiryo UI"/>
            <family val="2"/>
          </rPr>
          <t>APIメタデータ: {"ParameterName": "optimizer_trace_features", "Description": "Controls optimizations during statement tracing.", "Source": "engine-default", "ApplyType": "dynamic", "DataType": "string", "AllowedValues": "greedy_search=on,greedy_search=off,range_optimizer=on,range_optimizer=off,dynamic_range=on,dynamic_range=off,repeated_subselect=on,repeated_subselect=off", "IsModifiable": true, "ApplyMethod": "pending-reboot"}</t>
        </r>
      </text>
    </comment>
    <comment ref="M179" authorId="0">
      <text>
        <r>
          <rPr>
            <sz val="9"/>
            <color indexed="81"/>
            <rFont val="Meiryo UI"/>
            <family val="2"/>
          </rPr>
          <t>https://docs.aws.amazon.com/AmazonRDS/latest/APIReference/API_DescribeDBParameters.html
https://dev.mysql.com/doc/refman/8.4/en/server-system-variables.html</t>
        </r>
      </text>
    </comment>
    <comment ref="B180" authorId="0">
      <text>
        <r>
          <rPr>
            <sz val="9"/>
            <color indexed="81"/>
            <rFont val="Meiryo UI"/>
            <family val="2"/>
          </rPr>
          <t>APIメタデータ: {"ParameterName": "optimizer_trace_limit", "Description": "Controls the limit on trace retention.", "Source": "engine-default", "ApplyType": "dynamic", "DataType": "integer", "AllowedValues": "1-9223372036854775807", "IsModifiable": true, "ApplyMethod": "pending-reboot"}</t>
        </r>
      </text>
    </comment>
    <comment ref="E180" authorId="0">
      <text>
        <r>
          <rPr>
            <sz val="9"/>
            <color indexed="81"/>
            <rFont val="Meiryo UI"/>
            <family val="2"/>
          </rPr>
          <t>https://dev.mysql.com/doc/refman/8.4/en/server-system-variables.html#sysvar_optimizer_trace_limit
Community参考値でありAurora実効値ではありません。</t>
        </r>
      </text>
    </comment>
    <comment ref="M180" authorId="0">
      <text>
        <r>
          <rPr>
            <sz val="9"/>
            <color indexed="81"/>
            <rFont val="Meiryo UI"/>
            <family val="2"/>
          </rPr>
          <t>https://docs.aws.amazon.com/AmazonRDS/latest/APIReference/API_DescribeDBParameters.html
https://dev.mysql.com/doc/refman/8.4/en/server-system-variables.html</t>
        </r>
      </text>
    </comment>
    <comment ref="B181" authorId="0">
      <text>
        <r>
          <rPr>
            <sz val="9"/>
            <color indexed="81"/>
            <rFont val="Meiryo UI"/>
            <family val="2"/>
          </rPr>
          <t>APIメタデータ: {"ParameterName": "optimizer_trace_max_mem_size", "Description": "Maximum allowed cumulated size of stored optimizer traces", "Source": "engine-default", "ApplyType": "dynamic", "DataType": "integer", "AllowedValues": "0-18446744073709551615", "IsModifiable": true, "ApplyMethod": "pending-reboot"}</t>
        </r>
      </text>
    </comment>
    <comment ref="E181" authorId="0">
      <text>
        <r>
          <rPr>
            <sz val="9"/>
            <color indexed="81"/>
            <rFont val="Meiryo UI"/>
            <family val="2"/>
          </rPr>
          <t>https://dev.mysql.com/doc/refman/8.4/en/server-system-variables.html#sysvar_optimizer_trace_max_mem_size
Community参考値でありAurora実効値ではありません。</t>
        </r>
      </text>
    </comment>
    <comment ref="M181" authorId="0">
      <text>
        <r>
          <rPr>
            <sz val="9"/>
            <color indexed="81"/>
            <rFont val="Meiryo UI"/>
            <family val="2"/>
          </rPr>
          <t>https://docs.aws.amazon.com/AmazonRDS/latest/APIReference/API_DescribeDBParameters.html
https://dev.mysql.com/doc/refman/8.4/en/server-system-variables.html</t>
        </r>
      </text>
    </comment>
    <comment ref="B182" authorId="0">
      <text>
        <r>
          <rPr>
            <sz val="9"/>
            <color indexed="81"/>
            <rFont val="Meiryo UI"/>
            <family val="2"/>
          </rPr>
          <t>APIメタデータ: {"ParameterName": "optimizer_trace_offset", "Description": "Controls the offset on trace retention.", "Source": "engine-default", "ApplyType": "dynamic", "DataType": "integer", "AllowedValues": "-9223372036854775807-9223372036854775807", "IsModifiable": true, "ApplyMethod": "pending-reboot"}</t>
        </r>
      </text>
    </comment>
    <comment ref="E182" authorId="0">
      <text>
        <r>
          <rPr>
            <sz val="9"/>
            <color indexed="81"/>
            <rFont val="Meiryo UI"/>
            <family val="2"/>
          </rPr>
          <t>https://dev.mysql.com/doc/refman/8.4/en/server-system-variables.html#sysvar_optimizer_trace_offset
Community参考値でありAurora実効値ではありません。</t>
        </r>
      </text>
    </comment>
    <comment ref="M182" authorId="0">
      <text>
        <r>
          <rPr>
            <sz val="9"/>
            <color indexed="81"/>
            <rFont val="Meiryo UI"/>
            <family val="2"/>
          </rPr>
          <t>https://docs.aws.amazon.com/AmazonRDS/latest/APIReference/API_DescribeDBParameters.html
https://dev.mysql.com/doc/refman/8.4/en/server-system-variables.html</t>
        </r>
      </text>
    </comment>
    <comment ref="B183" authorId="0">
      <text>
        <r>
          <rPr>
            <sz val="9"/>
            <color indexed="81"/>
            <rFont val="Meiryo UI"/>
            <family val="2"/>
          </rPr>
          <t>APIメタデータ: {"ParameterName": "performance_schema", "ParameterValue": "0", "Description": "Enables or disables the Performance Schema", "Source": "system", "ApplyType": "static", "DataType": "boolean", "AllowedValues": "0,1", "IsModifiable": true, "ApplyMethod": "pending-reboot"}</t>
        </r>
      </text>
    </comment>
    <comment ref="E183" authorId="0">
      <text>
        <r>
          <rPr>
            <sz val="9"/>
            <color indexed="81"/>
            <rFont val="Meiryo UI"/>
            <family val="2"/>
          </rPr>
          <t>https://dev.mysql.com/doc/refman/8.4/en/performance-schema-system-variables.html#sysvar_performance_schema
Community参考値でありAurora実効値ではありません。</t>
        </r>
      </text>
    </comment>
    <comment ref="M183" authorId="0">
      <text>
        <r>
          <rPr>
            <sz val="9"/>
            <color indexed="81"/>
            <rFont val="Meiryo UI"/>
            <family val="2"/>
          </rPr>
          <t>https://docs.aws.amazon.com/AmazonRDS/latest/APIReference/API_DescribeDBParameters.html
https://docs.aws.amazon.com/AmazonRDS/latest/AuroraUserGuide/USER_DatabaseInsights.html
https://docs.aws.amazon.com/AmazonRDS/latest/AuroraUserGuide/USER_PerfInsights.Enabling.html</t>
        </r>
      </text>
    </comment>
    <comment ref="B184" authorId="0">
      <text>
        <r>
          <rPr>
            <sz val="9"/>
            <color indexed="81"/>
            <rFont val="Meiryo UI"/>
            <family val="2"/>
          </rPr>
          <t>APIメタデータ: {"ParameterName": "performance_schema_accounts_size", "Description": "The number of rows in the Performance Schema accounts table.", "Source": "engine-default", "ApplyType": "static", "DataType": "integer", "AllowedValues": "-1-1048576", "IsModifiable": true, "ApplyMethod": "pending-reboot"}</t>
        </r>
      </text>
    </comment>
    <comment ref="E184" authorId="0">
      <text>
        <r>
          <rPr>
            <sz val="9"/>
            <color indexed="81"/>
            <rFont val="Meiryo UI"/>
            <family val="2"/>
          </rPr>
          <t>https://dev.mysql.com/doc/refman/8.4/en/performance-schema-system-variables.html#sysvar_performance_schema_accounts_size
Community参考値でありAurora実効値ではありません。</t>
        </r>
      </text>
    </comment>
    <comment ref="M184"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85" authorId="0">
      <text>
        <r>
          <rPr>
            <sz val="9"/>
            <color indexed="81"/>
            <rFont val="Meiryo UI"/>
            <family val="2"/>
          </rPr>
          <t>APIメタデータ: {"ParameterName": "performance_schema_consumer_events_stages_current", "Description": "Enable the events_stages_current consumer", "Source": "engine-default", "ApplyType": "static", "DataType": "boolean", "AllowedValues": "0,1", "IsModifiable": true, "ApplyMethod": "pending-reboot"}</t>
        </r>
      </text>
    </comment>
    <comment ref="M185"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86" authorId="0">
      <text>
        <r>
          <rPr>
            <sz val="9"/>
            <color indexed="81"/>
            <rFont val="Meiryo UI"/>
            <family val="2"/>
          </rPr>
          <t>APIメタデータ: {"ParameterName": "performance_schema_consumer_events_stages_history", "Description": "Enable the events_stages_history consumer", "Source": "engine-default", "ApplyType": "static", "DataType": "boolean", "AllowedValues": "0,1", "IsModifiable": true, "ApplyMethod": "pending-reboot"}</t>
        </r>
      </text>
    </comment>
    <comment ref="M186"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87" authorId="0">
      <text>
        <r>
          <rPr>
            <sz val="9"/>
            <color indexed="81"/>
            <rFont val="Meiryo UI"/>
            <family val="2"/>
          </rPr>
          <t>APIメタデータ: {"ParameterName": "performance_schema_consumer_events_stages_history_long", "Description": "Enable the events_stages_history_long consumer", "Source": "engine-default", "ApplyType": "static", "DataType": "boolean", "AllowedValues": "0,1", "IsModifiable": true, "ApplyMethod": "pending-reboot"}</t>
        </r>
      </text>
    </comment>
    <comment ref="M187"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88" authorId="0">
      <text>
        <r>
          <rPr>
            <sz val="9"/>
            <color indexed="81"/>
            <rFont val="Meiryo UI"/>
            <family val="2"/>
          </rPr>
          <t>APIメタデータ: {"ParameterName": "performance_schema_consumer_events_statements_current", "Description": "Enable the events_statements_current consumer", "Source": "engine-default", "ApplyType": "static", "DataType": "boolean", "AllowedValues": "0,1", "IsModifiable": true, "ApplyMethod": "pending-reboot"}</t>
        </r>
      </text>
    </comment>
    <comment ref="M188"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89" authorId="0">
      <text>
        <r>
          <rPr>
            <sz val="9"/>
            <color indexed="81"/>
            <rFont val="Meiryo UI"/>
            <family val="2"/>
          </rPr>
          <t>APIメタデータ: {"ParameterName": "performance_schema_consumer_events_statements_history", "Description": "Enable the events_statements_history consumer", "Source": "engine-default", "ApplyType": "static", "DataType": "boolean", "AllowedValues": "0,1", "IsModifiable": true, "ApplyMethod": "pending-reboot"}</t>
        </r>
      </text>
    </comment>
    <comment ref="M189"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0" authorId="0">
      <text>
        <r>
          <rPr>
            <sz val="9"/>
            <color indexed="81"/>
            <rFont val="Meiryo UI"/>
            <family val="2"/>
          </rPr>
          <t>APIメタデータ: {"ParameterName": "performance_schema_consumer_events_statements_history_long", "Description": "Enable the events_statements_history_long consumer", "Source": "engine-default", "ApplyType": "static", "DataType": "boolean", "AllowedValues": "0,1", "IsModifiable": true, "ApplyMethod": "pending-reboot"}</t>
        </r>
      </text>
    </comment>
    <comment ref="M190"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1" authorId="0">
      <text>
        <r>
          <rPr>
            <sz val="9"/>
            <color indexed="81"/>
            <rFont val="Meiryo UI"/>
            <family val="2"/>
          </rPr>
          <t>APIメタデータ: {"ParameterName": "performance-schema-consumer-events-waits-current", "Description": "Configure the events-waits-current consumer.", "Source": "engine-default", "ApplyType": "static", "DataType": "string", "AllowedValues": "ON,OFF", "IsModifiable": true, "ApplyMethod": "pending-reboot"}</t>
        </r>
      </text>
    </comment>
    <comment ref="M191"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2" authorId="0">
      <text>
        <r>
          <rPr>
            <sz val="9"/>
            <color indexed="81"/>
            <rFont val="Meiryo UI"/>
            <family val="2"/>
          </rPr>
          <t>APIメタデータ: {"ParameterName": "performance_schema_consumer_events_waits_history", "Description": "Enable the events_waits_history consumer", "Source": "engine-default", "ApplyType": "static", "DataType": "boolean", "AllowedValues": "0,1", "IsModifiable": true, "ApplyMethod": "pending-reboot"}</t>
        </r>
      </text>
    </comment>
    <comment ref="M192"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3" authorId="0">
      <text>
        <r>
          <rPr>
            <sz val="9"/>
            <color indexed="81"/>
            <rFont val="Meiryo UI"/>
            <family val="2"/>
          </rPr>
          <t>APIメタデータ: {"ParameterName": "performance_schema_consumer_events_waits_history_long", "Description": "Enable the events_waits_history_long consumer", "Source": "engine-default", "ApplyType": "static", "DataType": "boolean", "AllowedValues": "0,1", "IsModifiable": true, "ApplyMethod": "pending-reboot"}</t>
        </r>
      </text>
    </comment>
    <comment ref="M193"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4" authorId="0">
      <text>
        <r>
          <rPr>
            <sz val="9"/>
            <color indexed="81"/>
            <rFont val="Meiryo UI"/>
            <family val="2"/>
          </rPr>
          <t>APIメタデータ: {"ParameterName": "performance_schema_consumer_global_instrumentation", "Description": "Enable the global instrumentation consumer", "Source": "engine-default", "ApplyType": "static", "DataType": "boolean", "AllowedValues": "0,1", "IsModifiable": true, "ApplyMethod": "pending-reboot"}</t>
        </r>
      </text>
    </comment>
    <comment ref="M194"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5" authorId="0">
      <text>
        <r>
          <rPr>
            <sz val="9"/>
            <color indexed="81"/>
            <rFont val="Meiryo UI"/>
            <family val="2"/>
          </rPr>
          <t>APIメタデータ: {"ParameterName": "performance_schema_consumer_statements_digest", "Description": "Enable the statements_digest consumer", "Source": "engine-default", "ApplyType": "static", "DataType": "boolean", "AllowedValues": "0,1", "IsModifiable": true, "ApplyMethod": "pending-reboot"}</t>
        </r>
      </text>
    </comment>
    <comment ref="M195"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6" authorId="0">
      <text>
        <r>
          <rPr>
            <sz val="9"/>
            <color indexed="81"/>
            <rFont val="Meiryo UI"/>
            <family val="2"/>
          </rPr>
          <t>APIメタデータ: {"ParameterName": "performance_schema_consumer_thread_instrumentation", "Description": "Enable the thread instrumentation consumer", "Source": "engine-default", "ApplyType": "static", "DataType": "boolean", "AllowedValues": "0,1", "IsModifiable": true, "ApplyMethod": "pending-reboot"}</t>
        </r>
      </text>
    </comment>
    <comment ref="M196"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7" authorId="0">
      <text>
        <r>
          <rPr>
            <sz val="9"/>
            <color indexed="81"/>
            <rFont val="Meiryo UI"/>
            <family val="2"/>
          </rPr>
          <t>APIメタデータ: {"ParameterName": "performance_schema_digests_size", "Description": "The maximum number of rows in the events_statements_summary_by_digest table.", "Source": "engine-default", "ApplyType": "static", "DataType": "integer", "AllowedValues": "-1-1048576", "IsModifiable": true, "ApplyMethod": "pending-reboot"}</t>
        </r>
      </text>
    </comment>
    <comment ref="E197" authorId="0">
      <text>
        <r>
          <rPr>
            <sz val="9"/>
            <color indexed="81"/>
            <rFont val="Meiryo UI"/>
            <family val="2"/>
          </rPr>
          <t>https://dev.mysql.com/doc/refman/8.4/en/performance-schema-system-variables.html#sysvar_performance_schema_digests_size
Community参考値でありAurora実効値ではありません。</t>
        </r>
      </text>
    </comment>
    <comment ref="M197"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8" authorId="0">
      <text>
        <r>
          <rPr>
            <sz val="9"/>
            <color indexed="81"/>
            <rFont val="Meiryo UI"/>
            <family val="2"/>
          </rPr>
          <t>APIメタデータ: {"ParameterName": "performance_schema_events_stages_history_long_size", "Description": "The number of rows in the events_stages_history_long table.", "Source": "engine-default", "ApplyType": "static", "DataType": "integer", "AllowedValues": "-1-1048576", "IsModifiable": true, "ApplyMethod": "pending-reboot"}</t>
        </r>
      </text>
    </comment>
    <comment ref="E198" authorId="0">
      <text>
        <r>
          <rPr>
            <sz val="9"/>
            <color indexed="81"/>
            <rFont val="Meiryo UI"/>
            <family val="2"/>
          </rPr>
          <t>https://dev.mysql.com/doc/refman/8.4/en/performance-schema-system-variables.html#sysvar_performance_schema_events_stages_history_long_size
Community参考値でありAurora実効値ではありません。</t>
        </r>
      </text>
    </comment>
    <comment ref="M198"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199" authorId="0">
      <text>
        <r>
          <rPr>
            <sz val="9"/>
            <color indexed="81"/>
            <rFont val="Meiryo UI"/>
            <family val="2"/>
          </rPr>
          <t>APIメタデータ: {"ParameterName": "performance_schema_events_stages_history_size", "Description": "The number of rows per thread in the events_stages_history table.", "Source": "engine-default", "ApplyType": "static", "DataType": "integer", "AllowedValues": "-1-1024", "IsModifiable": true, "ApplyMethod": "pending-reboot"}</t>
        </r>
      </text>
    </comment>
    <comment ref="E199" authorId="0">
      <text>
        <r>
          <rPr>
            <sz val="9"/>
            <color indexed="81"/>
            <rFont val="Meiryo UI"/>
            <family val="2"/>
          </rPr>
          <t>https://dev.mysql.com/doc/refman/8.4/en/performance-schema-system-variables.html#sysvar_performance_schema_events_stages_history_size
Community参考値でありAurora実効値ではありません。</t>
        </r>
      </text>
    </comment>
    <comment ref="M199"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0" authorId="0">
      <text>
        <r>
          <rPr>
            <sz val="9"/>
            <color indexed="81"/>
            <rFont val="Meiryo UI"/>
            <family val="2"/>
          </rPr>
          <t>APIメタデータ: {"ParameterName": "performance_schema_events_statements_history_long_size", "Description": "The number of rows in the events_statements_history_long table.", "Source": "engine-default", "ApplyType": "static", "DataType": "integer", "AllowedValues": "-1-1048576", "IsModifiable": true, "ApplyMethod": "pending-reboot"}</t>
        </r>
      </text>
    </comment>
    <comment ref="E200" authorId="0">
      <text>
        <r>
          <rPr>
            <sz val="9"/>
            <color indexed="81"/>
            <rFont val="Meiryo UI"/>
            <family val="2"/>
          </rPr>
          <t>https://dev.mysql.com/doc/refman/8.4/en/performance-schema-system-variables.html#sysvar_performance_schema_events_statements_history_long_size
Community参考値でありAurora実効値ではありません。</t>
        </r>
      </text>
    </comment>
    <comment ref="M200"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1" authorId="0">
      <text>
        <r>
          <rPr>
            <sz val="9"/>
            <color indexed="81"/>
            <rFont val="Meiryo UI"/>
            <family val="2"/>
          </rPr>
          <t>APIメタデータ: {"ParameterName": "performance_schema_events_statements_history_size", "Description": "The number of rows per thread in the events_statements_history table.", "Source": "engine-default", "ApplyType": "static", "DataType": "integer", "AllowedValues": "-1-1024", "IsModifiable": true, "ApplyMethod": "pending-reboot"}</t>
        </r>
      </text>
    </comment>
    <comment ref="E201" authorId="0">
      <text>
        <r>
          <rPr>
            <sz val="9"/>
            <color indexed="81"/>
            <rFont val="Meiryo UI"/>
            <family val="2"/>
          </rPr>
          <t>https://dev.mysql.com/doc/refman/8.4/en/performance-schema-system-variables.html#sysvar_performance_schema_events_statements_history_size
Community参考値でありAurora実効値ではありません。</t>
        </r>
      </text>
    </comment>
    <comment ref="M201"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2" authorId="0">
      <text>
        <r>
          <rPr>
            <sz val="9"/>
            <color indexed="81"/>
            <rFont val="Meiryo UI"/>
            <family val="2"/>
          </rPr>
          <t>APIメタデータ: {"ParameterName": "performance_schema_events_transactions_history_long_size", "Description": "The number of rows in the events_transactions_history_long table.", "Source": "engine-default", "ApplyType": "static", "DataType": "integer", "AllowedValues": "-1-1048576", "IsModifiable": true, "ApplyMethod": "pending-reboot"}</t>
        </r>
      </text>
    </comment>
    <comment ref="E202" authorId="0">
      <text>
        <r>
          <rPr>
            <sz val="9"/>
            <color indexed="81"/>
            <rFont val="Meiryo UI"/>
            <family val="2"/>
          </rPr>
          <t>https://dev.mysql.com/doc/refman/8.4/en/performance-schema-system-variables.html#sysvar_performance_schema_events_transactions_history_long_size
Community参考値でありAurora実効値ではありません。</t>
        </r>
      </text>
    </comment>
    <comment ref="M202"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3" authorId="0">
      <text>
        <r>
          <rPr>
            <sz val="9"/>
            <color indexed="81"/>
            <rFont val="Meiryo UI"/>
            <family val="2"/>
          </rPr>
          <t>APIメタデータ: {"ParameterName": "performance_schema_events_transactions_history_size", "Description": "The number of rows per thread in the events_transactions_history table.", "Source": "engine-default", "ApplyType": "static", "DataType": "integer", "AllowedValues": "-1-1024", "IsModifiable": true, "ApplyMethod": "pending-reboot"}</t>
        </r>
      </text>
    </comment>
    <comment ref="E203" authorId="0">
      <text>
        <r>
          <rPr>
            <sz val="9"/>
            <color indexed="81"/>
            <rFont val="Meiryo UI"/>
            <family val="2"/>
          </rPr>
          <t>https://dev.mysql.com/doc/refman/8.4/en/performance-schema-system-variables.html#sysvar_performance_schema_events_transactions_history_size
Community参考値でありAurora実効値ではありません。</t>
        </r>
      </text>
    </comment>
    <comment ref="M203"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4" authorId="0">
      <text>
        <r>
          <rPr>
            <sz val="9"/>
            <color indexed="81"/>
            <rFont val="Meiryo UI"/>
            <family val="2"/>
          </rPr>
          <t>APIメタデータ: {"ParameterName": "performance_schema_events_waits_history_long_size", "Description": "The number of rows in the events_waits_history_long table.", "Source": "engine-default", "ApplyType": "static", "DataType": "integer", "AllowedValues": "-1-1048576", "IsModifiable": true, "ApplyMethod": "pending-reboot"}</t>
        </r>
      </text>
    </comment>
    <comment ref="E204" authorId="0">
      <text>
        <r>
          <rPr>
            <sz val="9"/>
            <color indexed="81"/>
            <rFont val="Meiryo UI"/>
            <family val="2"/>
          </rPr>
          <t>https://dev.mysql.com/doc/refman/8.4/en/performance-schema-system-variables.html#sysvar_performance_schema_events_waits_history_long_size
Community参考値でありAurora実効値ではありません。</t>
        </r>
      </text>
    </comment>
    <comment ref="M204"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5" authorId="0">
      <text>
        <r>
          <rPr>
            <sz val="9"/>
            <color indexed="81"/>
            <rFont val="Meiryo UI"/>
            <family val="2"/>
          </rPr>
          <t>APIメタデータ: {"ParameterName": "performance_schema_events_waits_history_size", "Description": "The number of rows per thread in the events_waits_history table.", "Source": "engine-default", "ApplyType": "static", "DataType": "integer", "AllowedValues": "-1-1024", "IsModifiable": true, "ApplyMethod": "pending-reboot"}</t>
        </r>
      </text>
    </comment>
    <comment ref="E205" authorId="0">
      <text>
        <r>
          <rPr>
            <sz val="9"/>
            <color indexed="81"/>
            <rFont val="Meiryo UI"/>
            <family val="2"/>
          </rPr>
          <t>https://dev.mysql.com/doc/refman/8.4/en/performance-schema-system-variables.html#sysvar_performance_schema_events_waits_history_size
Community参考値でありAurora実効値ではありません。</t>
        </r>
      </text>
    </comment>
    <comment ref="M205"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6" authorId="0">
      <text>
        <r>
          <rPr>
            <sz val="9"/>
            <color indexed="81"/>
            <rFont val="Meiryo UI"/>
            <family val="2"/>
          </rPr>
          <t>APIメタデータ: {"ParameterName": "performance_schema_hosts_size", "Description": "The number of rows in the hosts table.", "Source": "engine-default", "ApplyType": "static", "DataType": "integer", "AllowedValues": "-1-1048576", "IsModifiable": true, "ApplyMethod": "pending-reboot"}</t>
        </r>
      </text>
    </comment>
    <comment ref="E206" authorId="0">
      <text>
        <r>
          <rPr>
            <sz val="9"/>
            <color indexed="81"/>
            <rFont val="Meiryo UI"/>
            <family val="2"/>
          </rPr>
          <t>https://dev.mysql.com/doc/refman/8.4/en/performance-schema-system-variables.html#sysvar_performance_schema_hosts_size
Community参考値でありAurora実効値ではありません。</t>
        </r>
      </text>
    </comment>
    <comment ref="M206"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7" authorId="0">
      <text>
        <r>
          <rPr>
            <sz val="9"/>
            <color indexed="81"/>
            <rFont val="Meiryo UI"/>
            <family val="2"/>
          </rPr>
          <t>APIメタデータ: {"ParameterName": "performance-schema-instrument", "Description": "Configure a Performance Schema instrument. The name may be given as a pattern to configure instruments that match the pattern.", "Source": "engine-default", "ApplyType": "static", "DataType": "string", "IsModifiable": true, "ApplyMethod": "pending-reboot"}</t>
        </r>
      </text>
    </comment>
    <comment ref="M207"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8" authorId="0">
      <text>
        <r>
          <rPr>
            <sz val="9"/>
            <color indexed="81"/>
            <rFont val="Meiryo UI"/>
            <family val="2"/>
          </rPr>
          <t>APIメタデータ: {"ParameterName": "performance_schema_max_cond_classes", "Description": "The maximum number of condition instruments.", "Source": "engine-default", "ApplyType": "static", "DataType": "integer", "AllowedValues": "0-256", "IsModifiable": true, "ApplyMethod": "pending-reboot"}</t>
        </r>
      </text>
    </comment>
    <comment ref="E208" authorId="0">
      <text>
        <r>
          <rPr>
            <sz val="9"/>
            <color indexed="81"/>
            <rFont val="Meiryo UI"/>
            <family val="2"/>
          </rPr>
          <t>https://dev.mysql.com/doc/refman/8.4/en/performance-schema-system-variables.html#sysvar_performance_schema_max_cond_classes
Community参考値でありAurora実効値ではありません。</t>
        </r>
      </text>
    </comment>
    <comment ref="M208"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09" authorId="0">
      <text>
        <r>
          <rPr>
            <sz val="9"/>
            <color indexed="81"/>
            <rFont val="Meiryo UI"/>
            <family val="2"/>
          </rPr>
          <t>APIメタデータ: {"ParameterName": "performance_schema_max_cond_instances", "Description": "The maximum number of instrumented condition objects.", "Source": "engine-default", "ApplyType": "static", "DataType": "integer", "AllowedValues": "-1-1048576", "IsModifiable": true, "ApplyMethod": "pending-reboot"}</t>
        </r>
      </text>
    </comment>
    <comment ref="E209" authorId="0">
      <text>
        <r>
          <rPr>
            <sz val="9"/>
            <color indexed="81"/>
            <rFont val="Meiryo UI"/>
            <family val="2"/>
          </rPr>
          <t>https://dev.mysql.com/doc/refman/8.4/en/performance-schema-system-variables.html#sysvar_performance_schema_max_cond_instances
Community参考値でありAurora実効値ではありません。</t>
        </r>
      </text>
    </comment>
    <comment ref="M209"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0" authorId="0">
      <text>
        <r>
          <rPr>
            <sz val="9"/>
            <color indexed="81"/>
            <rFont val="Meiryo UI"/>
            <family val="2"/>
          </rPr>
          <t>APIメタデータ: {"ParameterName": "performance_schema_max_digest_length", "Description": "The maximum number of bytes available for computing statement digests.", "Source": "engine-default", "ApplyType": "static", "DataType": "integer", "AllowedValues": "-1-1048576", "IsModifiable": true, "ApplyMethod": "pending-reboot"}</t>
        </r>
      </text>
    </comment>
    <comment ref="E210" authorId="0">
      <text>
        <r>
          <rPr>
            <sz val="9"/>
            <color indexed="81"/>
            <rFont val="Meiryo UI"/>
            <family val="2"/>
          </rPr>
          <t>https://dev.mysql.com/doc/refman/8.4/en/performance-schema-system-variables.html#sysvar_performance_schema_max_digest_length
Community参考値でありAurora実効値ではありません。</t>
        </r>
      </text>
    </comment>
    <comment ref="M210"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1" authorId="0">
      <text>
        <r>
          <rPr>
            <sz val="9"/>
            <color indexed="81"/>
            <rFont val="Meiryo UI"/>
            <family val="2"/>
          </rPr>
          <t>APIメタデータ: {"ParameterName": "performance_schema_max_digest_sample_age", "Description": "The time in seconds after which a previous query sample is considered old. When the value is 0, queries are sampled once. When the value is greater than zero, queries are re sampled if the last sample is more than performance_schema_max_digest_sample_age seconds old.", "Source": "engine-default", "ApplyType": "dynamic", "DataType": "integer", "AllowedValues": "0-1048576", "IsModifiable": true, "ApplyMethod": "pending-reboot"}</t>
        </r>
      </text>
    </comment>
    <comment ref="E211" authorId="0">
      <text>
        <r>
          <rPr>
            <sz val="9"/>
            <color indexed="81"/>
            <rFont val="Meiryo UI"/>
            <family val="2"/>
          </rPr>
          <t>https://dev.mysql.com/doc/refman/8.4/en/performance-schema-system-variables.html#sysvar_performance_schema_max_digest_sample_age
Community参考値でありAurora実効値ではありません。</t>
        </r>
      </text>
    </comment>
    <comment ref="M211"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2" authorId="0">
      <text>
        <r>
          <rPr>
            <sz val="9"/>
            <color indexed="81"/>
            <rFont val="Meiryo UI"/>
            <family val="2"/>
          </rPr>
          <t>APIメタデータ: {"ParameterName": "performance_schema_max_file_classes", "Description": "The maximum number of file instruments.", "Source": "engine-default", "ApplyType": "static", "DataType": "integer", "AllowedValues": "0-256", "IsModifiable": true, "ApplyMethod": "pending-reboot"}</t>
        </r>
      </text>
    </comment>
    <comment ref="E212" authorId="0">
      <text>
        <r>
          <rPr>
            <sz val="9"/>
            <color indexed="81"/>
            <rFont val="Meiryo UI"/>
            <family val="2"/>
          </rPr>
          <t>https://dev.mysql.com/doc/refman/8.4/en/performance-schema-system-variables.html#sysvar_performance_schema_max_file_classes
Community参考値でありAurora実効値ではありません。</t>
        </r>
      </text>
    </comment>
    <comment ref="M212"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3" authorId="0">
      <text>
        <r>
          <rPr>
            <sz val="9"/>
            <color indexed="81"/>
            <rFont val="Meiryo UI"/>
            <family val="2"/>
          </rPr>
          <t>APIメタデータ: {"ParameterName": "performance_schema_max_file_handles", "Description": "The maximum number of opened file objects.", "Source": "engine-default", "ApplyType": "static", "DataType": "integer", "AllowedValues": "0-1048576", "IsModifiable": true, "ApplyMethod": "pending-reboot"}</t>
        </r>
      </text>
    </comment>
    <comment ref="E213" authorId="0">
      <text>
        <r>
          <rPr>
            <sz val="9"/>
            <color indexed="81"/>
            <rFont val="Meiryo UI"/>
            <family val="2"/>
          </rPr>
          <t>https://dev.mysql.com/doc/refman/8.4/en/performance-schema-system-variables.html#sysvar_performance_schema_max_file_handles
Community参考値でありAurora実効値ではありません。</t>
        </r>
      </text>
    </comment>
    <comment ref="M213"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4" authorId="0">
      <text>
        <r>
          <rPr>
            <sz val="9"/>
            <color indexed="81"/>
            <rFont val="Meiryo UI"/>
            <family val="2"/>
          </rPr>
          <t>APIメタデータ: {"ParameterName": "performance_schema_max_file_instances", "Description": "The maximum number of instrumented file objects.", "Source": "engine-default", "ApplyType": "static", "DataType": "integer", "AllowedValues": "-1-1048576", "IsModifiable": true, "ApplyMethod": "pending-reboot"}</t>
        </r>
      </text>
    </comment>
    <comment ref="E214" authorId="0">
      <text>
        <r>
          <rPr>
            <sz val="9"/>
            <color indexed="81"/>
            <rFont val="Meiryo UI"/>
            <family val="2"/>
          </rPr>
          <t>https://dev.mysql.com/doc/refman/8.4/en/performance-schema-system-variables.html#sysvar_performance_schema_max_file_instances
Community参考値でありAurora実効値ではありません。</t>
        </r>
      </text>
    </comment>
    <comment ref="M214"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5" authorId="0">
      <text>
        <r>
          <rPr>
            <sz val="9"/>
            <color indexed="81"/>
            <rFont val="Meiryo UI"/>
            <family val="2"/>
          </rPr>
          <t>APIメタデータ: {"ParameterName": "performance_schema_max_index_stat", "Description": "The maximum number of indexes for which the Performance Schema maintains statistics.", "Source": "engine-default", "ApplyType": "static", "DataType": "integer", "AllowedValues": "-1-1048576", "IsModifiable": true, "ApplyMethod": "pending-reboot"}</t>
        </r>
      </text>
    </comment>
    <comment ref="E215" authorId="0">
      <text>
        <r>
          <rPr>
            <sz val="9"/>
            <color indexed="81"/>
            <rFont val="Meiryo UI"/>
            <family val="2"/>
          </rPr>
          <t>https://dev.mysql.com/doc/refman/8.4/en/performance-schema-system-variables.html#sysvar_performance_schema_max_index_stat
Community参考値でありAurora実効値ではありません。</t>
        </r>
      </text>
    </comment>
    <comment ref="M215"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6" authorId="0">
      <text>
        <r>
          <rPr>
            <sz val="9"/>
            <color indexed="81"/>
            <rFont val="Meiryo UI"/>
            <family val="2"/>
          </rPr>
          <t>APIメタデータ: {"ParameterName": "performance_schema_max_memory_classes", "Description": "The maximum number of memory instruments.", "Source": "engine-default", "ApplyType": "static", "DataType": "integer", "AllowedValues": "-1-1024", "IsModifiable": true, "ApplyMethod": "pending-reboot"}</t>
        </r>
      </text>
    </comment>
    <comment ref="E216" authorId="0">
      <text>
        <r>
          <rPr>
            <sz val="9"/>
            <color indexed="81"/>
            <rFont val="Meiryo UI"/>
            <family val="2"/>
          </rPr>
          <t>https://dev.mysql.com/doc/refman/8.4/en/performance-schema-system-variables.html#sysvar_performance_schema_max_memory_classes
Community参考値でありAurora実効値ではありません。</t>
        </r>
      </text>
    </comment>
    <comment ref="M216"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7" authorId="0">
      <text>
        <r>
          <rPr>
            <sz val="9"/>
            <color indexed="81"/>
            <rFont val="Meiryo UI"/>
            <family val="2"/>
          </rPr>
          <t>APIメタデータ: {"ParameterName": "performance_schema_max_metadata_locks", "Description": "The maximum number of metadata lock instruments.", "Source": "engine-default", "ApplyType": "static", "DataType": "integer", "AllowedValues": "-1-104857600", "IsModifiable": true, "ApplyMethod": "pending-reboot"}</t>
        </r>
      </text>
    </comment>
    <comment ref="E217" authorId="0">
      <text>
        <r>
          <rPr>
            <sz val="9"/>
            <color indexed="81"/>
            <rFont val="Meiryo UI"/>
            <family val="2"/>
          </rPr>
          <t>https://dev.mysql.com/doc/refman/8.4/en/performance-schema-system-variables.html#sysvar_performance_schema_max_metadata_locks
Community参考値でありAurora実効値ではありません。</t>
        </r>
      </text>
    </comment>
    <comment ref="M217"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8" authorId="0">
      <text>
        <r>
          <rPr>
            <sz val="9"/>
            <color indexed="81"/>
            <rFont val="Meiryo UI"/>
            <family val="2"/>
          </rPr>
          <t>APIメタデータ: {"ParameterName": "performance_schema_max_mutex_classes", "Description": "The maximum number of mutex instruments.", "Source": "engine-default", "ApplyType": "static", "DataType": "integer", "AllowedValues": "0-256", "IsModifiable": true, "ApplyMethod": "pending-reboot"}</t>
        </r>
      </text>
    </comment>
    <comment ref="E218" authorId="0">
      <text>
        <r>
          <rPr>
            <sz val="9"/>
            <color indexed="81"/>
            <rFont val="Meiryo UI"/>
            <family val="2"/>
          </rPr>
          <t>https://dev.mysql.com/doc/refman/8.4/en/performance-schema-system-variables.html#sysvar_performance_schema_max_mutex_classes
Community参考値でありAurora実効値ではありません。</t>
        </r>
      </text>
    </comment>
    <comment ref="M218"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19" authorId="0">
      <text>
        <r>
          <rPr>
            <sz val="9"/>
            <color indexed="81"/>
            <rFont val="Meiryo UI"/>
            <family val="2"/>
          </rPr>
          <t>APIメタデータ: {"ParameterName": "performance_schema_max_mutex_instances", "Description": "The maximum number of instrumented mutex objects.", "Source": "engine-default", "ApplyType": "static", "DataType": "integer", "AllowedValues": "-1-104857600", "IsModifiable": true, "ApplyMethod": "pending-reboot"}</t>
        </r>
      </text>
    </comment>
    <comment ref="E219" authorId="0">
      <text>
        <r>
          <rPr>
            <sz val="9"/>
            <color indexed="81"/>
            <rFont val="Meiryo UI"/>
            <family val="2"/>
          </rPr>
          <t>https://dev.mysql.com/doc/refman/8.4/en/performance-schema-system-variables.html#sysvar_performance_schema_max_mutex_instances
Community参考値でありAurora実効値ではありません。</t>
        </r>
      </text>
    </comment>
    <comment ref="M219"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0" authorId="0">
      <text>
        <r>
          <rPr>
            <sz val="9"/>
            <color indexed="81"/>
            <rFont val="Meiryo UI"/>
            <family val="2"/>
          </rPr>
          <t>APIメタデータ: {"ParameterName": "performance_schema_max_prepared_statements_instances", "Description": "The maximum number of rows in the prepared_statements_instances table.", "Source": "engine-default", "ApplyType": "static", "DataType": "integer", "AllowedValues": "-1-1048576", "IsModifiable": true, "ApplyMethod": "pending-reboot"}</t>
        </r>
      </text>
    </comment>
    <comment ref="E220" authorId="0">
      <text>
        <r>
          <rPr>
            <sz val="9"/>
            <color indexed="81"/>
            <rFont val="Meiryo UI"/>
            <family val="2"/>
          </rPr>
          <t>https://dev.mysql.com/doc/refman/8.4/en/performance-schema-system-variables.html#sysvar_performance_schema_max_prepared_statements_instances
Community参考値でありAurora実効値ではありません。</t>
        </r>
      </text>
    </comment>
    <comment ref="M220"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1" authorId="0">
      <text>
        <r>
          <rPr>
            <sz val="9"/>
            <color indexed="81"/>
            <rFont val="Meiryo UI"/>
            <family val="2"/>
          </rPr>
          <t>APIメタデータ: {"ParameterName": "performance_schema_max_program_instances", "Description": "The maximum number of stored programs for which the Performance Schema maintains statistics.", "Source": "engine-default", "ApplyType": "static", "DataType": "integer", "AllowedValues": "-1-1048576", "IsModifiable": true, "ApplyMethod": "pending-reboot"}</t>
        </r>
      </text>
    </comment>
    <comment ref="E221" authorId="0">
      <text>
        <r>
          <rPr>
            <sz val="9"/>
            <color indexed="81"/>
            <rFont val="Meiryo UI"/>
            <family val="2"/>
          </rPr>
          <t>https://dev.mysql.com/doc/refman/8.4/en/performance-schema-system-variables.html#sysvar_performance_schema_max_program_instances
Community参考値でありAurora実効値ではありません。</t>
        </r>
      </text>
    </comment>
    <comment ref="M221"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2" authorId="0">
      <text>
        <r>
          <rPr>
            <sz val="9"/>
            <color indexed="81"/>
            <rFont val="Meiryo UI"/>
            <family val="2"/>
          </rPr>
          <t>APIメタデータ: {"ParameterName": "performance_schema_max_rwlock_classes", "Description": "The maximum number of rwlock instruments.", "Source": "engine-default", "ApplyType": "static", "DataType": "integer", "AllowedValues": "0-256", "IsModifiable": true, "ApplyMethod": "pending-reboot"}</t>
        </r>
      </text>
    </comment>
    <comment ref="E222" authorId="0">
      <text>
        <r>
          <rPr>
            <sz val="9"/>
            <color indexed="81"/>
            <rFont val="Meiryo UI"/>
            <family val="2"/>
          </rPr>
          <t>https://dev.mysql.com/doc/refman/8.4/en/performance-schema-system-variables.html#sysvar_performance_schema_max_rwlock_classes
Community参考値でありAurora実効値ではありません。</t>
        </r>
      </text>
    </comment>
    <comment ref="M222"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3" authorId="0">
      <text>
        <r>
          <rPr>
            <sz val="9"/>
            <color indexed="81"/>
            <rFont val="Meiryo UI"/>
            <family val="2"/>
          </rPr>
          <t>APIメタデータ: {"ParameterName": "performance_schema_max_rwlock_instances", "Description": "The maximum number of instrumented rwlock objects.", "Source": "engine-default", "ApplyType": "static", "DataType": "integer", "AllowedValues": "-1-104857600", "IsModifiable": true, "ApplyMethod": "pending-reboot"}</t>
        </r>
      </text>
    </comment>
    <comment ref="E223" authorId="0">
      <text>
        <r>
          <rPr>
            <sz val="9"/>
            <color indexed="81"/>
            <rFont val="Meiryo UI"/>
            <family val="2"/>
          </rPr>
          <t>https://dev.mysql.com/doc/refman/8.4/en/performance-schema-system-variables.html#sysvar_performance_schema_max_rwlock_instances
Community参考値でありAurora実効値ではありません。</t>
        </r>
      </text>
    </comment>
    <comment ref="M223"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4" authorId="0">
      <text>
        <r>
          <rPr>
            <sz val="9"/>
            <color indexed="81"/>
            <rFont val="Meiryo UI"/>
            <family val="2"/>
          </rPr>
          <t>APIメタデータ: {"ParameterName": "performance_schema_max_socket_classes", "Description": "The maximum number of socket instruments.", "Source": "engine-default", "ApplyType": "static", "DataType": "integer", "AllowedValues": "0-256", "IsModifiable": true, "ApplyMethod": "pending-reboot"}</t>
        </r>
      </text>
    </comment>
    <comment ref="E224" authorId="0">
      <text>
        <r>
          <rPr>
            <sz val="9"/>
            <color indexed="81"/>
            <rFont val="Meiryo UI"/>
            <family val="2"/>
          </rPr>
          <t>https://dev.mysql.com/doc/refman/8.4/en/performance-schema-system-variables.html#sysvar_performance_schema_max_socket_classes
Community参考値でありAurora実効値ではありません。</t>
        </r>
      </text>
    </comment>
    <comment ref="M224"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5" authorId="0">
      <text>
        <r>
          <rPr>
            <sz val="9"/>
            <color indexed="81"/>
            <rFont val="Meiryo UI"/>
            <family val="2"/>
          </rPr>
          <t>APIメタデータ: {"ParameterName": "performance_schema_max_socket_instances", "Description": "The maximum number of instrumented socket objects.", "Source": "engine-default", "ApplyType": "static", "DataType": "integer", "AllowedValues": "-1-1048576", "IsModifiable": true, "ApplyMethod": "pending-reboot"}</t>
        </r>
      </text>
    </comment>
    <comment ref="E225" authorId="0">
      <text>
        <r>
          <rPr>
            <sz val="9"/>
            <color indexed="81"/>
            <rFont val="Meiryo UI"/>
            <family val="2"/>
          </rPr>
          <t>https://dev.mysql.com/doc/refman/8.4/en/performance-schema-system-variables.html#sysvar_performance_schema_max_socket_instances
Community参考値でありAurora実効値ではありません。</t>
        </r>
      </text>
    </comment>
    <comment ref="M225"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6" authorId="0">
      <text>
        <r>
          <rPr>
            <sz val="9"/>
            <color indexed="81"/>
            <rFont val="Meiryo UI"/>
            <family val="2"/>
          </rPr>
          <t>APIメタデータ: {"ParameterName": "performance_schema_max_sql_text_length", "Description": "The maximum number of bytes used to store SQL statements in the SQL_TEXT column of the events_statements_current, events_statements_history, and events_statements_history_long statement event tables.", "Source": "engine-default", "ApplyType": "static", "DataType": "integer", "AllowedValues": "-1-1048576", "IsModifiable": true, "ApplyMethod": "pending-reboot"}</t>
        </r>
      </text>
    </comment>
    <comment ref="E226" authorId="0">
      <text>
        <r>
          <rPr>
            <sz val="9"/>
            <color indexed="81"/>
            <rFont val="Meiryo UI"/>
            <family val="2"/>
          </rPr>
          <t>https://dev.mysql.com/doc/refman/8.4/en/performance-schema-system-variables.html#sysvar_performance_schema_max_sql_text_length
Community参考値でありAurora実効値ではありません。</t>
        </r>
      </text>
    </comment>
    <comment ref="M226"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7" authorId="0">
      <text>
        <r>
          <rPr>
            <sz val="9"/>
            <color indexed="81"/>
            <rFont val="Meiryo UI"/>
            <family val="2"/>
          </rPr>
          <t>APIメタデータ: {"ParameterName": "performance_schema_max_stage_classes", "Description": "The maximum number of stage instruments.", "Source": "engine-default", "ApplyType": "static", "DataType": "integer", "AllowedValues": "0-256", "IsModifiable": true, "ApplyMethod": "pending-reboot"}</t>
        </r>
      </text>
    </comment>
    <comment ref="E227" authorId="0">
      <text>
        <r>
          <rPr>
            <sz val="9"/>
            <color indexed="81"/>
            <rFont val="Meiryo UI"/>
            <family val="2"/>
          </rPr>
          <t>https://dev.mysql.com/doc/refman/8.4/en/performance-schema-system-variables.html#sysvar_performance_schema_max_stage_classes
Community参考値でありAurora実効値ではありません。</t>
        </r>
      </text>
    </comment>
    <comment ref="M227"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8" authorId="0">
      <text>
        <r>
          <rPr>
            <sz val="9"/>
            <color indexed="81"/>
            <rFont val="Meiryo UI"/>
            <family val="2"/>
          </rPr>
          <t>APIメタデータ: {"ParameterName": "performance_schema_max_statement_classes", "Description": "The maximum number of statement instruments.", "Source": "engine-default", "ApplyType": "static", "DataType": "integer", "AllowedValues": "0-256", "IsModifiable": true, "ApplyMethod": "pending-reboot"}</t>
        </r>
      </text>
    </comment>
    <comment ref="M228"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29" authorId="0">
      <text>
        <r>
          <rPr>
            <sz val="9"/>
            <color indexed="81"/>
            <rFont val="Meiryo UI"/>
            <family val="2"/>
          </rPr>
          <t>APIメタデータ: {"ParameterName": "performance_schema_max_statement_stack", "Description": "The maximum depth of nested stored program calls for which the Performance Schema maintains statistics.", "Source": "engine-default", "ApplyType": "static", "DataType": "integer", "AllowedValues": "1-256", "IsModifiable": true, "ApplyMethod": "pending-reboot"}</t>
        </r>
      </text>
    </comment>
    <comment ref="E229" authorId="0">
      <text>
        <r>
          <rPr>
            <sz val="9"/>
            <color indexed="81"/>
            <rFont val="Meiryo UI"/>
            <family val="2"/>
          </rPr>
          <t>https://dev.mysql.com/doc/refman/8.4/en/performance-schema-system-variables.html#sysvar_performance_schema_max_statement_stack
Community参考値でありAurora実効値ではありません。</t>
        </r>
      </text>
    </comment>
    <comment ref="M229"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0" authorId="0">
      <text>
        <r>
          <rPr>
            <sz val="9"/>
            <color indexed="81"/>
            <rFont val="Meiryo UI"/>
            <family val="2"/>
          </rPr>
          <t>APIメタデータ: {"ParameterName": "performance_schema_max_table_handles", "Description": "The maximum number of opened table objects.", "Source": "engine-default", "ApplyType": "static", "DataType": "integer", "AllowedValues": "-1-1048576", "IsModifiable": true, "ApplyMethod": "pending-reboot"}</t>
        </r>
      </text>
    </comment>
    <comment ref="E230" authorId="0">
      <text>
        <r>
          <rPr>
            <sz val="9"/>
            <color indexed="81"/>
            <rFont val="Meiryo UI"/>
            <family val="2"/>
          </rPr>
          <t>https://dev.mysql.com/doc/refman/8.4/en/performance-schema-system-variables.html#sysvar_performance_schema_max_table_handles
Community参考値でありAurora実効値ではありません。</t>
        </r>
      </text>
    </comment>
    <comment ref="M230"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1" authorId="0">
      <text>
        <r>
          <rPr>
            <sz val="9"/>
            <color indexed="81"/>
            <rFont val="Meiryo UI"/>
            <family val="2"/>
          </rPr>
          <t>APIメタデータ: {"ParameterName": "performance_schema_max_table_instances", "Description": "The maximum number of instrumented table objects.", "Source": "engine-default", "ApplyType": "static", "DataType": "integer", "AllowedValues": "-1-1048576", "IsModifiable": true, "ApplyMethod": "pending-reboot"}</t>
        </r>
      </text>
    </comment>
    <comment ref="E231" authorId="0">
      <text>
        <r>
          <rPr>
            <sz val="9"/>
            <color indexed="81"/>
            <rFont val="Meiryo UI"/>
            <family val="2"/>
          </rPr>
          <t>https://dev.mysql.com/doc/refman/8.4/en/performance-schema-system-variables.html#sysvar_performance_schema_max_table_instances
Community参考値でありAurora実効値ではありません。</t>
        </r>
      </text>
    </comment>
    <comment ref="M231"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2" authorId="0">
      <text>
        <r>
          <rPr>
            <sz val="9"/>
            <color indexed="81"/>
            <rFont val="Meiryo UI"/>
            <family val="2"/>
          </rPr>
          <t>APIメタデータ: {"ParameterName": "performance_schema_max_table_lock_stat", "Description": "The maximum number of tables for which the Performance Schema maintains lock statistics.", "Source": "engine-default", "ApplyType": "static", "DataType": "integer", "AllowedValues": "-1-1048576", "IsModifiable": true, "ApplyMethod": "pending-reboot"}</t>
        </r>
      </text>
    </comment>
    <comment ref="E232" authorId="0">
      <text>
        <r>
          <rPr>
            <sz val="9"/>
            <color indexed="81"/>
            <rFont val="Meiryo UI"/>
            <family val="2"/>
          </rPr>
          <t>https://dev.mysql.com/doc/refman/8.4/en/performance-schema-system-variables.html#sysvar_performance_schema_max_table_lock_stat
Community参考値でありAurora実効値ではありません。</t>
        </r>
      </text>
    </comment>
    <comment ref="M232"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3" authorId="0">
      <text>
        <r>
          <rPr>
            <sz val="9"/>
            <color indexed="81"/>
            <rFont val="Meiryo UI"/>
            <family val="2"/>
          </rPr>
          <t>APIメタデータ: {"ParameterName": "performance_schema_max_thread_classes", "Description": "The maximum number of thread instruments.", "Source": "engine-default", "ApplyType": "static", "DataType": "integer", "AllowedValues": "0-256", "IsModifiable": true, "ApplyMethod": "pending-reboot"}</t>
        </r>
      </text>
    </comment>
    <comment ref="E233" authorId="0">
      <text>
        <r>
          <rPr>
            <sz val="9"/>
            <color indexed="81"/>
            <rFont val="Meiryo UI"/>
            <family val="2"/>
          </rPr>
          <t>https://dev.mysql.com/doc/refman/8.4/en/performance-schema-system-variables.html#sysvar_performance_schema_max_thread_classes
Community参考値でありAurora実効値ではありません。</t>
        </r>
      </text>
    </comment>
    <comment ref="M233"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4" authorId="0">
      <text>
        <r>
          <rPr>
            <sz val="9"/>
            <color indexed="81"/>
            <rFont val="Meiryo UI"/>
            <family val="2"/>
          </rPr>
          <t>APIメタデータ: {"ParameterName": "performance_schema_max_thread_instances", "Description": "The maximum number of instrumented thread objects.", "Source": "engine-default", "ApplyType": "static", "DataType": "integer", "AllowedValues": "-1-1048576", "IsModifiable": true, "ApplyMethod": "pending-reboot"}</t>
        </r>
      </text>
    </comment>
    <comment ref="E234" authorId="0">
      <text>
        <r>
          <rPr>
            <sz val="9"/>
            <color indexed="81"/>
            <rFont val="Meiryo UI"/>
            <family val="2"/>
          </rPr>
          <t>https://dev.mysql.com/doc/refman/8.4/en/performance-schema-system-variables.html#sysvar_performance_schema_max_thread_instances
Community参考値でありAurora実効値ではありません。</t>
        </r>
      </text>
    </comment>
    <comment ref="M234"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5" authorId="0">
      <text>
        <r>
          <rPr>
            <sz val="9"/>
            <color indexed="81"/>
            <rFont val="Meiryo UI"/>
            <family val="2"/>
          </rPr>
          <t>APIメタデータ: {"ParameterName": "performance_schema_session_connect_attrs_size", "Description": "The amount of preallocated memory per thread used to hold connection attribute strings.", "Source": "engine-default", "ApplyType": "static", "DataType": "integer", "AllowedValues": "-1-1048576", "IsModifiable": true, "ApplyMethod": "pending-reboot"}</t>
        </r>
      </text>
    </comment>
    <comment ref="E235" authorId="0">
      <text>
        <r>
          <rPr>
            <sz val="9"/>
            <color indexed="81"/>
            <rFont val="Meiryo UI"/>
            <family val="2"/>
          </rPr>
          <t>https://dev.mysql.com/doc/refman/8.4/en/performance-schema-system-variables.html#sysvar_performance_schema_session_connect_attrs_size
Community参考値でありAurora実効値ではありません。</t>
        </r>
      </text>
    </comment>
    <comment ref="M235"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6" authorId="0">
      <text>
        <r>
          <rPr>
            <sz val="9"/>
            <color indexed="81"/>
            <rFont val="Meiryo UI"/>
            <family val="2"/>
          </rPr>
          <t>APIメタデータ: {"ParameterName": "performance_schema_setup_actors_size", "Description": "The number of rows in the setup_actors table.", "Source": "engine-default", "ApplyType": "static", "DataType": "integer", "AllowedValues": "0-1024", "IsModifiable": true, "ApplyMethod": "pending-reboot"}</t>
        </r>
      </text>
    </comment>
    <comment ref="E236" authorId="0">
      <text>
        <r>
          <rPr>
            <sz val="9"/>
            <color indexed="81"/>
            <rFont val="Meiryo UI"/>
            <family val="2"/>
          </rPr>
          <t>https://dev.mysql.com/doc/refman/8.4/en/performance-schema-system-variables.html#sysvar_performance_schema_setup_actors_size
Community参考値でありAurora実効値ではありません。</t>
        </r>
      </text>
    </comment>
    <comment ref="M236"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7" authorId="0">
      <text>
        <r>
          <rPr>
            <sz val="9"/>
            <color indexed="81"/>
            <rFont val="Meiryo UI"/>
            <family val="2"/>
          </rPr>
          <t>APIメタデータ: {"ParameterName": "performance_schema_setup_objects_size", "Description": "The number of rows in the setup_objects table.", "Source": "engine-default", "ApplyType": "static", "DataType": "integer", "AllowedValues": "-1-1048576", "IsModifiable": true, "ApplyMethod": "pending-reboot"}</t>
        </r>
      </text>
    </comment>
    <comment ref="E237" authorId="0">
      <text>
        <r>
          <rPr>
            <sz val="9"/>
            <color indexed="81"/>
            <rFont val="Meiryo UI"/>
            <family val="2"/>
          </rPr>
          <t>https://dev.mysql.com/doc/refman/8.4/en/performance-schema-system-variables.html#sysvar_performance_schema_setup_objects_size
Community参考値でありAurora実効値ではありません。</t>
        </r>
      </text>
    </comment>
    <comment ref="M237"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8" authorId="0">
      <text>
        <r>
          <rPr>
            <sz val="9"/>
            <color indexed="81"/>
            <rFont val="Meiryo UI"/>
            <family val="2"/>
          </rPr>
          <t>APIメタデータ: {"ParameterName": "performance_schema_show_processlist", "Description": "The SHOW PROCESSLIST statement provides process information by collecting thread data from all active threads. To see how this parameter affect how this information is gatehred please consult the MySQL documentation", "Source": "engine-default", "ApplyType": "dynamic", "DataType": "boolean", "AllowedValues": "0,1", "IsModifiable": true, "ApplyMethod": "pending-reboot"}</t>
        </r>
      </text>
    </comment>
    <comment ref="E238" authorId="0">
      <text>
        <r>
          <rPr>
            <sz val="9"/>
            <color indexed="81"/>
            <rFont val="Meiryo UI"/>
            <family val="2"/>
          </rPr>
          <t>https://dev.mysql.com/doc/refman/8.4/en/performance-schema-system-variables.html#sysvar_performance_schema_show_processlist
Community参考値でありAurora実効値ではありません。</t>
        </r>
      </text>
    </comment>
    <comment ref="M238"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39" authorId="0">
      <text>
        <r>
          <rPr>
            <sz val="9"/>
            <color indexed="81"/>
            <rFont val="Meiryo UI"/>
            <family val="2"/>
          </rPr>
          <t>APIメタデータ: {"ParameterName": "performance_schema_users_size", "Description": "The number of rows in the users table.", "Source": "engine-default", "ApplyType": "static", "DataType": "integer", "AllowedValues": "-1-1048576", "IsModifiable": true, "ApplyMethod": "pending-reboot"}</t>
        </r>
      </text>
    </comment>
    <comment ref="E239" authorId="0">
      <text>
        <r>
          <rPr>
            <sz val="9"/>
            <color indexed="81"/>
            <rFont val="Meiryo UI"/>
            <family val="2"/>
          </rPr>
          <t>https://dev.mysql.com/doc/refman/8.4/en/performance-schema-system-variables.html#sysvar_performance_schema_users_size
Community参考値でありAurora実効値ではありません。</t>
        </r>
      </text>
    </comment>
    <comment ref="M239" authorId="0">
      <text>
        <r>
          <rPr>
            <sz val="9"/>
            <color indexed="81"/>
            <rFont val="Meiryo UI"/>
            <family val="2"/>
          </rPr>
          <t>https://docs.aws.amazon.com/AmazonRDS/latest/APIReference/API_DescribeDBParameters.html
https://dev.mysql.com/doc/refman/8.4/en/performance-schema-system-variables.html
https://docs.aws.amazon.com/AmazonRDS/latest/AuroraUserGuide/USER_PerfInsights.Enabling.html</t>
        </r>
      </text>
    </comment>
    <comment ref="B240" authorId="0">
      <text>
        <r>
          <rPr>
            <sz val="9"/>
            <color indexed="81"/>
            <rFont val="Meiryo UI"/>
            <family val="2"/>
          </rPr>
          <t>APIメタデータ: {"ParameterName": "pid_file", "ParameterValue": "/rdsdbdata/log/mysql-{EndPointPort}.pid", "Description": "The path name of the process ID file. This file is used by other programs such as MySQLd_safe to determine the server's process ID.", "Source": "system", "ApplyType": "static", "DataType": "string", "IsModifiable": false, "ApplyMethod": "pending-reboot"}</t>
        </r>
      </text>
    </comment>
    <comment ref="M24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41" authorId="0">
      <text>
        <r>
          <rPr>
            <sz val="9"/>
            <color indexed="81"/>
            <rFont val="Meiryo UI"/>
            <family val="2"/>
          </rPr>
          <t>APIメタデータ: {"ParameterName": "plugin_dir", "Description": "Directory searched by systems dynamic linker for UDF object files. Otherwise, user-defined function object files must be located the default directory.", "Source": "system", "ApplyType": "static", "DataType": "string", "IsModifiable": false, "ApplyMethod": "pending-reboot"}</t>
        </r>
      </text>
    </comment>
    <comment ref="E241" authorId="0">
      <text>
        <r>
          <rPr>
            <sz val="9"/>
            <color indexed="81"/>
            <rFont val="Meiryo UI"/>
            <family val="2"/>
          </rPr>
          <t>https://dev.mysql.com/doc/refman/8.4/en/server-system-variables.html#sysvar_plugin_dir
Community参考値でありAurora実効値ではありません。</t>
        </r>
      </text>
    </comment>
    <comment ref="M24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42" authorId="0">
      <text>
        <r>
          <rPr>
            <sz val="9"/>
            <color indexed="81"/>
            <rFont val="Meiryo UI"/>
            <family val="2"/>
          </rPr>
          <t>APIメタデータ: {"ParameterName": "port", "ParameterValue": "{EndPointPort}", "Description": "The number of the port on which the server listens for TCP/IP connections.", "Source": "system", "ApplyType": "static", "DataType": "integer", "IsModifiable": false, "ApplyMethod": "pending-reboot"}</t>
        </r>
      </text>
    </comment>
    <comment ref="E242" authorId="0">
      <text>
        <r>
          <rPr>
            <sz val="9"/>
            <color indexed="81"/>
            <rFont val="Meiryo UI"/>
            <family val="2"/>
          </rPr>
          <t>https://dev.mysql.com/doc/refman/8.4/en/server-options.html#sysvar_port
Community参考値でありAurora実効値ではありません。</t>
        </r>
      </text>
    </comment>
    <comment ref="M242"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43" authorId="0">
      <text>
        <r>
          <rPr>
            <sz val="9"/>
            <color indexed="81"/>
            <rFont val="Meiryo UI"/>
            <family val="2"/>
          </rPr>
          <t>APIメタデータ: {"ParameterName": "preload_buffer_size", "Description": "The size of the buffer that is allocated when preloading indexes.", "Source": "engine-default", "ApplyType": "dynamic", "DataType": "integer", "AllowedValues": "1024-1073741824", "IsModifiable": true, "ApplyMethod": "pending-reboot"}</t>
        </r>
      </text>
    </comment>
    <comment ref="E243" authorId="0">
      <text>
        <r>
          <rPr>
            <sz val="9"/>
            <color indexed="81"/>
            <rFont val="Meiryo UI"/>
            <family val="2"/>
          </rPr>
          <t>https://dev.mysql.com/doc/refman/8.4/en/server-system-variables.html#sysvar_preload_buffer_size
Community参考値でありAurora実効値ではありません。</t>
        </r>
      </text>
    </comment>
    <comment ref="M243"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44" authorId="0">
      <text>
        <r>
          <rPr>
            <sz val="9"/>
            <color indexed="81"/>
            <rFont val="Meiryo UI"/>
            <family val="2"/>
          </rPr>
          <t>APIメタデータ: {"ParameterName": "profiling_history_size", "Description": "The number of statements for which to maintain profiling if profiling is enabled.", "Source": "engine-default", "ApplyType": "dynamic", "DataType": "integer", "AllowedValues": "0-100", "IsModifiable": true, "ApplyMethod": "pending-reboot"}</t>
        </r>
      </text>
    </comment>
    <comment ref="M24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45" authorId="0">
      <text>
        <r>
          <rPr>
            <sz val="9"/>
            <color indexed="81"/>
            <rFont val="Meiryo UI"/>
            <family val="2"/>
          </rPr>
          <t>APIメタデータ: {"ParameterName": "query_alloc_block_size", "Description": "The allocation size of memory blocks that are allocated for objects created during statement parsing and execution. May help resolve fragmentation problems.", "Source": "engine-default", "ApplyType": "dynamic", "DataType": "integer", "AllowedValues": "1024-18446744073709547520", "IsModifiable": true, "ApplyMethod": "pending-reboot"}</t>
        </r>
      </text>
    </comment>
    <comment ref="E245" authorId="0">
      <text>
        <r>
          <rPr>
            <sz val="9"/>
            <color indexed="81"/>
            <rFont val="Meiryo UI"/>
            <family val="2"/>
          </rPr>
          <t>https://dev.mysql.com/doc/refman/8.4/en/server-system-variables.html#sysvar_query_alloc_block_size
Community参考値でありAurora実効値ではありません。</t>
        </r>
      </text>
    </comment>
    <comment ref="M245"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46" authorId="0">
      <text>
        <r>
          <rPr>
            <sz val="9"/>
            <color indexed="81"/>
            <rFont val="Meiryo UI"/>
            <family val="2"/>
          </rPr>
          <t>APIメタデータ: {"ParameterName": "query_prealloc_size", "Description": "Increased size might help improve perf for complex queries (i.e. Reduces server memory allocation)", "Source": "engine-default", "ApplyType": "dynamic", "DataType": "integer", "AllowedValues": "8192-18446744073709547520", "IsModifiable": true, "ApplyMethod": "pending-reboot"}</t>
        </r>
      </text>
    </comment>
    <comment ref="E246" authorId="0">
      <text>
        <r>
          <rPr>
            <sz val="9"/>
            <color indexed="81"/>
            <rFont val="Meiryo UI"/>
            <family val="2"/>
          </rPr>
          <t>https://dev.mysql.com/doc/refman/8.4/en/server-system-variables.html#sysvar_query_prealloc_size
Community参考値でありAurora実効値ではありません。</t>
        </r>
      </text>
    </comment>
    <comment ref="M246"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47" authorId="0">
      <text>
        <r>
          <rPr>
            <sz val="9"/>
            <color indexed="81"/>
            <rFont val="Meiryo UI"/>
            <family val="2"/>
          </rPr>
          <t>APIメタデータ: {"ParameterName": "range_alloc_block_size", "Description": "The size of blocks that are allocated when doing range optimization.", "Source": "engine-default", "ApplyType": "dynamic", "DataType": "integer", "AllowedValues": "4096-18446744073709547520", "IsModifiable": true, "ApplyMethod": "pending-reboot"}</t>
        </r>
      </text>
    </comment>
    <comment ref="E247" authorId="0">
      <text>
        <r>
          <rPr>
            <sz val="9"/>
            <color indexed="81"/>
            <rFont val="Meiryo UI"/>
            <family val="2"/>
          </rPr>
          <t>https://dev.mysql.com/doc/refman/8.4/en/server-system-variables.html#sysvar_range_alloc_block_size
Community参考値でありAurora実効値ではありません。</t>
        </r>
      </text>
    </comment>
    <comment ref="M247" authorId="0">
      <text>
        <r>
          <rPr>
            <sz val="9"/>
            <color indexed="81"/>
            <rFont val="Meiryo UI"/>
            <family val="2"/>
          </rPr>
          <t>https://docs.aws.amazon.com/AmazonRDS/latest/APIReference/API_DescribeDBParameters.html
https://dev.mysql.com/doc/refman/8.4/en/server-system-variables.html</t>
        </r>
      </text>
    </comment>
    <comment ref="B248" authorId="0">
      <text>
        <r>
          <rPr>
            <sz val="9"/>
            <color indexed="81"/>
            <rFont val="Meiryo UI"/>
            <family val="2"/>
          </rPr>
          <t>APIメタデータ: {"ParameterName": "range_optimizer_max_mem_size", "Description": "The limit on memory consumption for the range optimizer.", "Source": "engine-default", "ApplyType": "dynamic", "DataType": "integer", "AllowedValues": "0-18446744073709551615", "IsModifiable": true, "ApplyMethod": "pending-reboot"}</t>
        </r>
      </text>
    </comment>
    <comment ref="E248" authorId="0">
      <text>
        <r>
          <rPr>
            <sz val="9"/>
            <color indexed="81"/>
            <rFont val="Meiryo UI"/>
            <family val="2"/>
          </rPr>
          <t>https://dev.mysql.com/doc/refman/8.4/en/server-system-variables.html#sysvar_range_optimizer_max_mem_size
Community参考値でありAurora実効値ではありません。</t>
        </r>
      </text>
    </comment>
    <comment ref="M248" authorId="0">
      <text>
        <r>
          <rPr>
            <sz val="9"/>
            <color indexed="81"/>
            <rFont val="Meiryo UI"/>
            <family val="2"/>
          </rPr>
          <t>https://docs.aws.amazon.com/AmazonRDS/latest/APIReference/API_DescribeDBParameters.html
https://dev.mysql.com/doc/refman/8.4/en/server-system-variables.html</t>
        </r>
      </text>
    </comment>
    <comment ref="B249" authorId="0">
      <text>
        <r>
          <rPr>
            <sz val="9"/>
            <color indexed="81"/>
            <rFont val="Meiryo UI"/>
            <family val="2"/>
          </rPr>
          <t>APIメタデータ: {"ParameterName": "read_buffer_size", "ParameterValue": "262144", "Description": "Each thread that does a sequential scan allocates this buffer. Increased value may help perf if performing many sequential scans.", "Source": "system", "ApplyType": "dynamic", "DataType": "integer", "AllowedValues": "8200-2147479552", "IsModifiable": true, "ApplyMethod": "pending-reboot"}</t>
        </r>
      </text>
    </comment>
    <comment ref="E249" authorId="0">
      <text>
        <r>
          <rPr>
            <sz val="9"/>
            <color indexed="81"/>
            <rFont val="Meiryo UI"/>
            <family val="2"/>
          </rPr>
          <t>https://dev.mysql.com/doc/refman/8.4/en/server-system-variables.html#sysvar_read_buffer_size
Community参考値でありAurora実効値ではありません。</t>
        </r>
      </text>
    </comment>
    <comment ref="M249"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50" authorId="0">
      <text>
        <r>
          <rPr>
            <sz val="9"/>
            <color indexed="81"/>
            <rFont val="Meiryo UI"/>
            <family val="2"/>
          </rPr>
          <t>APIメタデータ: {"ParameterName": "read_rnd_buffer_size", "ParameterValue": "524288", "Description": "Avoids disk reads when reading rows in sorted order following a key-sort operation. Large values can improve ORDER BY perf.", "Source": "system", "ApplyType": "dynamic", "DataType": "integer", "AllowedValues": "8200-2147479552", "IsModifiable": true, "ApplyMethod": "pending-reboot"}</t>
        </r>
      </text>
    </comment>
    <comment ref="E250" authorId="0">
      <text>
        <r>
          <rPr>
            <sz val="9"/>
            <color indexed="81"/>
            <rFont val="Meiryo UI"/>
            <family val="2"/>
          </rPr>
          <t>https://dev.mysql.com/doc/refman/8.4/en/server-system-variables.html#sysvar_read_rnd_buffer_size
Community参考値でありAurora実効値ではありません。</t>
        </r>
      </text>
    </comment>
    <comment ref="M250"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51" authorId="0">
      <text>
        <r>
          <rPr>
            <sz val="9"/>
            <color indexed="81"/>
            <rFont val="Meiryo UI"/>
            <family val="2"/>
          </rPr>
          <t>APIメタデータ: {"ParameterName": "regexp_stack_limit", "Description": "Stack size limit for regular expressions matches.", "Source": "engine-default", "ApplyType": "dynamic", "DataType": "integer", "AllowedValues": "0-2147483647", "IsModifiable": true, "ApplyMethod": "pending-reboot"}</t>
        </r>
      </text>
    </comment>
    <comment ref="E251" authorId="0">
      <text>
        <r>
          <rPr>
            <sz val="9"/>
            <color indexed="81"/>
            <rFont val="Meiryo UI"/>
            <family val="2"/>
          </rPr>
          <t>https://dev.mysql.com/doc/refman/8.4/en/server-system-variables.html#sysvar_regexp_stack_limit
Community参考値でありAurora実効値ではありません。</t>
        </r>
      </text>
    </comment>
    <comment ref="M251" authorId="0">
      <text>
        <r>
          <rPr>
            <sz val="9"/>
            <color indexed="81"/>
            <rFont val="Meiryo UI"/>
            <family val="2"/>
          </rPr>
          <t>https://docs.aws.amazon.com/AmazonRDS/latest/APIReference/API_DescribeDBParameters.html
https://dev.mysql.com/doc/refman/8.4/en/server-system-variables.html</t>
        </r>
      </text>
    </comment>
    <comment ref="B252" authorId="0">
      <text>
        <r>
          <rPr>
            <sz val="9"/>
            <color indexed="81"/>
            <rFont val="Meiryo UI"/>
            <family val="2"/>
          </rPr>
          <t>APIメタデータ: {"ParameterName": "regexp_time_limit", "Description": "Timeout for regular expressions matches, in steps of the match engine, typically on the order of milliseconds", "Source": "engine-default", "ApplyType": "dynamic", "DataType": "integer", "AllowedValues": "0-2147483647", "IsModifiable": true, "ApplyMethod": "pending-reboot"}</t>
        </r>
      </text>
    </comment>
    <comment ref="E252" authorId="0">
      <text>
        <r>
          <rPr>
            <sz val="9"/>
            <color indexed="81"/>
            <rFont val="Meiryo UI"/>
            <family val="2"/>
          </rPr>
          <t>https://dev.mysql.com/doc/refman/8.4/en/server-system-variables.html#sysvar_regexp_time_limit
Community参考値でありAurora実効値ではありません。</t>
        </r>
      </text>
    </comment>
    <comment ref="M252" authorId="0">
      <text>
        <r>
          <rPr>
            <sz val="9"/>
            <color indexed="81"/>
            <rFont val="Meiryo UI"/>
            <family val="2"/>
          </rPr>
          <t>https://docs.aws.amazon.com/AmazonRDS/latest/APIReference/API_DescribeDBParameters.html
https://dev.mysql.com/doc/refman/8.4/en/server-system-variables.html</t>
        </r>
      </text>
    </comment>
    <comment ref="B253" authorId="0">
      <text>
        <r>
          <rPr>
            <sz val="9"/>
            <color indexed="81"/>
            <rFont val="Meiryo UI"/>
            <family val="2"/>
          </rPr>
          <t>APIメタデータ: {"ParameterName": "relay-log", "ParameterValue": "/rdsdbdata/log/relaylog/relaylog", "Description": "The basename for the relay log.", "Source": "system", "ApplyType": "static", "DataType": "string", "IsModifiable": false, "ApplyMethod": "pending-reboot"}</t>
        </r>
      </text>
    </comment>
    <comment ref="M253"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54" authorId="0">
      <text>
        <r>
          <rPr>
            <sz val="9"/>
            <color indexed="81"/>
            <rFont val="Meiryo UI"/>
            <family val="2"/>
          </rPr>
          <t>APIメタデータ: {"ParameterName": "relay_log_recovery", "ParameterValue": "1", "Description": "Enables automatic relay log recovery immediately following server startup.", "Source": "system", "ApplyType": "dynamic", "DataType": "boolean", "AllowedValues": "0,1", "IsModifiable": false, "ApplyMethod": "pending-reboot"}</t>
        </r>
      </text>
    </comment>
    <comment ref="E254" authorId="0">
      <text>
        <r>
          <rPr>
            <sz val="9"/>
            <color indexed="81"/>
            <rFont val="Meiryo UI"/>
            <family val="2"/>
          </rPr>
          <t>https://dev.mysql.com/doc/refman/8.4/en/replication-options-replica.html#sysvar_relay_log_recovery
Community参考値でありAurora実効値ではありません。</t>
        </r>
      </text>
    </comment>
    <comment ref="M254"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55" authorId="0">
      <text>
        <r>
          <rPr>
            <sz val="9"/>
            <color indexed="81"/>
            <rFont val="Meiryo UI"/>
            <family val="2"/>
          </rPr>
          <t>APIメタデータ: {"ParameterName": "replica_checkpoint_group", "Description": "Sets the maximum number of transactions that can be processed by a multi-threaded replica before a checkpoint operation is called to update its status as shown by SHOW REPLICA STATUS.", "Source": "engine-default", "ApplyType": "dynamic", "DataType": "integer", "AllowedValues": "32-524280", "IsModifiable": true, "ApplyMethod": "pending-reboot"}</t>
        </r>
      </text>
    </comment>
    <comment ref="E255" authorId="0">
      <text>
        <r>
          <rPr>
            <sz val="9"/>
            <color indexed="81"/>
            <rFont val="Meiryo UI"/>
            <family val="2"/>
          </rPr>
          <t>https://dev.mysql.com/doc/refman/8.4/en/replication-options-replica.html#sysvar_replica_checkpoint_group
Community参考値でありAurora実効値ではありません。</t>
        </r>
      </text>
    </comment>
    <comment ref="M255"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56" authorId="0">
      <text>
        <r>
          <rPr>
            <sz val="9"/>
            <color indexed="81"/>
            <rFont val="Meiryo UI"/>
            <family val="2"/>
          </rPr>
          <t>APIメタデータ: {"ParameterName": "replica_checkpoint_period", "Description": "Sets the maximum time (in milliseconds) that is allowed to pass before a checkpoint operation is called to update the status of a multi-threaded replica as shown by SHOW REPLICA STATUS.", "Source": "engine-default", "ApplyType": "dynamic", "DataType": "integer", "AllowedValues": "1-4294967295", "IsModifiable": true, "ApplyMethod": "pending-reboot"}</t>
        </r>
      </text>
    </comment>
    <comment ref="E256" authorId="0">
      <text>
        <r>
          <rPr>
            <sz val="9"/>
            <color indexed="81"/>
            <rFont val="Meiryo UI"/>
            <family val="2"/>
          </rPr>
          <t>https://dev.mysql.com/doc/refman/8.4/en/replication-options-replica.html#sysvar_replica_checkpoint_period
Community参考値でありAurora実効値ではありません。</t>
        </r>
      </text>
    </comment>
    <comment ref="M256"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57" authorId="0">
      <text>
        <r>
          <rPr>
            <sz val="9"/>
            <color indexed="81"/>
            <rFont val="Meiryo UI"/>
            <family val="2"/>
          </rPr>
          <t>APIメタデータ: {"ParameterName": "replica_parallel_workers", "Description": "Sets the number of replica worker threads for executing replication events (transactions) in parallel. Setting this variable to 0 (the default) disables parallel execution.", "Source": "engine-default", "ApplyType": "dynamic", "DataType": "integer", "AllowedValues": "0-1024", "IsModifiable": true, "ApplyMethod": "pending-reboot"}</t>
        </r>
      </text>
    </comment>
    <comment ref="E257" authorId="0">
      <text>
        <r>
          <rPr>
            <sz val="9"/>
            <color indexed="81"/>
            <rFont val="Meiryo UI"/>
            <family val="2"/>
          </rPr>
          <t>https://dev.mysql.com/doc/refman/8.4/en/replication-options-replica.html#sysvar_replica_parallel_workers
Community参考値でありAurora実効値ではありません。</t>
        </r>
      </text>
    </comment>
    <comment ref="M257"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58" authorId="0">
      <text>
        <r>
          <rPr>
            <sz val="9"/>
            <color indexed="81"/>
            <rFont val="Meiryo UI"/>
            <family val="2"/>
          </rPr>
          <t>APIメタデータ: {"ParameterName": "replica_pending_jobs_size_max", "Description": "For multithreaded replicas, this option sets the maximum amount of memory (in bytes) available to replica worker queues holding events not yet applied.", "Source": "engine-default", "ApplyType": "dynamic", "DataType": "integer", "AllowedValues": "1024-18446744073709547520", "IsModifiable": true, "ApplyMethod": "pending-reboot"}</t>
        </r>
      </text>
    </comment>
    <comment ref="E258" authorId="0">
      <text>
        <r>
          <rPr>
            <sz val="9"/>
            <color indexed="81"/>
            <rFont val="Meiryo UI"/>
            <family val="2"/>
          </rPr>
          <t>https://dev.mysql.com/doc/refman/8.4/en/replication-options-replica.html#sysvar_replica_pending_jobs_size_max
Community参考値でありAurora実効値ではありません。</t>
        </r>
      </text>
    </comment>
    <comment ref="M258"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59" authorId="0">
      <text>
        <r>
          <rPr>
            <sz val="9"/>
            <color indexed="81"/>
            <rFont val="Meiryo UI"/>
            <family val="2"/>
          </rPr>
          <t>APIメタデータ: {"ParameterName": "replica_sql_verify_checksum", "Description": "When this option is enabled, the replica examines checksums read from the relay log, in the event of a mismatch, the replica stops with an error.", "Source": "engine-default", "ApplyType": "dynamic", "DataType": "boolean", "AllowedValues": "0,1", "IsModifiable": true, "ApplyMethod": "pending-reboot"}</t>
        </r>
      </text>
    </comment>
    <comment ref="E259" authorId="0">
      <text>
        <r>
          <rPr>
            <sz val="9"/>
            <color indexed="81"/>
            <rFont val="Meiryo UI"/>
            <family val="2"/>
          </rPr>
          <t>https://dev.mysql.com/doc/refman/8.4/en/replication-options-replica.html#sysvar_replica_sql_verify_checksum
Community参考値でありAurora実効値ではありません。</t>
        </r>
      </text>
    </comment>
    <comment ref="M259"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60" authorId="0">
      <text>
        <r>
          <rPr>
            <sz val="9"/>
            <color indexed="81"/>
            <rFont val="Meiryo UI"/>
            <family val="2"/>
          </rPr>
          <t>APIメタデータ: {"ParameterName": "safe-user-create", "Description": "If this option is enabled, a user cannot create new MySQL users by using the GRANT  statement unless the user has the INSERT privilege for the mysql.user table or any column in the table.", "Source": "engine-default", "ApplyType": "static", "DataType": "boolean", "AllowedValues": "0,1", "IsModifiable": true, "ApplyMethod": "pending-reboot"}</t>
        </r>
      </text>
    </comment>
    <comment ref="M26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61" authorId="0">
      <text>
        <r>
          <rPr>
            <sz val="9"/>
            <color indexed="81"/>
            <rFont val="Meiryo UI"/>
            <family val="2"/>
          </rPr>
          <t>APIメタデータ: {"ParameterName": "schema_definition_cache", "Description": "Defines a limit for the number of schema definition objects, both used and unused, that can be kept in the dictionary object cache.", "Source": "engine-default", "ApplyType": "dynamic", "DataType": "integer", "AllowedValues": "256-524288", "IsModifiable": true, "ApplyMethod": "pending-reboot"}</t>
        </r>
      </text>
    </comment>
    <comment ref="E261" authorId="0">
      <text>
        <r>
          <rPr>
            <sz val="9"/>
            <color indexed="81"/>
            <rFont val="Meiryo UI"/>
            <family val="2"/>
          </rPr>
          <t>https://dev.mysql.com/doc/refman/8.4/en/server-system-variables.html#sysvar_schema_definition_cache
Community参考値でありAurora実効値ではありません。</t>
        </r>
      </text>
    </comment>
    <comment ref="M261"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62" authorId="0">
      <text>
        <r>
          <rPr>
            <sz val="9"/>
            <color indexed="81"/>
            <rFont val="Meiryo UI"/>
            <family val="2"/>
          </rPr>
          <t>APIメタデータ: {"ParameterName": "secure_file_priv", "ParameterValue": "/tmp", "Description": "Limits the effect of LOAD_FILE(), LOAD_DATA, and SELECT ??? INTO OUTFILE to specified directory.", "Source": "system", "ApplyType": "static", "DataType": "string", "IsModifiable": false, "ApplyMethod": "pending-reboot"}</t>
        </r>
      </text>
    </comment>
    <comment ref="E262" authorId="0">
      <text>
        <r>
          <rPr>
            <sz val="9"/>
            <color indexed="81"/>
            <rFont val="Meiryo UI"/>
            <family val="2"/>
          </rPr>
          <t>https://dev.mysql.com/doc/refman/8.4/en/server-system-variables.html#sysvar_secure_file_priv
Community参考値でありAurora実効値ではありません。</t>
        </r>
      </text>
    </comment>
    <comment ref="M262"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63" authorId="0">
      <text>
        <r>
          <rPr>
            <sz val="9"/>
            <color indexed="81"/>
            <rFont val="Meiryo UI"/>
            <family val="2"/>
          </rPr>
          <t>APIメタデータ: {"ParameterName": "show_create_table_verbosity", "Description": "Enabling show_create_table_verbosity causes SHOW CREATE TABLE to display ROW_FORMAT regardless of whether it is the default format", "Source": "engine-default", "ApplyType": "dynamic", "DataType": "boolean", "AllowedValues": "0,1", "IsModifiable": true, "ApplyMethod": "pending-reboot"}</t>
        </r>
      </text>
    </comment>
    <comment ref="E263" authorId="0">
      <text>
        <r>
          <rPr>
            <sz val="9"/>
            <color indexed="81"/>
            <rFont val="Meiryo UI"/>
            <family val="2"/>
          </rPr>
          <t>https://dev.mysql.com/doc/refman/8.4/en/server-system-variables.html#sysvar_show_create_table_verbosity
Community参考値でありAurora実効値ではありません。</t>
        </r>
      </text>
    </comment>
    <comment ref="M26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64" authorId="0">
      <text>
        <r>
          <rPr>
            <sz val="9"/>
            <color indexed="81"/>
            <rFont val="Meiryo UI"/>
            <family val="2"/>
          </rPr>
          <t>APIメタデータ: {"ParameterName": "show_gipk_in_create_table_and_information_schema", "Description": "Whether generated invisible primary keys are visible in the output of SHOW statements and in Information Schema tables.", "Source": "engine-default", "ApplyType": "dynamic", "DataType": "boolean", "AllowedValues": "0,1", "IsModifiable": true, "ApplyMethod": "pending-reboot"}</t>
        </r>
      </text>
    </comment>
    <comment ref="E264" authorId="0">
      <text>
        <r>
          <rPr>
            <sz val="9"/>
            <color indexed="81"/>
            <rFont val="Meiryo UI"/>
            <family val="2"/>
          </rPr>
          <t>https://dev.mysql.com/doc/refman/8.4/en/server-system-variables.html#sysvar_show_gipk_in_create_table_and_information_schema
Community参考値でありAurora実効値ではありません。</t>
        </r>
      </text>
    </comment>
    <comment ref="M26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65" authorId="0">
      <text>
        <r>
          <rPr>
            <sz val="9"/>
            <color indexed="81"/>
            <rFont val="Meiryo UI"/>
            <family val="2"/>
          </rPr>
          <t>APIメタデータ: {"ParameterName": "skip_external_locking", "Description": "Uses OS locking instead of internal", "Source": "engine-default", "ApplyType": "static", "DataType": "boolean", "AllowedValues": "0,1", "IsModifiable": false, "ApplyMethod": "pending-reboot"}</t>
        </r>
      </text>
    </comment>
    <comment ref="E265" authorId="0">
      <text>
        <r>
          <rPr>
            <sz val="9"/>
            <color indexed="81"/>
            <rFont val="Meiryo UI"/>
            <family val="2"/>
          </rPr>
          <t>https://dev.mysql.com/doc/refman/8.4/en/server-system-variables.html#sysvar_skip_external_locking
Community参考値でありAurora実効値ではありません。</t>
        </r>
      </text>
    </comment>
    <comment ref="M265"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66" authorId="0">
      <text>
        <r>
          <rPr>
            <sz val="9"/>
            <color indexed="81"/>
            <rFont val="Meiryo UI"/>
            <family val="2"/>
          </rPr>
          <t>APIメタデータ: {"ParameterName": "skip-replica-start", "ParameterValue": "1", "Description": "Tells the replica server not to start the replica threads when the server starts.", "Source": "system", "ApplyType": "static", "DataType": "boolean", "AllowedValues": "0,1", "IsModifiable": false, "ApplyMethod": "pending-reboot"}</t>
        </r>
      </text>
    </comment>
    <comment ref="E266" authorId="0">
      <text>
        <r>
          <rPr>
            <sz val="9"/>
            <color indexed="81"/>
            <rFont val="Meiryo UI"/>
            <family val="2"/>
          </rPr>
          <t>https://dev.mysql.com/doc/refman/8.4/en/replication-options-replica.html#sysvar_skip_replica_start
Community参考値でありAurora実効値ではありません。</t>
        </r>
      </text>
    </comment>
    <comment ref="M266"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67" authorId="0">
      <text>
        <r>
          <rPr>
            <sz val="9"/>
            <color indexed="81"/>
            <rFont val="Meiryo UI"/>
            <family val="2"/>
          </rPr>
          <t>APIメタデータ: {"ParameterName": "skip_show_database", "Description": "SHOW DATABASES statement is allowed only to users who have the SHOW DATABASES privilege", "Source": "engine-default", "ApplyType": "static", "DataType": "boolean", "AllowedValues": "0,1", "IsModifiable": true, "ApplyMethod": "pending-reboot"}</t>
        </r>
      </text>
    </comment>
    <comment ref="E267" authorId="0">
      <text>
        <r>
          <rPr>
            <sz val="9"/>
            <color indexed="81"/>
            <rFont val="Meiryo UI"/>
            <family val="2"/>
          </rPr>
          <t>https://dev.mysql.com/doc/refman/8.4/en/server-options.html#sysvar_skip_show_database
Community参考値でありAurora実効値ではありません。</t>
        </r>
      </text>
    </comment>
    <comment ref="M26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68" authorId="0">
      <text>
        <r>
          <rPr>
            <sz val="9"/>
            <color indexed="81"/>
            <rFont val="Meiryo UI"/>
            <family val="2"/>
          </rPr>
          <t>APIメタデータ: {"ParameterName": "slow_launch_time", "Description": "Increments Slow_launch_threads if creating thread takes longer than this many seconds.", "Source": "engine-default", "ApplyType": "dynamic", "DataType": "integer", "AllowedValues": "0-31536000", "IsModifiable": true, "ApplyMethod": "pending-reboot"}</t>
        </r>
      </text>
    </comment>
    <comment ref="E268" authorId="0">
      <text>
        <r>
          <rPr>
            <sz val="9"/>
            <color indexed="81"/>
            <rFont val="Meiryo UI"/>
            <family val="2"/>
          </rPr>
          <t>https://dev.mysql.com/doc/refman/8.4/en/server-system-variables.html#sysvar_slow_launch_time
Community参考値でありAurora実効値ではありません。</t>
        </r>
      </text>
    </comment>
    <comment ref="M268" authorId="0">
      <text>
        <r>
          <rPr>
            <sz val="9"/>
            <color indexed="81"/>
            <rFont val="Meiryo UI"/>
            <family val="2"/>
          </rPr>
          <t>https://docs.aws.amazon.com/AmazonRDS/latest/APIReference/API_DescribeDBParameters.html
https://docs.aws.amazon.com/AmazonRDS/latest/AuroraUserGuide/AuroraMySQL.Reference.ParameterGroups.html</t>
        </r>
      </text>
    </comment>
    <comment ref="B269" authorId="0">
      <text>
        <r>
          <rPr>
            <sz val="9"/>
            <color indexed="81"/>
            <rFont val="Meiryo UI"/>
            <family val="2"/>
          </rPr>
          <t>APIメタデータ: {"ParameterName": "slow_query_log", "Description": "Enable or disable the slow query log", "Source": "engine-default", "ApplyType": "dynamic", "DataType": "boolean", "AllowedValues": "0,1", "IsModifiable": true, "ApplyMethod": "pending-reboot"}</t>
        </r>
      </text>
    </comment>
    <comment ref="E269" authorId="0">
      <text>
        <r>
          <rPr>
            <sz val="9"/>
            <color indexed="81"/>
            <rFont val="Meiryo UI"/>
            <family val="2"/>
          </rPr>
          <t>https://dev.mysql.com/doc/refman/8.4/en/server-system-variables.html#sysvar_slow_query_log
Community参考値でありAurora実効値ではありません。</t>
        </r>
      </text>
    </comment>
    <comment ref="M269" authorId="0">
      <text>
        <r>
          <rPr>
            <sz val="9"/>
            <color indexed="81"/>
            <rFont val="Meiryo UI"/>
            <family val="2"/>
          </rPr>
          <t>https://docs.aws.amazon.com/AmazonRDS/latest/APIReference/API_DescribeDBParameters.html
https://docs.aws.amazon.com/AmazonRDS/latest/AuroraUserGuide/AuroraMySQL.Reference.ParameterGroups.html</t>
        </r>
      </text>
    </comment>
    <comment ref="B270" authorId="0">
      <text>
        <r>
          <rPr>
            <sz val="9"/>
            <color indexed="81"/>
            <rFont val="Meiryo UI"/>
            <family val="2"/>
          </rPr>
          <t>APIメタデータ: {"ParameterName": "slow_query_log_file", "ParameterValue": "/rdsdbdata/log/slowquery/mysql-slowquery.log", "Description": "Location of the mysql slow query log file.", "Source": "system", "ApplyType": "dynamic", "DataType": "string", "IsModifiable": false, "ApplyMethod": "pending-reboot"}</t>
        </r>
      </text>
    </comment>
    <comment ref="E270" authorId="0">
      <text>
        <r>
          <rPr>
            <sz val="9"/>
            <color indexed="81"/>
            <rFont val="Meiryo UI"/>
            <family val="2"/>
          </rPr>
          <t>https://dev.mysql.com/doc/refman/8.4/en/server-system-variables.html#sysvar_slow_query_log_file
Community参考値でありAurora実効値ではありません。</t>
        </r>
      </text>
    </comment>
    <comment ref="M270" authorId="0">
      <text>
        <r>
          <rPr>
            <sz val="9"/>
            <color indexed="81"/>
            <rFont val="Meiryo UI"/>
            <family val="2"/>
          </rPr>
          <t>https://docs.aws.amazon.com/AmazonRDS/latest/APIReference/API_DescribeDBParameters.html
https://docs.aws.amazon.com/AmazonRDS/latest/AuroraUserGuide/AuroraMySQL.Reference.ParameterGroups.html</t>
        </r>
      </text>
    </comment>
    <comment ref="B271" authorId="0">
      <text>
        <r>
          <rPr>
            <sz val="9"/>
            <color indexed="81"/>
            <rFont val="Meiryo UI"/>
            <family val="2"/>
          </rPr>
          <t>APIメタデータ: {"ParameterName": "socket", "ParameterValue": "/tmp/mysql.sock", "Description": "(UNIX) socket file and (WINDOWS) named pipe used for local connections.", "Source": "system", "ApplyType": "static", "DataType": "string", "IsModifiable": false, "ApplyMethod": "pending-reboot"}</t>
        </r>
      </text>
    </comment>
    <comment ref="E271" authorId="0">
      <text>
        <r>
          <rPr>
            <sz val="9"/>
            <color indexed="81"/>
            <rFont val="Meiryo UI"/>
            <family val="2"/>
          </rPr>
          <t>https://dev.mysql.com/doc/refman/8.4/en/server-options.html#sysvar_socket
Community参考値でありAurora実効値ではありません。</t>
        </r>
      </text>
    </comment>
    <comment ref="M271"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72" authorId="0">
      <text>
        <r>
          <rPr>
            <sz val="9"/>
            <color indexed="81"/>
            <rFont val="Meiryo UI"/>
            <family val="2"/>
          </rPr>
          <t>APIメタデータ: {"ParameterName": "sort_buffer_size", "Description": "Larger value improves perf for ORDER BY or GROUP BY operations.", "Source": "engine-default", "ApplyType": "dynamic", "DataType": "integer", "AllowedValues": "32768-18446744073709551615", "IsModifiable": true, "ApplyMethod": "pending-reboot"}</t>
        </r>
      </text>
    </comment>
    <comment ref="E272" authorId="0">
      <text>
        <r>
          <rPr>
            <sz val="9"/>
            <color indexed="81"/>
            <rFont val="Meiryo UI"/>
            <family val="2"/>
          </rPr>
          <t>https://dev.mysql.com/doc/refman/8.4/en/server-system-variables.html#sysvar_sort_buffer_size
Community参考値でありAurora実効値ではありません。</t>
        </r>
      </text>
    </comment>
    <comment ref="M272"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73" authorId="0">
      <text>
        <r>
          <rPr>
            <sz val="9"/>
            <color indexed="81"/>
            <rFont val="Meiryo UI"/>
            <family val="2"/>
          </rPr>
          <t>APIメタデータ: {"ParameterName": "sql_generate_invisible_primary_key", "Description": "Whether this server adds a generated invisible primary key to any InnoDB table that is created without one.", "Source": "engine-default", "ApplyType": "dynamic", "DataType": "boolean", "AllowedValues": "0,1", "IsModifiable": true, "ApplyMethod": "pending-reboot"}</t>
        </r>
      </text>
    </comment>
    <comment ref="E273" authorId="0">
      <text>
        <r>
          <rPr>
            <sz val="9"/>
            <color indexed="81"/>
            <rFont val="Meiryo UI"/>
            <family val="2"/>
          </rPr>
          <t>https://dev.mysql.com/doc/refman/8.4/en/server-system-variables.html#sysvar_sql_generate_invisible_primary_key
Community参考値でありAurora実効値ではありません。</t>
        </r>
      </text>
    </comment>
    <comment ref="M273" authorId="0">
      <text>
        <r>
          <rPr>
            <sz val="9"/>
            <color indexed="81"/>
            <rFont val="Meiryo UI"/>
            <family val="2"/>
          </rPr>
          <t>https://docs.aws.amazon.com/AmazonRDS/latest/APIReference/API_DescribeDBParameters.html
https://dev.mysql.com/doc/refman/8.4/en/server-system-variables.html</t>
        </r>
      </text>
    </comment>
    <comment ref="B274" authorId="0">
      <text>
        <r>
          <rPr>
            <sz val="9"/>
            <color indexed="81"/>
            <rFont val="Meiryo UI"/>
            <family val="2"/>
          </rPr>
          <t>APIメタデータ: {"ParameterName": "sql_mode", "ParameterValue": "0", "Description": "Current SQL Server Mode.", "Source": "system", "ApplyType": "dynamic", "DataType": "list", "AllowedValues": "0,ANSI,ALLOW_INVALID_DATES,ANSI_QUOTES,ERROR_FOR_DIVISION_BY_ZERO,HIGH_NOT_PRECEDENCE,IGNORE_SPACE,NO_AUTO_VALUE_ON_ZERO,NO_BACKSLASH_ESCAPES,NO_DIR_IN_CREATE,NO_ENGINE_SUBSTITUTION,NO_UNSIGNED_SUBTRACTION,NO_ZERO_DATE,NO_ZERO_IN_DATE,ONLY_FULL_GROUP_BY,PAD_CHAR_TO_FULL_LENGTH,PIPES_AS_CONCAT,REAL_AS_FLOAT,STRICT_ALL_TABLES,STRICT_TRANS_TABLES,TRADITIONAL,TIME_TRUNCATE_FRACTIONAL", "IsModifiable": true, "ApplyMethod": "pending-reboot"}</t>
        </r>
      </text>
    </comment>
    <comment ref="E274" authorId="0">
      <text>
        <r>
          <rPr>
            <sz val="9"/>
            <color indexed="81"/>
            <rFont val="Meiryo UI"/>
            <family val="2"/>
          </rPr>
          <t>https://dev.mysql.com/doc/refman/8.4/en/server-options.html#sysvar_sql_mode
Community参考値でありAurora実効値ではありません。</t>
        </r>
      </text>
    </comment>
    <comment ref="M274" authorId="0">
      <text>
        <r>
          <rPr>
            <sz val="9"/>
            <color indexed="81"/>
            <rFont val="Meiryo UI"/>
            <family val="2"/>
          </rPr>
          <t>https://docs.aws.amazon.com/AmazonRDS/latest/APIReference/API_DescribeDBParameters.html
https://dev.mysql.com/doc/refman/8.4/en/server-system-variables.html</t>
        </r>
      </text>
    </comment>
    <comment ref="B275" authorId="0">
      <text>
        <r>
          <rPr>
            <sz val="9"/>
            <color indexed="81"/>
            <rFont val="Meiryo UI"/>
            <family val="2"/>
          </rPr>
          <t>APIメタデータ: {"ParameterName": "sql_select_limit", "Description": "The maximum number of rows to return from SELECT statements.", "Source": "engine-default", "ApplyType": "dynamic", "DataType": "integer", "AllowedValues": "0-18446744073709551615", "IsModifiable": true, "ApplyMethod": "pending-reboot"}</t>
        </r>
      </text>
    </comment>
    <comment ref="E275" authorId="0">
      <text>
        <r>
          <rPr>
            <sz val="9"/>
            <color indexed="81"/>
            <rFont val="Meiryo UI"/>
            <family val="2"/>
          </rPr>
          <t>https://dev.mysql.com/doc/refman/8.4/en/server-system-variables.html#sysvar_sql_select_limit
Community参考値でありAurora実効値ではありません。</t>
        </r>
      </text>
    </comment>
    <comment ref="M275" authorId="0">
      <text>
        <r>
          <rPr>
            <sz val="9"/>
            <color indexed="81"/>
            <rFont val="Meiryo UI"/>
            <family val="2"/>
          </rPr>
          <t>https://docs.aws.amazon.com/AmazonRDS/latest/APIReference/API_DescribeDBParameters.html
https://dev.mysql.com/doc/refman/8.4/en/server-system-variables.html</t>
        </r>
      </text>
    </comment>
    <comment ref="B276" authorId="0">
      <text>
        <r>
          <rPr>
            <sz val="9"/>
            <color indexed="81"/>
            <rFont val="Meiryo UI"/>
            <family val="2"/>
          </rPr>
          <t>APIメタデータ: {"ParameterName": "ssl_session_cache_mode", "Description": "Controls whether to enable the session cache in memory on the server side and session-ticket generation by the server.", "Source": "engine-default", "ApplyType": "dynamic", "DataType": "boolean", "AllowedValues": "0,1", "IsModifiable": true, "ApplyMethod": "pending-reboot"}</t>
        </r>
      </text>
    </comment>
    <comment ref="E276" authorId="0">
      <text>
        <r>
          <rPr>
            <sz val="9"/>
            <color indexed="81"/>
            <rFont val="Meiryo UI"/>
            <family val="2"/>
          </rPr>
          <t>https://dev.mysql.com/doc/refman/8.4/en/server-system-variables.html#sysvar_ssl_session_cache_mode
Community参考値でありAurora実効値ではありません。</t>
        </r>
      </text>
    </comment>
    <comment ref="M276" authorId="0">
      <text>
        <r>
          <rPr>
            <sz val="9"/>
            <color indexed="81"/>
            <rFont val="Meiryo UI"/>
            <family val="2"/>
          </rPr>
          <t>https://docs.aws.amazon.com/AmazonRDS/latest/APIReference/API_DescribeDBParameters.html
https://docs.aws.amazon.com/AmazonRDS/latest/AuroraUserGuide/AuroraMySQL.Upgrade-v3-v84-security.html
https://docs.aws.amazon.com/AmazonRDS/latest/AuroraUserGuide/AuroraMySQL.Compare-v84-community.html</t>
        </r>
      </text>
    </comment>
    <comment ref="B277" authorId="0">
      <text>
        <r>
          <rPr>
            <sz val="9"/>
            <color indexed="81"/>
            <rFont val="Meiryo UI"/>
            <family val="2"/>
          </rPr>
          <t>APIメタデータ: {"ParameterName": "ssl_session_cache_timeout", "Description": "Sets a period of time during which prior session reuse is permitted when establishing a new encrypted connection to the server.", "Source": "engine-default", "ApplyType": "dynamic", "DataType": "integer", "AllowedValues": "0-84600", "IsModifiable": true, "ApplyMethod": "pending-reboot"}</t>
        </r>
      </text>
    </comment>
    <comment ref="E277" authorId="0">
      <text>
        <r>
          <rPr>
            <sz val="9"/>
            <color indexed="81"/>
            <rFont val="Meiryo UI"/>
            <family val="2"/>
          </rPr>
          <t>https://dev.mysql.com/doc/refman/8.4/en/server-system-variables.html#sysvar_ssl_session_cache_timeout
Community参考値でありAurora実効値ではありません。</t>
        </r>
      </text>
    </comment>
    <comment ref="M277" authorId="0">
      <text>
        <r>
          <rPr>
            <sz val="9"/>
            <color indexed="81"/>
            <rFont val="Meiryo UI"/>
            <family val="2"/>
          </rPr>
          <t>https://docs.aws.amazon.com/AmazonRDS/latest/APIReference/API_DescribeDBParameters.html
https://docs.aws.amazon.com/AmazonRDS/latest/AuroraUserGuide/AuroraMySQL.Upgrade-v3-v84-security.html
https://docs.aws.amazon.com/AmazonRDS/latest/AuroraUserGuide/AuroraMySQL.Compare-v84-community.html</t>
        </r>
      </text>
    </comment>
    <comment ref="B278" authorId="0">
      <text>
        <r>
          <rPr>
            <sz val="9"/>
            <color indexed="81"/>
            <rFont val="Meiryo UI"/>
            <family val="2"/>
          </rPr>
          <t>APIメタデータ: {"ParameterName": "stored_program_cache", "Description": "Sets a soft upper limit for the number of cached stored routines per connection.", "Source": "engine-default", "ApplyType": "dynamic", "DataType": "integer", "AllowedValues": "256-524288", "IsModifiable": true, "ApplyMethod": "pending-reboot"}</t>
        </r>
      </text>
    </comment>
    <comment ref="E278" authorId="0">
      <text>
        <r>
          <rPr>
            <sz val="9"/>
            <color indexed="81"/>
            <rFont val="Meiryo UI"/>
            <family val="2"/>
          </rPr>
          <t>https://dev.mysql.com/doc/refman/8.4/en/server-system-variables.html#sysvar_stored_program_cache
Community参考値でありAurora実効値ではありません。</t>
        </r>
      </text>
    </comment>
    <comment ref="M278"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79" authorId="0">
      <text>
        <r>
          <rPr>
            <sz val="9"/>
            <color indexed="81"/>
            <rFont val="Meiryo UI"/>
            <family val="2"/>
          </rPr>
          <t>APIメタデータ: {"ParameterName": "stored_program_definition_cache", "Description": "Defines a limit for the number of stored program definition objects, both used and unused, that can be kept in the dictionary object cache.", "Source": "engine-default", "ApplyType": "dynamic", "DataType": "integer", "AllowedValues": "256-524288", "IsModifiable": true, "ApplyMethod": "pending-reboot"}</t>
        </r>
      </text>
    </comment>
    <comment ref="E279" authorId="0">
      <text>
        <r>
          <rPr>
            <sz val="9"/>
            <color indexed="81"/>
            <rFont val="Meiryo UI"/>
            <family val="2"/>
          </rPr>
          <t>https://dev.mysql.com/doc/refman/8.4/en/server-system-variables.html#sysvar_stored_program_definition_cache
Community参考値でありAurora実効値ではありません。</t>
        </r>
      </text>
    </comment>
    <comment ref="M279"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80" authorId="0">
      <text>
        <r>
          <rPr>
            <sz val="9"/>
            <color indexed="81"/>
            <rFont val="Meiryo UI"/>
            <family val="2"/>
          </rPr>
          <t>APIメタデータ: {"ParameterName": "sync_binlog", "ParameterValue": "1", "Description": "Sync binlog (MySQL flush to disk or rely on OS)", "Source": "system", "ApplyType": "dynamic", "DataType": "integer", "AllowedValues": "0-18446744073709547520", "IsModifiable": false, "ApplyMethod": "pending-reboot"}</t>
        </r>
      </text>
    </comment>
    <comment ref="E280" authorId="0">
      <text>
        <r>
          <rPr>
            <sz val="9"/>
            <color indexed="81"/>
            <rFont val="Meiryo UI"/>
            <family val="2"/>
          </rPr>
          <t>https://dev.mysql.com/doc/refman/8.4/en/replication-options-binary-log.html#sysvar_sync_binlog
Community参考値でありAurora実効値ではありません。</t>
        </r>
      </text>
    </comment>
    <comment ref="M28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81" authorId="0">
      <text>
        <r>
          <rPr>
            <sz val="9"/>
            <color indexed="81"/>
            <rFont val="Meiryo UI"/>
            <family val="2"/>
          </rPr>
          <t>APIメタデータ: {"ParameterName": "sync_relay_log_info", "Description": "The number of transactions after which the replica updates the applier metadata repository. A zero value means that the file contents are only flushed by the operating system.", "Source": "engine-default", "ApplyType": "dynamic", "DataType": "integer", "AllowedValues": "0-18446744073709547520", "IsModifiable": true, "ApplyMethod": "pending-reboot"}</t>
        </r>
      </text>
    </comment>
    <comment ref="E281" authorId="0">
      <text>
        <r>
          <rPr>
            <sz val="9"/>
            <color indexed="81"/>
            <rFont val="Meiryo UI"/>
            <family val="2"/>
          </rPr>
          <t>https://dev.mysql.com/doc/refman/8.4/en/replication-options-replica.html#sysvar_sync_relay_log_info
Community参考値でありAurora実効値ではありません。</t>
        </r>
      </text>
    </comment>
    <comment ref="M281"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82" authorId="0">
      <text>
        <r>
          <rPr>
            <sz val="9"/>
            <color indexed="81"/>
            <rFont val="Meiryo UI"/>
            <family val="2"/>
          </rPr>
          <t>APIメタデータ: {"ParameterName": "sync_source_info", "Description": "sync_source_info specifies the number of events after which the replica updates the connection metadata repository", "Source": "engine-default", "ApplyType": "dynamic", "DataType": "integer", "AllowedValues": "0-18446744073709547520", "IsModifiable": true, "ApplyMethod": "pending-reboot"}</t>
        </r>
      </text>
    </comment>
    <comment ref="E282" authorId="0">
      <text>
        <r>
          <rPr>
            <sz val="9"/>
            <color indexed="81"/>
            <rFont val="Meiryo UI"/>
            <family val="2"/>
          </rPr>
          <t>https://dev.mysql.com/doc/refman/8.4/en/replication-options-replica.html#sysvar_sync_source_info
Community参考値でありAurora実効値ではありません。</t>
        </r>
      </text>
    </comment>
    <comment ref="M282" authorId="0">
      <text>
        <r>
          <rPr>
            <sz val="9"/>
            <color indexed="81"/>
            <rFont val="Meiryo UI"/>
            <family val="2"/>
          </rPr>
          <t>https://docs.aws.amazon.com/AmazonRDS/latest/APIReference/API_DescribeDBParameters.html
https://docs.aws.amazon.com/AmazonRDS/latest/AuroraUserGuide/AuroraMySQL.Reference.ParameterGroups.html
https://docs.aws.amazon.com/AmazonRDS/latest/AuroraUserGuide/aurora-global-database.html</t>
        </r>
      </text>
    </comment>
    <comment ref="B283" authorId="0">
      <text>
        <r>
          <rPr>
            <sz val="9"/>
            <color indexed="81"/>
            <rFont val="Meiryo UI"/>
            <family val="2"/>
          </rPr>
          <t>APIメタデータ: {"ParameterName": "sysdate-is-now", "Description": "Causes SYSYDATE() to be an alias for NOW(). Replication related", "Source": "engine-default", "ApplyType": "static", "DataType": "boolean", "AllowedValues": "0,1", "IsModifiable": true, "ApplyMethod": "pending-reboot"}</t>
        </r>
      </text>
    </comment>
    <comment ref="M28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84" authorId="0">
      <text>
        <r>
          <rPr>
            <sz val="9"/>
            <color indexed="81"/>
            <rFont val="Meiryo UI"/>
            <family val="2"/>
          </rPr>
          <t>APIメタデータ: {"ParameterName": "table_cache_element_entry_ttl", "Description": "table_cache_element_entry_ttl", "Source": "engine-default", "ApplyType": "static", "DataType": "integer", "AllowedValues": "5", "IsModifiable": false, "ApplyMethod": "pending-reboot"}</t>
        </r>
      </text>
    </comment>
    <comment ref="M284"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85" authorId="0">
      <text>
        <r>
          <rPr>
            <sz val="9"/>
            <color indexed="81"/>
            <rFont val="Meiryo UI"/>
            <family val="2"/>
          </rPr>
          <t>APIメタデータ: {"ParameterName": "table_definition_cache", "ParameterValue": "LEAST({DBInstanceClassMemory/393040}, 20000)", "Description": "The number of table definitions that can be stored in the definition cache", "Source": "engine-default", "ApplyType": "dynamic", "DataType": "integer", "AllowedValues": "-1,400-524288", "IsModifiable": true, "ApplyMethod": "pending-reboot"}</t>
        </r>
      </text>
    </comment>
    <comment ref="E285" authorId="0">
      <text>
        <r>
          <rPr>
            <sz val="9"/>
            <color indexed="81"/>
            <rFont val="Meiryo UI"/>
            <family val="2"/>
          </rPr>
          <t>https://dev.mysql.com/doc/refman/8.4/en/server-system-variables.html#sysvar_table_definition_cache
Community参考値でありAurora実効値ではありません。</t>
        </r>
      </text>
    </comment>
    <comment ref="M285" authorId="0">
      <text>
        <r>
          <rPr>
            <sz val="9"/>
            <color indexed="81"/>
            <rFont val="Meiryo UI"/>
            <family val="2"/>
          </rPr>
          <t>https://docs.aws.amazon.com/AmazonRDS/latest/APIReference/API_DescribeDBParameters.html
https://docs.aws.amazon.com/AmazonRDS/latest/AuroraUserGuide/aurora-serverless-v2.setting-capacity.html</t>
        </r>
      </text>
    </comment>
    <comment ref="B286" authorId="0">
      <text>
        <r>
          <rPr>
            <sz val="9"/>
            <color indexed="81"/>
            <rFont val="Meiryo UI"/>
            <family val="2"/>
          </rPr>
          <t>APIメタデータ: {"ParameterName": "table_open_cache", "ParameterValue": "LEAST({DBInstanceClassMemory/1179121}, 6000)", "Description": "The number of open tables for all threads. Increasing this value increases the number of file descriptors.", "Source": "engine-default", "ApplyType": "dynamic", "DataType": "integer", "AllowedValues": "1-524288", "IsModifiable": true, "ApplyMethod": "pending-reboot"}</t>
        </r>
      </text>
    </comment>
    <comment ref="E286" authorId="0">
      <text>
        <r>
          <rPr>
            <sz val="9"/>
            <color indexed="81"/>
            <rFont val="Meiryo UI"/>
            <family val="2"/>
          </rPr>
          <t>https://dev.mysql.com/doc/refman/8.4/en/server-system-variables.html#sysvar_table_open_cache
Community参考値でありAurora実効値ではありません。</t>
        </r>
      </text>
    </comment>
    <comment ref="M286" authorId="0">
      <text>
        <r>
          <rPr>
            <sz val="9"/>
            <color indexed="81"/>
            <rFont val="Meiryo UI"/>
            <family val="2"/>
          </rPr>
          <t>https://docs.aws.amazon.com/AmazonRDS/latest/APIReference/API_DescribeDBParameters.html
https://docs.aws.amazon.com/AmazonRDS/latest/AuroraUserGuide/aurora-serverless-v2.setting-capacity.html</t>
        </r>
      </text>
    </comment>
    <comment ref="B287" authorId="0">
      <text>
        <r>
          <rPr>
            <sz val="9"/>
            <color indexed="81"/>
            <rFont val="Meiryo UI"/>
            <family val="2"/>
          </rPr>
          <t>APIメタデータ: {"ParameterName": "table_open_cache_instances", "Description": "The number of open tables cache instances.", "Source": "engine-default", "ApplyType": "static", "DataType": "integer", "AllowedValues": "1-64", "IsModifiable": true, "ApplyMethod": "pending-reboot"}</t>
        </r>
      </text>
    </comment>
    <comment ref="E287" authorId="0">
      <text>
        <r>
          <rPr>
            <sz val="9"/>
            <color indexed="81"/>
            <rFont val="Meiryo UI"/>
            <family val="2"/>
          </rPr>
          <t>https://dev.mysql.com/doc/refman/8.4/en/server-system-variables.html#sysvar_table_open_cache_instances
Community参考値でありAurora実効値ではありません。</t>
        </r>
      </text>
    </comment>
    <comment ref="M287"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88" authorId="0">
      <text>
        <r>
          <rPr>
            <sz val="9"/>
            <color indexed="81"/>
            <rFont val="Meiryo UI"/>
            <family val="2"/>
          </rPr>
          <t>APIメタデータ: {"ParameterName": "tablespace_definition_cache", "Description": "Defines a limit for the number of tablespace definition objects, both used and unused, that can be kept in the dictionary object cache.", "Source": "engine-default", "ApplyType": "dynamic", "DataType": "integer", "AllowedValues": "256-524288", "IsModifiable": true, "ApplyMethod": "pending-reboot"}</t>
        </r>
      </text>
    </comment>
    <comment ref="E288" authorId="0">
      <text>
        <r>
          <rPr>
            <sz val="9"/>
            <color indexed="81"/>
            <rFont val="Meiryo UI"/>
            <family val="2"/>
          </rPr>
          <t>https://dev.mysql.com/doc/refman/8.4/en/server-system-variables.html#sysvar_tablespace_definition_cache
Community参考値でありAurora実効値ではありません。</t>
        </r>
      </text>
    </comment>
    <comment ref="M288"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89" authorId="0">
      <text>
        <r>
          <rPr>
            <sz val="9"/>
            <color indexed="81"/>
            <rFont val="Meiryo UI"/>
            <family val="2"/>
          </rPr>
          <t>APIメタデータ: {"ParameterName": "temptable_max_mmap", "ParameterValue": "LEAST(4294967296,{AllocatedStorage*3/100})", "Description": "Defines the maximum amount of memory (in bytes) the TempTable storage engine is permitted to allocate from memory-mapped temporary files before it starts storing data to InnoDB internal temporary tables on disk. A setting of 0 disables allocation of memory from memory-mapped temporary files.", "Source": "engine-default", "ApplyType": "dynamic", "DataType": "integer", "AllowedValues": "0-18446744073709551615", "IsModifiable": true, "ApplyMethod": "pending-reboot"}</t>
        </r>
      </text>
    </comment>
    <comment ref="E289" authorId="0">
      <text>
        <r>
          <rPr>
            <sz val="9"/>
            <color indexed="81"/>
            <rFont val="Meiryo UI"/>
            <family val="2"/>
          </rPr>
          <t>https://dev.mysql.com/doc/refman/8.4/en/server-system-variables.html#sysvar_temptable_max_mmap
Community参考値でありAurora実効値ではありません。</t>
        </r>
      </text>
    </comment>
    <comment ref="M289"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90" authorId="0">
      <text>
        <r>
          <rPr>
            <sz val="9"/>
            <color indexed="81"/>
            <rFont val="Meiryo UI"/>
            <family val="2"/>
          </rPr>
          <t>APIメタデータ: {"ParameterName": "temptable_max_ram", "Description": "Defines the maximum amount of memory that can be occupied by the TempTable storage engine before it starts storing data on disk.", "Source": "engine-default", "ApplyType": "dynamic", "DataType": "integer", "AllowedValues": "2097152-18446744073709551615", "IsModifiable": true, "ApplyMethod": "pending-reboot"}</t>
        </r>
      </text>
    </comment>
    <comment ref="E290" authorId="0">
      <text>
        <r>
          <rPr>
            <sz val="9"/>
            <color indexed="81"/>
            <rFont val="Meiryo UI"/>
            <family val="2"/>
          </rPr>
          <t>https://dev.mysql.com/doc/refman/8.4/en/server-system-variables.html#sysvar_temptable_max_ram
Community参考値でありAurora実効値ではありません。</t>
        </r>
      </text>
    </comment>
    <comment ref="M290"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91" authorId="0">
      <text>
        <r>
          <rPr>
            <sz val="9"/>
            <color indexed="81"/>
            <rFont val="Meiryo UI"/>
            <family val="2"/>
          </rPr>
          <t>APIメタデータ: {"ParameterName": "temptable_use_mmap", "ParameterValue": "1", "Description": "Defines whether the TempTable storage engine allocates space for internal in-memory temporary tables as memory-mapped temporary files when the amount of memory occupied by the TempTable storage engine exceeds the limit defined by the temptable_max_ram variable. When temptable_use_mmap is disabled, the TempTable storage engine uses InnoDB on-disk internal temporary tables instead. Deprecated in MySQL Community 8.0.26", "Source": "engine-default", "ApplyType": "dynamic", "DataType": "boolean", "AllowedValues": "0,1", "IsModifiable": true, "ApplyMethod": "pending-reboot"}</t>
        </r>
      </text>
    </comment>
    <comment ref="E291" authorId="0">
      <text>
        <r>
          <rPr>
            <sz val="9"/>
            <color indexed="81"/>
            <rFont val="Meiryo UI"/>
            <family val="2"/>
          </rPr>
          <t>https://dev.mysql.com/doc/refman/8.4/en/server-system-variables.html#sysvar_temptable_use_mmap
Community参考値でありAurora実効値ではありません。</t>
        </r>
      </text>
    </comment>
    <comment ref="M291"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92" authorId="0">
      <text>
        <r>
          <rPr>
            <sz val="9"/>
            <color indexed="81"/>
            <rFont val="Meiryo UI"/>
            <family val="2"/>
          </rPr>
          <t>APIメタデータ: {"ParameterName": "thread_cache_size", "ParameterValue": "{DBInstanceClassMemory/1005785088}", "Description": "Number of threads to be cached. Doesn't improve perf for good thread implementations.", "Source": "system", "ApplyType": "dynamic", "DataType": "integer", "AllowedValues": "0-16384", "IsModifiable": true, "ApplyMethod": "pending-reboot"}</t>
        </r>
      </text>
    </comment>
    <comment ref="E292" authorId="0">
      <text>
        <r>
          <rPr>
            <sz val="9"/>
            <color indexed="81"/>
            <rFont val="Meiryo UI"/>
            <family val="2"/>
          </rPr>
          <t>https://dev.mysql.com/doc/refman/8.4/en/server-system-variables.html#sysvar_thread_cache_size
Community参考値でありAurora実効値ではありません。</t>
        </r>
      </text>
    </comment>
    <comment ref="M292"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93" authorId="0">
      <text>
        <r>
          <rPr>
            <sz val="9"/>
            <color indexed="81"/>
            <rFont val="Meiryo UI"/>
            <family val="2"/>
          </rPr>
          <t>APIメタデータ: {"ParameterName": "thread_handling", "ParameterValue": "thread-pools", "Description": "The thread-handling model used by the server for connection threads.", "Source": "system", "ApplyType": "static", "DataType": "string", "AllowedValues": "thread-pools,no-threads,one-thread-per-connection,dynamically-loaded", "IsModifiable": false, "ApplyMethod": "pending-reboot"}</t>
        </r>
      </text>
    </comment>
    <comment ref="E293" authorId="0">
      <text>
        <r>
          <rPr>
            <sz val="9"/>
            <color indexed="81"/>
            <rFont val="Meiryo UI"/>
            <family val="2"/>
          </rPr>
          <t>https://dev.mysql.com/doc/refman/8.4/en/server-system-variables.html#sysvar_thread_handling
Community参考値でありAurora実効値ではありません。</t>
        </r>
      </text>
    </comment>
    <comment ref="M29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94" authorId="0">
      <text>
        <r>
          <rPr>
            <sz val="9"/>
            <color indexed="81"/>
            <rFont val="Meiryo UI"/>
            <family val="2"/>
          </rPr>
          <t>APIメタデータ: {"ParameterName": "thread_stack", "ParameterValue": "262144", "Description": "If the thread stack size is too small, it limits the complexity of the SQL statements that the server can handle, the recursion depth of stored procedures, and other memory-consuming actions.", "Source": "engine-default", "ApplyType": "static", "DataType": "integer", "AllowedValues": "131072-18446744073709547520", "IsModifiable": true, "ApplyMethod": "pending-reboot"}</t>
        </r>
      </text>
    </comment>
    <comment ref="E294" authorId="0">
      <text>
        <r>
          <rPr>
            <sz val="9"/>
            <color indexed="81"/>
            <rFont val="Meiryo UI"/>
            <family val="2"/>
          </rPr>
          <t>https://dev.mysql.com/doc/refman/8.4/en/server-system-variables.html#sysvar_thread_stack
Community参考値でありAurora実効値ではありません。</t>
        </r>
      </text>
    </comment>
    <comment ref="M29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95" authorId="0">
      <text>
        <r>
          <rPr>
            <sz val="9"/>
            <color indexed="81"/>
            <rFont val="Meiryo UI"/>
            <family val="2"/>
          </rPr>
          <t>APIメタデータ: {"ParameterName": "tmpdir", "ParameterValue": "/rdsdbdata/tmp/", "Description": "The directory used for temporary files and temporary tables", "Source": "system", "ApplyType": "static", "DataType": "string", "IsModifiable": false, "ApplyMethod": "pending-reboot"}</t>
        </r>
      </text>
    </comment>
    <comment ref="M295"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96" authorId="0">
      <text>
        <r>
          <rPr>
            <sz val="9"/>
            <color indexed="81"/>
            <rFont val="Meiryo UI"/>
            <family val="2"/>
          </rPr>
          <t>APIメタデータ: {"ParameterName": "tmp_table_size", "Description": "Defines the maximum size of internal in-memory temporary tables created by the MEMORY storage engine and, as of Aurora 3.04, the TempTable storage engine when aurora_tmptable_enable_per_table_limit is ON.", "Source": "engine-default", "ApplyType": "dynamic", "DataType": "integer", "AllowedValues": "1024-18446744073709551615", "IsModifiable": true, "ApplyMethod": "pending-reboot"}</t>
        </r>
      </text>
    </comment>
    <comment ref="E296" authorId="0">
      <text>
        <r>
          <rPr>
            <sz val="9"/>
            <color indexed="81"/>
            <rFont val="Meiryo UI"/>
            <family val="2"/>
          </rPr>
          <t>https://dev.mysql.com/doc/refman/8.4/en/server-system-variables.html#sysvar_tmp_table_size
Community参考値でありAurora実効値ではありません。</t>
        </r>
      </text>
    </comment>
    <comment ref="M296" authorId="0">
      <text>
        <r>
          <rPr>
            <sz val="9"/>
            <color indexed="81"/>
            <rFont val="Meiryo UI"/>
            <family val="2"/>
          </rPr>
          <t>https://docs.aws.amazon.com/AmazonRDS/latest/APIReference/API_DescribeDBParameters.html
https://docs.aws.amazon.com/AmazonRDS/latest/AuroraUserGuide/aurora-serverless-v2.setting-capacity.html
https://docs.aws.amazon.com/AmazonRDS/latest/AuroraUserGuide/AuroraMySQL.Managing.Performance.html</t>
        </r>
      </text>
    </comment>
    <comment ref="B297" authorId="0">
      <text>
        <r>
          <rPr>
            <sz val="9"/>
            <color indexed="81"/>
            <rFont val="Meiryo UI"/>
            <family val="2"/>
          </rPr>
          <t>APIメタデータ: {"ParameterName": "transaction_alloc_block_size", "Description": "The amount in bytes by which to increase a per-transaction memory pool which needs memory.", "Source": "engine-default", "ApplyType": "dynamic", "DataType": "integer", "AllowedValues": "1024-18446744073709547520", "IsModifiable": true, "ApplyMethod": "pending-reboot"}</t>
        </r>
      </text>
    </comment>
    <comment ref="E297" authorId="0">
      <text>
        <r>
          <rPr>
            <sz val="9"/>
            <color indexed="81"/>
            <rFont val="Meiryo UI"/>
            <family val="2"/>
          </rPr>
          <t>https://dev.mysql.com/doc/refman/8.4/en/server-system-variables.html#sysvar_transaction_alloc_block_size
Community参考値でありAurora実効値ではありません。</t>
        </r>
      </text>
    </comment>
    <comment ref="M297"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298" authorId="0">
      <text>
        <r>
          <rPr>
            <sz val="9"/>
            <color indexed="81"/>
            <rFont val="Meiryo UI"/>
            <family val="2"/>
          </rPr>
          <t>APIメタデータ: {"ParameterName": "transaction_isolation", "Description": "Sets the default isolation level.", "Source": "engine-default", "ApplyType": "dynamic", "DataType": "string", "AllowedValues": "READ-UNCOMMITTED,READ-COMMITTED,REPEATABLE-READ,SERIALIZABLE", "IsModifiable": true, "ApplyMethod": "pending-reboot"}</t>
        </r>
      </text>
    </comment>
    <comment ref="E298" authorId="0">
      <text>
        <r>
          <rPr>
            <sz val="9"/>
            <color indexed="81"/>
            <rFont val="Meiryo UI"/>
            <family val="2"/>
          </rPr>
          <t>https://dev.mysql.com/doc/refman/8.4/en/server-options.html#sysvar_transaction_isolation
Community参考値でありAurora実効値ではありません。</t>
        </r>
      </text>
    </comment>
    <comment ref="M298" authorId="0">
      <text>
        <r>
          <rPr>
            <sz val="9"/>
            <color indexed="81"/>
            <rFont val="Meiryo UI"/>
            <family val="2"/>
          </rPr>
          <t>https://docs.aws.amazon.com/AmazonRDS/latest/APIReference/API_DescribeDBParameters.html
https://dev.mysql.com/doc/refman/8.4/en/server-system-variables.html</t>
        </r>
      </text>
    </comment>
    <comment ref="B299" authorId="0">
      <text>
        <r>
          <rPr>
            <sz val="9"/>
            <color indexed="81"/>
            <rFont val="Meiryo UI"/>
            <family val="2"/>
          </rPr>
          <t>APIメタデータ: {"ParameterName": "transaction_prealloc_size", "Description": "There is a per-transaction memory pool from which various transaction-related allocations take memory. For every allocation that cannot be satisfied from the pool because it has insufficient memory available, the pool is incremented.", "Source": "engine-default", "ApplyType": "dynamic", "DataType": "integer", "AllowedValues": "1024-18446744073709547520", "IsModifiable": true, "ApplyMethod": "pending-reboot"}</t>
        </r>
      </text>
    </comment>
    <comment ref="E299" authorId="0">
      <text>
        <r>
          <rPr>
            <sz val="9"/>
            <color indexed="81"/>
            <rFont val="Meiryo UI"/>
            <family val="2"/>
          </rPr>
          <t>https://dev.mysql.com/doc/refman/8.4/en/server-system-variables.html#sysvar_transaction_prealloc_size
Community参考値でありAurora実効値ではありません。</t>
        </r>
      </text>
    </comment>
    <comment ref="M299"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00" authorId="0">
      <text>
        <r>
          <rPr>
            <sz val="9"/>
            <color indexed="81"/>
            <rFont val="Meiryo UI"/>
            <family val="2"/>
          </rPr>
          <t>APIメタデータ: {"ParameterName": "updatable_views_with_limit", "Description": "This variable controls whether updates to a view can be made when the view does not contain all columns of the primary key defined in the underlying table, if the update statement contains a LIMIT clause (Often generated by GUI tools).", "Source": "engine-default", "ApplyType": "dynamic", "DataType": "boolean", "AllowedValues": "0,1", "IsModifiable": true, "ApplyMethod": "pending-reboot"}</t>
        </r>
      </text>
    </comment>
    <comment ref="E300" authorId="0">
      <text>
        <r>
          <rPr>
            <sz val="9"/>
            <color indexed="81"/>
            <rFont val="Meiryo UI"/>
            <family val="2"/>
          </rPr>
          <t>https://dev.mysql.com/doc/refman/8.4/en/server-system-variables.html#sysvar_updatable_views_with_limit
Community参考値でありAurora実効値ではありません。</t>
        </r>
      </text>
    </comment>
    <comment ref="M300"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01" authorId="0">
      <text>
        <r>
          <rPr>
            <sz val="9"/>
            <color indexed="81"/>
            <rFont val="Meiryo UI"/>
            <family val="2"/>
          </rPr>
          <t>APIメタデータ: {"ParameterName": "validate-password", "Description": "This option controls how the server loads the validate_password plugin at startup.", "Source": "engine-default", "ApplyType": "static", "DataType": "string", "AllowedValues": "ON,OFF,FORCE,FORCE_PLUS_PERMANENT", "IsModifiable": false, "ApplyMethod": "pending-reboot"}</t>
        </r>
      </text>
    </comment>
    <comment ref="M301" authorId="0">
      <text>
        <r>
          <rPr>
            <sz val="9"/>
            <color indexed="81"/>
            <rFont val="Meiryo UI"/>
            <family val="2"/>
          </rPr>
          <t>https://docs.aws.amazon.com/AmazonRDS/latest/APIReference/API_DescribeDBParameters.html
https://docs.aws.amazon.com/AmazonRDS/latest/AuroraUserGuide/AuroraMySQL.Upgrade-v3-v84-security.html
https://docs.aws.amazon.com/AmazonRDS/latest/AuroraUserGuide/AuroraMySQL.Compare-v84-community.html</t>
        </r>
      </text>
    </comment>
    <comment ref="B302" authorId="0">
      <text>
        <r>
          <rPr>
            <sz val="9"/>
            <color indexed="81"/>
            <rFont val="Meiryo UI"/>
            <family val="2"/>
          </rPr>
          <t>APIメタデータ: {"ParameterName": "wait_timeout", "Description": "The number of seconds the server waits for activity on a non-interactive TCP/IP or UNIX File connection before closing it.", "Source": "engine-default", "ApplyType": "dynamic", "DataType": "integer", "AllowedValues": "1-31536000", "IsModifiable": true, "ApplyMethod": "pending-reboot"}</t>
        </r>
      </text>
    </comment>
    <comment ref="E302" authorId="0">
      <text>
        <r>
          <rPr>
            <sz val="9"/>
            <color indexed="81"/>
            <rFont val="Meiryo UI"/>
            <family val="2"/>
          </rPr>
          <t>https://dev.mysql.com/doc/refman/8.4/en/server-system-variables.html#sysvar_wait_timeout
Community参考値でありAurora実効値ではありません。</t>
        </r>
      </text>
    </comment>
    <comment ref="M302" authorId="0">
      <text>
        <r>
          <rPr>
            <sz val="9"/>
            <color indexed="81"/>
            <rFont val="Meiryo UI"/>
            <family val="2"/>
          </rPr>
          <t>https://docs.aws.amazon.com/AmazonRDS/latest/APIReference/API_DescribeDBParameters.html
https://docs.aws.amazon.com/AmazonRDS/latest/AuroraUserGuide/rds-proxy-connections.html
https://dev.mysql.com/doc/refman/8.4/en/server-system-variables.html</t>
        </r>
      </text>
    </comment>
    <comment ref="B303" authorId="0">
      <text>
        <r>
          <rPr>
            <sz val="9"/>
            <color indexed="81"/>
            <rFont val="Meiryo UI"/>
            <family val="2"/>
          </rPr>
          <t>APIメタデータ: {"ParameterName": "windowing_use_high_precision", "Description": "For SQL window functions, determines whether to enable inversion optimization for moving window frames also for floating values.", "Source": "engine-default", "ApplyType": "dynamic", "DataType": "boolean", "AllowedValues": "0,1", "IsModifiable": true, "ApplyMethod": "pending-reboot"}</t>
        </r>
      </text>
    </comment>
    <comment ref="E303" authorId="0">
      <text>
        <r>
          <rPr>
            <sz val="9"/>
            <color indexed="81"/>
            <rFont val="Meiryo UI"/>
            <family val="2"/>
          </rPr>
          <t>https://dev.mysql.com/doc/refman/8.4/en/server-system-variables.html#sysvar_windowing_use_high_precision
Community参考値でありAurora実効値ではありません。</t>
        </r>
      </text>
    </comment>
    <comment ref="M303"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 ref="B304" authorId="0">
      <text>
        <r>
          <rPr>
            <sz val="9"/>
            <color indexed="81"/>
            <rFont val="Meiryo UI"/>
            <family val="2"/>
          </rPr>
          <t>APIメタデータ: {"ParameterName": "xa_detach_on_prepare", "Description": "When enabled, XA transactions are detached from the connection as part of XA PREPARE.", "Source": "engine-default", "ApplyType": "dynamic", "DataType": "boolean", "AllowedValues": "0,1", "IsModifiable": true, "ApplyMethod": "pending-reboot"}</t>
        </r>
      </text>
    </comment>
    <comment ref="E304" authorId="0">
      <text>
        <r>
          <rPr>
            <sz val="9"/>
            <color indexed="81"/>
            <rFont val="Meiryo UI"/>
            <family val="2"/>
          </rPr>
          <t>https://dev.mysql.com/doc/refman/8.4/en/server-system-variables.html#sysvar_xa_detach_on_prepare
Community参考値でありAurora実効値ではありません。</t>
        </r>
      </text>
    </comment>
    <comment ref="M304" authorId="0">
      <text>
        <r>
          <rPr>
            <sz val="9"/>
            <color indexed="81"/>
            <rFont val="Meiryo UI"/>
            <family val="2"/>
          </rPr>
          <t>https://docs.aws.amazon.com/AmazonRDS/latest/APIReference/API_DescribeDBParameters.html
https://docs.aws.amazon.com/AmazonRDS/latest/AuroraUserGuide/AuroraMySQL.Reference.ParameterGroups.html
https://dev.mysql.com/doc/refman/8.4/en/server-system-variables.html</t>
        </r>
      </text>
    </comment>
  </commentList>
</comments>
</file>

<file path=xl/comments18.xml><?xml version="1.0" encoding="utf-8"?>
<comments xmlns="http://schemas.openxmlformats.org/spreadsheetml/2006/main">
  <authors>
    <author/>
  </authors>
  <commentList>
    <comment ref="I6" authorId="0">
      <text>
        <r>
          <rPr>
            <sz val="9"/>
            <color indexed="81"/>
            <rFont val="Meiryo UI"/>
            <family val="2"/>
          </rPr>
          <t>https://docs.aws.amazon.com/AmazonRDS/latest/AuroraUserGuide/AuroraMySQL.Reference.ParameterGroups.html
https://dev.mysql.com/doc/refman/8.4/en/server-system-variables.html</t>
        </r>
      </text>
    </comment>
    <comment ref="I7" authorId="0">
      <text>
        <r>
          <rPr>
            <sz val="9"/>
            <color indexed="81"/>
            <rFont val="Meiryo UI"/>
            <family val="2"/>
          </rPr>
          <t>https://docs.aws.amazon.com/AmazonRDS/latest/AuroraUserGuide/AuroraMySQL.Reference.ParameterGroups.html
https://dev.mysql.com/doc/refman/8.4/en/server-system-variables.html</t>
        </r>
      </text>
    </comment>
    <comment ref="I8" authorId="0">
      <text>
        <r>
          <rPr>
            <sz val="9"/>
            <color indexed="81"/>
            <rFont val="Meiryo UI"/>
            <family val="2"/>
          </rPr>
          <t>https://docs.aws.amazon.com/AmazonRDS/latest/AuroraUserGuide/AuroraMySQL.Reference.ParameterGroups.html
https://dev.mysql.com/doc/refman/8.4/en/server-system-variables.html</t>
        </r>
      </text>
    </comment>
    <comment ref="I9" authorId="0">
      <text>
        <r>
          <rPr>
            <sz val="9"/>
            <color indexed="81"/>
            <rFont val="Meiryo UI"/>
            <family val="2"/>
          </rPr>
          <t>https://docs.aws.amazon.com/AmazonRDS/latest/AuroraUserGuide/AuroraMySQL.Reference.ParameterGroups.html</t>
        </r>
      </text>
    </comment>
    <comment ref="I10" authorId="0">
      <text>
        <r>
          <rPr>
            <sz val="9"/>
            <color indexed="81"/>
            <rFont val="Meiryo UI"/>
            <family val="2"/>
          </rPr>
          <t>https://docs.aws.amazon.com/AmazonRDS/latest/AuroraUserGuide/AuroraMySQL.Reference.ParameterGroups.html
https://dev.mysql.com/doc/refman/8.4/en/server-system-variables.html</t>
        </r>
      </text>
    </comment>
    <comment ref="I11" authorId="0">
      <text>
        <r>
          <rPr>
            <sz val="9"/>
            <color indexed="81"/>
            <rFont val="Meiryo UI"/>
            <family val="2"/>
          </rPr>
          <t>https://docs.aws.amazon.com/AmazonRDS/latest/AuroraUserGuide/AuroraMySQL.Reference.ParameterGroups.html
https://dev.mysql.com/doc/refman/8.4/en/server-system-variables.html</t>
        </r>
      </text>
    </comment>
    <comment ref="I12" authorId="0">
      <text>
        <r>
          <rPr>
            <sz val="9"/>
            <color indexed="81"/>
            <rFont val="Meiryo UI"/>
            <family val="2"/>
          </rPr>
          <t>https://docs.aws.amazon.com/AmazonRDS/latest/AuroraUserGuide/AuroraMySQL.Reference.ParameterGroups.html
https://dev.mysql.com/doc/refman/8.4/en/server-system-variables.html</t>
        </r>
      </text>
    </comment>
    <comment ref="I13"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4" authorId="0">
      <text>
        <r>
          <rPr>
            <sz val="9"/>
            <color indexed="81"/>
            <rFont val="Meiryo UI"/>
            <family val="2"/>
          </rPr>
          <t>https://docs.aws.amazon.com/AmazonRDS/latest/AuroraUserGuide/AuroraMySQL.Reference.ParameterGroups.html</t>
        </r>
      </text>
    </comment>
    <comment ref="I15" authorId="0">
      <text>
        <r>
          <rPr>
            <sz val="9"/>
            <color indexed="81"/>
            <rFont val="Meiryo UI"/>
            <family val="2"/>
          </rPr>
          <t>https://docs.aws.amazon.com/rds/latest/auroraextendedcontent/aurora-faq-performance.html</t>
        </r>
      </text>
    </comment>
    <comment ref="I16" authorId="0">
      <text>
        <r>
          <rPr>
            <sz val="9"/>
            <color indexed="81"/>
            <rFont val="Meiryo UI"/>
            <family val="2"/>
          </rPr>
          <t>https://docs.aws.amazon.com/AmazonRDS/latest/AuroraUserGuide/rds-proxy-gdb.html</t>
        </r>
      </text>
    </comment>
    <comment ref="I17" authorId="0">
      <text>
        <r>
          <rPr>
            <sz val="9"/>
            <color indexed="81"/>
            <rFont val="Meiryo UI"/>
            <family val="2"/>
          </rPr>
          <t>https://docs.aws.amazon.com/AmazonRDS/latest/AuroraUserGuide/AuroraMySQL.Reference.ParameterGroups.html
https://dev.mysql.com/doc/refman/8.4/en/server-system-variables.html</t>
        </r>
      </text>
    </comment>
    <comment ref="I18" authorId="0">
      <text>
        <r>
          <rPr>
            <sz val="9"/>
            <color indexed="81"/>
            <rFont val="Meiryo UI"/>
            <family val="2"/>
          </rPr>
          <t>https://docs.aws.amazon.com/AmazonRDS/latest/APIReference/API_DescribeDBClusterParameters.html
https://docs.aws.amazon.com/AmazonRDS/latest/APIReference/API_DescribeDBParameters.html</t>
        </r>
      </text>
    </comment>
    <comment ref="I19" authorId="0">
      <text>
        <r>
          <rPr>
            <sz val="9"/>
            <color indexed="81"/>
            <rFont val="Meiryo UI"/>
            <family val="2"/>
          </rPr>
          <t>https://docs.aws.amazon.com/AmazonRDS/latest/AuroraUserGuide/AuroraMySQL.Reference.ParameterGroups.html
https://dev.mysql.com/doc/refman/8.4/en/server-system-variables.html</t>
        </r>
      </text>
    </comment>
    <comment ref="I20" authorId="0">
      <text>
        <r>
          <rPr>
            <sz val="9"/>
            <color indexed="81"/>
            <rFont val="Meiryo UI"/>
            <family val="2"/>
          </rPr>
          <t>https://docs.aws.amazon.com/AmazonRDS/latest/AuroraUserGuide/AuroraMySQL.Upgrade-v3-v84-security.html</t>
        </r>
      </text>
    </comment>
    <comment ref="I21" authorId="0">
      <text>
        <r>
          <rPr>
            <sz val="9"/>
            <color indexed="81"/>
            <rFont val="Meiryo UI"/>
            <family val="2"/>
          </rPr>
          <t>https://docs.aws.amazon.com/AmazonRDS/latest/AuroraUserGuide/rds-proxy.howitworks.html</t>
        </r>
      </text>
    </comment>
    <comment ref="I22" authorId="0">
      <text>
        <r>
          <rPr>
            <sz val="9"/>
            <color indexed="81"/>
            <rFont val="Meiryo UI"/>
            <family val="2"/>
          </rPr>
          <t>https://docs.aws.amazon.com/AmazonRDS/latest/AuroraUserGuide/AuroraMySQL.Reference.ParameterGroups.html
https://dev.mysql.com/doc/refman/8.4/en/server-system-variables.html</t>
        </r>
      </text>
    </comment>
    <comment ref="I23" authorId="0">
      <text>
        <r>
          <rPr>
            <sz val="9"/>
            <color indexed="81"/>
            <rFont val="Meiryo UI"/>
            <family val="2"/>
          </rPr>
          <t>https://docs.aws.amazon.com/AmazonRDS/latest/AuroraUserGuide/AuroraMySQL.Reference.ParameterGroups.html
https://dev.mysql.com/doc/refman/8.4/en/server-system-variables.html</t>
        </r>
      </text>
    </comment>
    <comment ref="I24" authorId="0">
      <text>
        <r>
          <rPr>
            <sz val="9"/>
            <color indexed="81"/>
            <rFont val="Meiryo UI"/>
            <family val="2"/>
          </rPr>
          <t>https://docs.aws.amazon.com/AmazonRDS/latest/AuroraUserGuide/AuroraMySQL.Reference.ParameterGroups.html
https://dev.mysql.com/doc/refman/8.4/en/server-system-variables.html</t>
        </r>
      </text>
    </comment>
    <comment ref="I25" authorId="0">
      <text>
        <r>
          <rPr>
            <sz val="9"/>
            <color indexed="81"/>
            <rFont val="Meiryo UI"/>
            <family val="2"/>
          </rPr>
          <t>https://docs.aws.amazon.com/AmazonRDS/latest/AuroraUserGuide/AuroraMySQL.Reference.ParameterGroups.html
https://docs.aws.amazon.com/AmazonRDS/latest/AuroraUserGuide/aurora-global-database.html</t>
        </r>
      </text>
    </comment>
    <comment ref="I26" authorId="0">
      <text>
        <r>
          <rPr>
            <sz val="9"/>
            <color indexed="81"/>
            <rFont val="Meiryo UI"/>
            <family val="2"/>
          </rPr>
          <t>https://docs.aws.amazon.com/AmazonRDS/latest/AuroraUserGuide/AuroraMySQL.Reference.ParameterGroups.html
https://docs.aws.amazon.com/AmazonRDS/latest/AuroraUserGuide/aurora-global-database.html</t>
        </r>
      </text>
    </comment>
    <comment ref="I27" authorId="0">
      <text>
        <r>
          <rPr>
            <sz val="9"/>
            <color indexed="81"/>
            <rFont val="Meiryo UI"/>
            <family val="2"/>
          </rPr>
          <t>https://docs.aws.amazon.com/AmazonRDS/latest/AuroraUserGuide/AuroraMySQL.Reference.ParameterGroups.html
https://docs.aws.amazon.com/AmazonRDS/latest/AuroraUserGuide/aurora-global-database.html</t>
        </r>
      </text>
    </comment>
    <comment ref="I28" authorId="0">
      <text>
        <r>
          <rPr>
            <sz val="9"/>
            <color indexed="81"/>
            <rFont val="Meiryo UI"/>
            <family val="2"/>
          </rPr>
          <t>https://docs.aws.amazon.com/AmazonRDS/latest/AuroraUserGuide/AuroraMySQL.Reference.ParameterGroups.html
https://docs.aws.amazon.com/AmazonRDS/latest/AuroraUserGuide/aurora-global-database.html</t>
        </r>
      </text>
    </comment>
    <comment ref="I29" authorId="0">
      <text>
        <r>
          <rPr>
            <sz val="9"/>
            <color indexed="81"/>
            <rFont val="Meiryo UI"/>
            <family val="2"/>
          </rPr>
          <t>https://docs.aws.amazon.com/AmazonRDS/latest/AuroraUserGuide/AuroraMySQL.Reference.ParameterGroups.html
https://docs.aws.amazon.com/AmazonRDS/latest/AuroraUserGuide/aurora-global-database.html</t>
        </r>
      </text>
    </comment>
    <comment ref="I30" authorId="0">
      <text>
        <r>
          <rPr>
            <sz val="9"/>
            <color indexed="81"/>
            <rFont val="Meiryo UI"/>
            <family val="2"/>
          </rPr>
          <t>https://docs.aws.amazon.com/AmazonRDS/latest/AuroraUserGuide/AuroraMySQL.Reference.ParameterGroups.html
https://docs.aws.amazon.com/AmazonRDS/latest/AuroraUserGuide/aurora-global-database.html</t>
        </r>
      </text>
    </comment>
    <comment ref="I31" authorId="0">
      <text>
        <r>
          <rPr>
            <sz val="9"/>
            <color indexed="81"/>
            <rFont val="Meiryo UI"/>
            <family val="2"/>
          </rPr>
          <t>https://docs.aws.amazon.com/AmazonRDS/latest/AuroraUserGuide/AuroraMySQL.Reference.ParameterGroups.html
https://dev.mysql.com/doc/refman/8.4/en/server-system-variables.html</t>
        </r>
      </text>
    </comment>
    <comment ref="I32" authorId="0">
      <text>
        <r>
          <rPr>
            <sz val="9"/>
            <color indexed="81"/>
            <rFont val="Meiryo UI"/>
            <family val="2"/>
          </rPr>
          <t>https://docs.aws.amazon.com/AmazonRDS/latest/AuroraUserGuide/AuroraMySQL.Reference.ParameterGroups.html
https://dev.mysql.com/doc/refman/8.4/en/server-system-variables.html</t>
        </r>
      </text>
    </comment>
    <comment ref="I33" authorId="0">
      <text>
        <r>
          <rPr>
            <sz val="9"/>
            <color indexed="81"/>
            <rFont val="Meiryo UI"/>
            <family val="2"/>
          </rPr>
          <t>https://dev.mysql.com/doc/refman/8.4/en/server-system-variables.html</t>
        </r>
      </text>
    </comment>
    <comment ref="I34" authorId="0">
      <text>
        <r>
          <rPr>
            <sz val="9"/>
            <color indexed="81"/>
            <rFont val="Meiryo UI"/>
            <family val="2"/>
          </rPr>
          <t>https://docs.aws.amazon.com/AmazonRDS/latest/AuroraUserGuide/AuroraMySQL.Reference.ParameterGroups.html
https://dev.mysql.com/doc/refman/8.4/en/server-system-variables.html</t>
        </r>
      </text>
    </comment>
    <comment ref="I35" authorId="0">
      <text>
        <r>
          <rPr>
            <sz val="9"/>
            <color indexed="81"/>
            <rFont val="Meiryo UI"/>
            <family val="2"/>
          </rPr>
          <t>https://dev.mysql.com/doc/refman/8.4/en/server-system-variables.html</t>
        </r>
      </text>
    </comment>
    <comment ref="I36" authorId="0">
      <text>
        <r>
          <rPr>
            <sz val="9"/>
            <color indexed="81"/>
            <rFont val="Meiryo UI"/>
            <family val="2"/>
          </rPr>
          <t>https://docs.aws.amazon.com/AmazonRDS/latest/AuroraUserGuide/AuroraMySQL.Reference.ParameterGroups.html
https://dev.mysql.com/doc/refman/8.4/en/server-system-variables.html</t>
        </r>
      </text>
    </comment>
    <comment ref="I37" authorId="0">
      <text>
        <r>
          <rPr>
            <sz val="9"/>
            <color indexed="81"/>
            <rFont val="Meiryo UI"/>
            <family val="2"/>
          </rPr>
          <t>https://docs.aws.amazon.com/AmazonRDS/latest/AuroraUserGuide/AuroraMySQL.Reference.ParameterGroups.html
https://dev.mysql.com/doc/refman/8.4/en/server-system-variables.html</t>
        </r>
      </text>
    </comment>
    <comment ref="I38" authorId="0">
      <text>
        <r>
          <rPr>
            <sz val="9"/>
            <color indexed="81"/>
            <rFont val="Meiryo UI"/>
            <family val="2"/>
          </rPr>
          <t>https://docs.aws.amazon.com/AmazonRDS/latest/AuroraUserGuide/AuroraMySQL.Reference.ParameterGroups.html
https://dev.mysql.com/doc/refman/8.4/en/server-system-variables.html</t>
        </r>
      </text>
    </comment>
    <comment ref="I39" authorId="0">
      <text>
        <r>
          <rPr>
            <sz val="9"/>
            <color indexed="81"/>
            <rFont val="Meiryo UI"/>
            <family val="2"/>
          </rPr>
          <t>https://docs.aws.amazon.com/AmazonRDS/latest/AuroraUserGuide/AuroraMySQL.Reference.ParameterGroups.html
https://dev.mysql.com/doc/refman/8.4/en/server-system-variables.html</t>
        </r>
      </text>
    </comment>
    <comment ref="I40" authorId="0">
      <text>
        <r>
          <rPr>
            <sz val="9"/>
            <color indexed="81"/>
            <rFont val="Meiryo UI"/>
            <family val="2"/>
          </rPr>
          <t>https://docs.aws.amazon.com/AmazonRDS/latest/AuroraUserGuide/AuroraMySQL.Reference.ParameterGroups.html
https://dev.mysql.com/doc/refman/8.4/en/server-system-variables.html</t>
        </r>
      </text>
    </comment>
    <comment ref="I41" authorId="0">
      <text>
        <r>
          <rPr>
            <sz val="9"/>
            <color indexed="81"/>
            <rFont val="Meiryo UI"/>
            <family val="2"/>
          </rPr>
          <t>https://docs.aws.amazon.com/AmazonRDS/latest/AuroraUserGuide/AuroraMySQL.Reference.ParameterGroups.html
https://dev.mysql.com/doc/refman/8.4/en/server-system-variables.html</t>
        </r>
      </text>
    </comment>
    <comment ref="I42" authorId="0">
      <text>
        <r>
          <rPr>
            <sz val="9"/>
            <color indexed="81"/>
            <rFont val="Meiryo UI"/>
            <family val="2"/>
          </rPr>
          <t>https://docs.aws.amazon.com/AmazonRDS/latest/AuroraUserGuide/AuroraMySQL.Reference.ParameterGroups.html
https://dev.mysql.com/doc/refman/8.4/en/server-system-variables.html</t>
        </r>
      </text>
    </comment>
    <comment ref="I43" authorId="0">
      <text>
        <r>
          <rPr>
            <sz val="9"/>
            <color indexed="81"/>
            <rFont val="Meiryo UI"/>
            <family val="2"/>
          </rPr>
          <t>https://docs.aws.amazon.com/AmazonRDS/latest/AuroraUserGuide/AuroraMySQL.Reference.ParameterGroups.html
https://dev.mysql.com/doc/refman/8.4/en/server-system-variables.html</t>
        </r>
      </text>
    </comment>
    <comment ref="I44" authorId="0">
      <text>
        <r>
          <rPr>
            <sz val="9"/>
            <color indexed="81"/>
            <rFont val="Meiryo UI"/>
            <family val="2"/>
          </rPr>
          <t>https://docs.aws.amazon.com/AmazonRDS/latest/AuroraUserGuide/AuroraMySQL.Reference.ParameterGroups.html
https://dev.mysql.com/doc/refman/8.4/en/server-system-variables.html</t>
        </r>
      </text>
    </comment>
    <comment ref="I45" authorId="0">
      <text>
        <r>
          <rPr>
            <sz val="9"/>
            <color indexed="81"/>
            <rFont val="Meiryo UI"/>
            <family val="2"/>
          </rPr>
          <t>https://docs.aws.amazon.com/AmazonRDS/latest/AuroraUserGuide/AuroraMySQL.Reference.ParameterGroups.html
https://dev.mysql.com/doc/refman/8.4/en/server-system-variables.html</t>
        </r>
      </text>
    </comment>
    <comment ref="I46" authorId="0">
      <text>
        <r>
          <rPr>
            <sz val="9"/>
            <color indexed="81"/>
            <rFont val="Meiryo UI"/>
            <family val="2"/>
          </rPr>
          <t>https://dev.mysql.com/doc/refman/8.4/en/server-system-variables.html</t>
        </r>
      </text>
    </comment>
    <comment ref="I47" authorId="0">
      <text>
        <r>
          <rPr>
            <sz val="9"/>
            <color indexed="81"/>
            <rFont val="Meiryo UI"/>
            <family val="2"/>
          </rPr>
          <t>https://docs.aws.amazon.com/AmazonRDS/latest/AuroraUserGuide/AuroraMySQL.Reference.ParameterGroups.html
https://dev.mysql.com/doc/refman/8.4/en/server-system-variables.html</t>
        </r>
      </text>
    </comment>
    <comment ref="I48" authorId="0">
      <text>
        <r>
          <rPr>
            <sz val="9"/>
            <color indexed="81"/>
            <rFont val="Meiryo UI"/>
            <family val="2"/>
          </rPr>
          <t>https://docs.aws.amazon.com/AmazonRDS/latest/AuroraUserGuide/AuroraMySQL.Reference.ParameterGroups.html
https://dev.mysql.com/doc/refman/8.4/en/server-system-variables.html</t>
        </r>
      </text>
    </comment>
    <comment ref="I49" authorId="0">
      <text>
        <r>
          <rPr>
            <sz val="9"/>
            <color indexed="81"/>
            <rFont val="Meiryo UI"/>
            <family val="2"/>
          </rPr>
          <t>https://docs.aws.amazon.com/AmazonRDS/latest/AuroraUserGuide/AuroraMySQL.Reference.ParameterGroups.html
https://dev.mysql.com/doc/refman/8.4/en/server-system-variables.html</t>
        </r>
      </text>
    </comment>
    <comment ref="I50" authorId="0">
      <text>
        <r>
          <rPr>
            <sz val="9"/>
            <color indexed="81"/>
            <rFont val="Meiryo UI"/>
            <family val="2"/>
          </rPr>
          <t>https://docs.aws.amazon.com/AmazonRDS/latest/AuroraUserGuide/AuroraMySQL.Reference.ParameterGroups.html
https://dev.mysql.com/doc/refman/8.4/en/server-system-variables.html</t>
        </r>
      </text>
    </comment>
    <comment ref="I51" authorId="0">
      <text>
        <r>
          <rPr>
            <sz val="9"/>
            <color indexed="81"/>
            <rFont val="Meiryo UI"/>
            <family val="2"/>
          </rPr>
          <t>https://docs.aws.amazon.com/AmazonRDS/latest/AuroraUserGuide/AuroraMySQL.Reference.ParameterGroups.html
https://dev.mysql.com/doc/refman/8.4/en/server-system-variables.html</t>
        </r>
      </text>
    </comment>
    <comment ref="I52" authorId="0">
      <text>
        <r>
          <rPr>
            <sz val="9"/>
            <color indexed="81"/>
            <rFont val="Meiryo UI"/>
            <family val="2"/>
          </rPr>
          <t>https://docs.aws.amazon.com/AmazonRDS/latest/AuroraUserGuide/AuroraMySQL.Reference.ParameterGroups.html
https://dev.mysql.com/doc/refman/8.4/en/server-system-variables.html</t>
        </r>
      </text>
    </comment>
    <comment ref="I53" authorId="0">
      <text>
        <r>
          <rPr>
            <sz val="9"/>
            <color indexed="81"/>
            <rFont val="Meiryo UI"/>
            <family val="2"/>
          </rPr>
          <t>https://docs.aws.amazon.com/AmazonRDS/latest/AuroraUserGuide/AuroraMySQL.Reference.ParameterGroups.html
https://dev.mysql.com/doc/refman/8.4/en/server-system-variables.html</t>
        </r>
      </text>
    </comment>
    <comment ref="I54" authorId="0">
      <text>
        <r>
          <rPr>
            <sz val="9"/>
            <color indexed="81"/>
            <rFont val="Meiryo UI"/>
            <family val="2"/>
          </rPr>
          <t>https://docs.aws.amazon.com/AmazonRDS/latest/AuroraUserGuide/AuroraMySQL.Reference.ParameterGroups.html
https://dev.mysql.com/doc/refman/8.4/en/server-system-variables.html</t>
        </r>
      </text>
    </comment>
    <comment ref="I55" authorId="0">
      <text>
        <r>
          <rPr>
            <sz val="9"/>
            <color indexed="81"/>
            <rFont val="Meiryo UI"/>
            <family val="2"/>
          </rPr>
          <t>https://docs.aws.amazon.com/AmazonRDS/latest/AuroraUserGuide/AuroraMySQL.Reference.ParameterGroups.html
https://dev.mysql.com/doc/refman/8.4/en/server-system-variables.html</t>
        </r>
      </text>
    </comment>
    <comment ref="I56" authorId="0">
      <text>
        <r>
          <rPr>
            <sz val="9"/>
            <color indexed="81"/>
            <rFont val="Meiryo UI"/>
            <family val="2"/>
          </rPr>
          <t>https://docs.aws.amazon.com/AmazonRDS/latest/AuroraUserGuide/AuroraMySQL.Reference.ParameterGroups.html</t>
        </r>
      </text>
    </comment>
    <comment ref="I57" authorId="0">
      <text>
        <r>
          <rPr>
            <sz val="9"/>
            <color indexed="81"/>
            <rFont val="Meiryo UI"/>
            <family val="2"/>
          </rPr>
          <t>https://docs.aws.amazon.com/AmazonRDS/latest/AuroraUserGuide/AuroraMySQL.Reference.ParameterGroups.html</t>
        </r>
      </text>
    </comment>
    <comment ref="I58" authorId="0">
      <text>
        <r>
          <rPr>
            <sz val="9"/>
            <color indexed="81"/>
            <rFont val="Meiryo UI"/>
            <family val="2"/>
          </rPr>
          <t>https://docs.aws.amazon.com/AmazonRDS/latest/AuroraUserGuide/AuroraMySQL.Reference.ParameterGroups.html
https://dev.mysql.com/doc/refman/8.4/en/server-system-variables.html</t>
        </r>
      </text>
    </comment>
    <comment ref="I59" authorId="0">
      <text>
        <r>
          <rPr>
            <sz val="9"/>
            <color indexed="81"/>
            <rFont val="Meiryo UI"/>
            <family val="2"/>
          </rPr>
          <t>https://dev.mysql.com/doc/refman/8.4/en/server-system-variables.html</t>
        </r>
      </text>
    </comment>
    <comment ref="I60"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61" authorId="0">
      <text>
        <r>
          <rPr>
            <sz val="9"/>
            <color indexed="81"/>
            <rFont val="Meiryo UI"/>
            <family val="2"/>
          </rPr>
          <t>https://docs.aws.amazon.com/AmazonRDS/latest/AuroraUserGuide/AuroraMySQL.Reference.ParameterGroups.html
https://dev.mysql.com/doc/refman/8.4/en/server-system-variables.html</t>
        </r>
      </text>
    </comment>
    <comment ref="I62" authorId="0">
      <text>
        <r>
          <rPr>
            <sz val="9"/>
            <color indexed="81"/>
            <rFont val="Meiryo UI"/>
            <family val="2"/>
          </rPr>
          <t>https://docs.aws.amazon.com/AmazonRDS/latest/AuroraUserGuide/rds-proxy.html</t>
        </r>
      </text>
    </comment>
    <comment ref="I63" authorId="0">
      <text>
        <r>
          <rPr>
            <sz val="9"/>
            <color indexed="81"/>
            <rFont val="Meiryo UI"/>
            <family val="2"/>
          </rPr>
          <t>https://dev.mysql.com/doc/refman/8.4/en/innodb-parameters.html
https://docs.aws.amazon.com/AmazonRDS/latest/AuroraUserGuide/Aurora.Overview.StorageReliability.html</t>
        </r>
      </text>
    </comment>
    <comment ref="I64" authorId="0">
      <text>
        <r>
          <rPr>
            <sz val="9"/>
            <color indexed="81"/>
            <rFont val="Meiryo UI"/>
            <family val="2"/>
          </rPr>
          <t>https://dev.mysql.com/doc/refman/8.4/en/innodb-parameters.html
https://docs.aws.amazon.com/AmazonRDS/latest/AuroraUserGuide/Aurora.Overview.StorageReliability.html</t>
        </r>
      </text>
    </comment>
    <comment ref="I65" authorId="0">
      <text>
        <r>
          <rPr>
            <sz val="9"/>
            <color indexed="81"/>
            <rFont val="Meiryo UI"/>
            <family val="2"/>
          </rPr>
          <t>https://dev.mysql.com/doc/refman/8.4/en/innodb-parameters.html
https://docs.aws.amazon.com/AmazonRDS/latest/AuroraUserGuide/Aurora.Overview.StorageReliability.html</t>
        </r>
      </text>
    </comment>
    <comment ref="I66"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67"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68"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69"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70"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71"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72" authorId="0">
      <text>
        <r>
          <rPr>
            <sz val="9"/>
            <color indexed="81"/>
            <rFont val="Meiryo UI"/>
            <family val="2"/>
          </rPr>
          <t>https://docs.aws.amazon.com/AmazonRDS/latest/AuroraUserGuide/aurora-serverless-v2.setting-capacity.html</t>
        </r>
      </text>
    </comment>
    <comment ref="I73"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74" authorId="0">
      <text>
        <r>
          <rPr>
            <sz val="9"/>
            <color indexed="81"/>
            <rFont val="Meiryo UI"/>
            <family val="2"/>
          </rPr>
          <t>https://dev.mysql.com/doc/refman/8.4/en/innodb-parameters.html
https://docs.aws.amazon.com/AmazonRDS/latest/AuroraUserGuide/Aurora.Overview.StorageReliability.html</t>
        </r>
      </text>
    </comment>
    <comment ref="I75" authorId="0">
      <text>
        <r>
          <rPr>
            <sz val="9"/>
            <color indexed="81"/>
            <rFont val="Meiryo UI"/>
            <family val="2"/>
          </rPr>
          <t>https://dev.mysql.com/doc/refman/8.4/en/innodb-parameters.html</t>
        </r>
      </text>
    </comment>
    <comment ref="I76" authorId="0">
      <text>
        <r>
          <rPr>
            <sz val="9"/>
            <color indexed="81"/>
            <rFont val="Meiryo UI"/>
            <family val="2"/>
          </rPr>
          <t>https://dev.mysql.com/doc/refman/8.4/en/innodb-parameters.html
https://docs.aws.amazon.com/AmazonRDS/latest/AuroraUserGuide/Aurora.Overview.StorageReliability.html</t>
        </r>
      </text>
    </comment>
    <comment ref="I77" authorId="0">
      <text>
        <r>
          <rPr>
            <sz val="9"/>
            <color indexed="81"/>
            <rFont val="Meiryo UI"/>
            <family val="2"/>
          </rPr>
          <t>https://dev.mysql.com/doc/refman/8.4/en/server-system-variables.html
https://dev.mysql.com/doc/refman/8.4/en/innodb-parameters.html</t>
        </r>
      </text>
    </comment>
    <comment ref="I78" authorId="0">
      <text>
        <r>
          <rPr>
            <sz val="9"/>
            <color indexed="81"/>
            <rFont val="Meiryo UI"/>
            <family val="2"/>
          </rPr>
          <t>https://dev.mysql.com/doc/refman/8.4/en/innodb-parameters.html
https://docs.aws.amazon.com/AmazonRDS/latest/AuroraUserGuide/Aurora.Overview.StorageReliability.html</t>
        </r>
      </text>
    </comment>
    <comment ref="I79" authorId="0">
      <text>
        <r>
          <rPr>
            <sz val="9"/>
            <color indexed="81"/>
            <rFont val="Meiryo UI"/>
            <family val="2"/>
          </rPr>
          <t>https://dev.mysql.com/doc/refman/8.4/en/innodb-parameters.html
https://docs.aws.amazon.com/AmazonRDS/latest/AuroraUserGuide/Aurora.Overview.StorageReliability.html</t>
        </r>
      </text>
    </comment>
    <comment ref="I80" authorId="0">
      <text>
        <r>
          <rPr>
            <sz val="9"/>
            <color indexed="81"/>
            <rFont val="Meiryo UI"/>
            <family val="2"/>
          </rPr>
          <t>https://dev.mysql.com/doc/refman/8.4/en/innodb-parameters.html
https://docs.aws.amazon.com/AmazonRDS/latest/AuroraUserGuide/Aurora.Overview.StorageReliability.html</t>
        </r>
      </text>
    </comment>
    <comment ref="I81" authorId="0">
      <text>
        <r>
          <rPr>
            <sz val="9"/>
            <color indexed="81"/>
            <rFont val="Meiryo UI"/>
            <family val="2"/>
          </rPr>
          <t>https://dev.mysql.com/doc/refman/8.4/en/innodb-parameters.html</t>
        </r>
      </text>
    </comment>
    <comment ref="I82" authorId="0">
      <text>
        <r>
          <rPr>
            <sz val="9"/>
            <color indexed="81"/>
            <rFont val="Meiryo UI"/>
            <family val="2"/>
          </rPr>
          <t>https://dev.mysql.com/doc/refman/8.4/en/innodb-parameters.html</t>
        </r>
      </text>
    </comment>
    <comment ref="I83" authorId="0">
      <text>
        <r>
          <rPr>
            <sz val="9"/>
            <color indexed="81"/>
            <rFont val="Meiryo UI"/>
            <family val="2"/>
          </rPr>
          <t>https://dev.mysql.com/doc/refman/8.4/en/innodb-parameters.html</t>
        </r>
      </text>
    </comment>
    <comment ref="I84" authorId="0">
      <text>
        <r>
          <rPr>
            <sz val="9"/>
            <color indexed="81"/>
            <rFont val="Meiryo UI"/>
            <family val="2"/>
          </rPr>
          <t>https://dev.mysql.com/doc/refman/8.4/en/innodb-parameters.html</t>
        </r>
      </text>
    </comment>
    <comment ref="I85" authorId="0">
      <text>
        <r>
          <rPr>
            <sz val="9"/>
            <color indexed="81"/>
            <rFont val="Meiryo UI"/>
            <family val="2"/>
          </rPr>
          <t>https://dev.mysql.com/doc/refman/8.4/en/innodb-parameters.html</t>
        </r>
      </text>
    </comment>
    <comment ref="I86" authorId="0">
      <text>
        <r>
          <rPr>
            <sz val="9"/>
            <color indexed="81"/>
            <rFont val="Meiryo UI"/>
            <family val="2"/>
          </rPr>
          <t>https://dev.mysql.com/doc/refman/8.4/en/innodb-parameters.html
https://docs.aws.amazon.com/AmazonRDS/latest/AuroraUserGuide/Aurora.Overview.StorageReliability.html</t>
        </r>
      </text>
    </comment>
    <comment ref="I87" authorId="0">
      <text>
        <r>
          <rPr>
            <sz val="9"/>
            <color indexed="81"/>
            <rFont val="Meiryo UI"/>
            <family val="2"/>
          </rPr>
          <t>https://dev.mysql.com/doc/refman/8.4/en/innodb-parameters.html
https://docs.aws.amazon.com/AmazonRDS/latest/AuroraUserGuide/Aurora.Overview.StorageReliability.html</t>
        </r>
      </text>
    </comment>
    <comment ref="I88" authorId="0">
      <text>
        <r>
          <rPr>
            <sz val="9"/>
            <color indexed="81"/>
            <rFont val="Meiryo UI"/>
            <family val="2"/>
          </rPr>
          <t>https://dev.mysql.com/doc/refman/8.4/en/innodb-parameters.html</t>
        </r>
      </text>
    </comment>
    <comment ref="I89" authorId="0">
      <text>
        <r>
          <rPr>
            <sz val="9"/>
            <color indexed="81"/>
            <rFont val="Meiryo UI"/>
            <family val="2"/>
          </rPr>
          <t>https://dev.mysql.com/doc/refman/8.4/en/innodb-parameters.html
https://docs.aws.amazon.com/AmazonRDS/latest/AuroraUserGuide/Aurora.Overview.StorageReliability.html</t>
        </r>
      </text>
    </comment>
    <comment ref="I90" authorId="0">
      <text>
        <r>
          <rPr>
            <sz val="9"/>
            <color indexed="81"/>
            <rFont val="Meiryo UI"/>
            <family val="2"/>
          </rPr>
          <t>https://dev.mysql.com/doc/refman/8.4/en/innodb-parameters.html
https://docs.aws.amazon.com/AmazonRDS/latest/AuroraUserGuide/Aurora.Overview.StorageReliability.html</t>
        </r>
      </text>
    </comment>
    <comment ref="I91" authorId="0">
      <text>
        <r>
          <rPr>
            <sz val="9"/>
            <color indexed="81"/>
            <rFont val="Meiryo UI"/>
            <family val="2"/>
          </rPr>
          <t>https://dev.mysql.com/doc/refman/8.4/en/innodb-parameters.html
https://docs.aws.amazon.com/AmazonRDS/latest/AuroraUserGuide/Aurora.Overview.StorageReliability.html</t>
        </r>
      </text>
    </comment>
    <comment ref="I92" authorId="0">
      <text>
        <r>
          <rPr>
            <sz val="9"/>
            <color indexed="81"/>
            <rFont val="Meiryo UI"/>
            <family val="2"/>
          </rPr>
          <t>https://dev.mysql.com/doc/refman/8.4/en/innodb-parameters.html
https://docs.aws.amazon.com/AmazonRDS/latest/AuroraUserGuide/Aurora.Overview.StorageReliability.html</t>
        </r>
      </text>
    </comment>
    <comment ref="I93" authorId="0">
      <text>
        <r>
          <rPr>
            <sz val="9"/>
            <color indexed="81"/>
            <rFont val="Meiryo UI"/>
            <family val="2"/>
          </rPr>
          <t>https://dev.mysql.com/doc/refman/8.4/en/innodb-parameters.html
https://docs.aws.amazon.com/AmazonRDS/latest/AuroraUserGuide/Aurora.Overview.StorageReliability.html</t>
        </r>
      </text>
    </comment>
    <comment ref="I94" authorId="0">
      <text>
        <r>
          <rPr>
            <sz val="9"/>
            <color indexed="81"/>
            <rFont val="Meiryo UI"/>
            <family val="2"/>
          </rPr>
          <t>https://dev.mysql.com/doc/refman/8.4/en/innodb-parameters.html
https://docs.aws.amazon.com/AmazonRDS/latest/AuroraUserGuide/Aurora.Overview.StorageReliability.html</t>
        </r>
      </text>
    </comment>
    <comment ref="I95" authorId="0">
      <text>
        <r>
          <rPr>
            <sz val="9"/>
            <color indexed="81"/>
            <rFont val="Meiryo UI"/>
            <family val="2"/>
          </rPr>
          <t>https://dev.mysql.com/doc/refman/8.4/en/innodb-parameters.html
https://docs.aws.amazon.com/AmazonRDS/latest/AuroraUserGuide/Aurora.Overview.StorageReliability.html</t>
        </r>
      </text>
    </comment>
    <comment ref="I96" authorId="0">
      <text>
        <r>
          <rPr>
            <sz val="9"/>
            <color indexed="81"/>
            <rFont val="Meiryo UI"/>
            <family val="2"/>
          </rPr>
          <t>https://dev.mysql.com/doc/refman/8.4/en/innodb-parameters.html
https://docs.aws.amazon.com/AmazonRDS/latest/AuroraUserGuide/Aurora.Overview.StorageReliability.html</t>
        </r>
      </text>
    </comment>
    <comment ref="I97" authorId="0">
      <text>
        <r>
          <rPr>
            <sz val="9"/>
            <color indexed="81"/>
            <rFont val="Meiryo UI"/>
            <family val="2"/>
          </rPr>
          <t>https://dev.mysql.com/doc/refman/8.4/en/innodb-parameters.html
https://docs.aws.amazon.com/AmazonRDS/latest/AuroraUserGuide/Aurora.Overview.StorageReliability.html</t>
        </r>
      </text>
    </comment>
    <comment ref="I98" authorId="0">
      <text>
        <r>
          <rPr>
            <sz val="9"/>
            <color indexed="81"/>
            <rFont val="Meiryo UI"/>
            <family val="2"/>
          </rPr>
          <t>https://dev.mysql.com/doc/refman/8.4/en/innodb-parameters.html
https://docs.aws.amazon.com/AmazonRDS/latest/AuroraUserGuide/Aurora.Overview.StorageReliability.html</t>
        </r>
      </text>
    </comment>
    <comment ref="I99" authorId="0">
      <text>
        <r>
          <rPr>
            <sz val="9"/>
            <color indexed="81"/>
            <rFont val="Meiryo UI"/>
            <family val="2"/>
          </rPr>
          <t>https://dev.mysql.com/doc/refman/8.4/en/innodb-parameters.html
https://docs.aws.amazon.com/AmazonRDS/latest/AuroraUserGuide/Aurora.Overview.StorageReliability.html</t>
        </r>
      </text>
    </comment>
    <comment ref="I100" authorId="0">
      <text>
        <r>
          <rPr>
            <sz val="9"/>
            <color indexed="81"/>
            <rFont val="Meiryo UI"/>
            <family val="2"/>
          </rPr>
          <t>https://dev.mysql.com/doc/refman/8.4/en/innodb-parameters.html
https://docs.aws.amazon.com/AmazonRDS/latest/AuroraUserGuide/Aurora.Overview.StorageReliability.html</t>
        </r>
      </text>
    </comment>
    <comment ref="I101" authorId="0">
      <text>
        <r>
          <rPr>
            <sz val="9"/>
            <color indexed="81"/>
            <rFont val="Meiryo UI"/>
            <family val="2"/>
          </rPr>
          <t>https://dev.mysql.com/doc/refman/8.4/en/innodb-parameters.html
https://docs.aws.amazon.com/AmazonRDS/latest/AuroraUserGuide/Aurora.Overview.StorageReliability.html</t>
        </r>
      </text>
    </comment>
    <comment ref="I102" authorId="0">
      <text>
        <r>
          <rPr>
            <sz val="9"/>
            <color indexed="81"/>
            <rFont val="Meiryo UI"/>
            <family val="2"/>
          </rPr>
          <t>https://docs.aws.amazon.com/AmazonRDS/latest/AuroraUserGuide/AuroraMySQL.Reference.ParameterGroups.html</t>
        </r>
      </text>
    </comment>
    <comment ref="I103" authorId="0">
      <text>
        <r>
          <rPr>
            <sz val="9"/>
            <color indexed="81"/>
            <rFont val="Meiryo UI"/>
            <family val="2"/>
          </rPr>
          <t>https://dev.mysql.com/doc/refman/8.4/en/innodb-parameters.html
https://docs.aws.amazon.com/AmazonRDS/latest/AuroraUserGuide/Aurora.Overview.StorageReliability.html</t>
        </r>
      </text>
    </comment>
    <comment ref="I104" authorId="0">
      <text>
        <r>
          <rPr>
            <sz val="9"/>
            <color indexed="81"/>
            <rFont val="Meiryo UI"/>
            <family val="2"/>
          </rPr>
          <t>https://dev.mysql.com/doc/refman/8.4/en/innodb-parameters.html
https://docs.aws.amazon.com/AmazonRDS/latest/AuroraUserGuide/Aurora.Overview.StorageReliability.html</t>
        </r>
      </text>
    </comment>
    <comment ref="I105" authorId="0">
      <text>
        <r>
          <rPr>
            <sz val="9"/>
            <color indexed="81"/>
            <rFont val="Meiryo UI"/>
            <family val="2"/>
          </rPr>
          <t>https://dev.mysql.com/doc/refman/8.4/en/innodb-parameters.html
https://docs.aws.amazon.com/AmazonRDS/latest/AuroraUserGuide/Aurora.Overview.StorageReliability.html</t>
        </r>
      </text>
    </comment>
    <comment ref="I106"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07" authorId="0">
      <text>
        <r>
          <rPr>
            <sz val="9"/>
            <color indexed="81"/>
            <rFont val="Meiryo UI"/>
            <family val="2"/>
          </rPr>
          <t>https://dev.mysql.com/doc/refman/8.4/en/innodb-parameters.html
https://docs.aws.amazon.com/AmazonRDS/latest/AuroraUserGuide/Aurora.Overview.StorageReliability.html</t>
        </r>
      </text>
    </comment>
    <comment ref="I108" authorId="0">
      <text>
        <r>
          <rPr>
            <sz val="9"/>
            <color indexed="81"/>
            <rFont val="Meiryo UI"/>
            <family val="2"/>
          </rPr>
          <t>https://docs.aws.amazon.com/AmazonRDS/latest/AuroraUserGuide/AuroraMySQL.MySQL84.html
https://dev.mysql.com/doc/refman/8.4/en/innodb-parameters.html</t>
        </r>
      </text>
    </comment>
    <comment ref="I109" authorId="0">
      <text>
        <r>
          <rPr>
            <sz val="9"/>
            <color indexed="81"/>
            <rFont val="Meiryo UI"/>
            <family val="2"/>
          </rPr>
          <t>https://dev.mysql.com/doc/refman/8.4/en/innodb-parameters.html
https://docs.aws.amazon.com/AmazonRDS/latest/AuroraUserGuide/Aurora.Overview.StorageReliability.html</t>
        </r>
      </text>
    </comment>
    <comment ref="I110" authorId="0">
      <text>
        <r>
          <rPr>
            <sz val="9"/>
            <color indexed="81"/>
            <rFont val="Meiryo UI"/>
            <family val="2"/>
          </rPr>
          <t>https://dev.mysql.com/doc/refman/8.4/en/innodb-parameters.html</t>
        </r>
      </text>
    </comment>
    <comment ref="I111" authorId="0">
      <text>
        <r>
          <rPr>
            <sz val="9"/>
            <color indexed="81"/>
            <rFont val="Meiryo UI"/>
            <family val="2"/>
          </rPr>
          <t>https://dev.mysql.com/doc/refman/8.4/en/innodb-parameters.html</t>
        </r>
      </text>
    </comment>
    <comment ref="I112" authorId="0">
      <text>
        <r>
          <rPr>
            <sz val="9"/>
            <color indexed="81"/>
            <rFont val="Meiryo UI"/>
            <family val="2"/>
          </rPr>
          <t>https://dev.mysql.com/doc/refman/8.4/en/innodb-parameters.html
https://docs.aws.amazon.com/AmazonRDS/latest/AuroraUserGuide/Aurora.Overview.StorageReliability.html</t>
        </r>
      </text>
    </comment>
    <comment ref="I113" authorId="0">
      <text>
        <r>
          <rPr>
            <sz val="9"/>
            <color indexed="81"/>
            <rFont val="Meiryo UI"/>
            <family val="2"/>
          </rPr>
          <t>https://dev.mysql.com/doc/refman/8.4/en/innodb-parameters.html
https://docs.aws.amazon.com/AmazonRDS/latest/AuroraUserGuide/Aurora.Overview.StorageReliability.html</t>
        </r>
      </text>
    </comment>
    <comment ref="I114" authorId="0">
      <text>
        <r>
          <rPr>
            <sz val="9"/>
            <color indexed="81"/>
            <rFont val="Meiryo UI"/>
            <family val="2"/>
          </rPr>
          <t>https://dev.mysql.com/doc/refman/8.4/en/innodb-parameters.html
https://docs.aws.amazon.com/AmazonRDS/latest/AuroraUserGuide/Aurora.Overview.StorageReliability.html</t>
        </r>
      </text>
    </comment>
    <comment ref="I115" authorId="0">
      <text>
        <r>
          <rPr>
            <sz val="9"/>
            <color indexed="81"/>
            <rFont val="Meiryo UI"/>
            <family val="2"/>
          </rPr>
          <t>https://dev.mysql.com/doc/refman/8.4/en/innodb-parameters.html
https://docs.aws.amazon.com/AmazonRDS/latest/AuroraUserGuide/Aurora.Overview.StorageReliability.html</t>
        </r>
      </text>
    </comment>
    <comment ref="I116" authorId="0">
      <text>
        <r>
          <rPr>
            <sz val="9"/>
            <color indexed="81"/>
            <rFont val="Meiryo UI"/>
            <family val="2"/>
          </rPr>
          <t>https://dev.mysql.com/doc/refman/8.4/en/innodb-parameters.html
https://docs.aws.amazon.com/AmazonRDS/latest/AuroraUserGuide/Aurora.Overview.StorageReliability.html</t>
        </r>
      </text>
    </comment>
    <comment ref="I117" authorId="0">
      <text>
        <r>
          <rPr>
            <sz val="9"/>
            <color indexed="81"/>
            <rFont val="Meiryo UI"/>
            <family val="2"/>
          </rPr>
          <t>https://dev.mysql.com/doc/refman/8.4/en/innodb-parameters.html
https://docs.aws.amazon.com/AmazonRDS/latest/AuroraUserGuide/Aurora.Overview.StorageReliability.html</t>
        </r>
      </text>
    </comment>
    <comment ref="I118" authorId="0">
      <text>
        <r>
          <rPr>
            <sz val="9"/>
            <color indexed="81"/>
            <rFont val="Meiryo UI"/>
            <family val="2"/>
          </rPr>
          <t>https://dev.mysql.com/doc/refman/8.4/en/innodb-parameters.html
https://docs.aws.amazon.com/AmazonRDS/latest/AuroraUserGuide/Aurora.Overview.StorageReliability.html</t>
        </r>
      </text>
    </comment>
    <comment ref="I119" authorId="0">
      <text>
        <r>
          <rPr>
            <sz val="9"/>
            <color indexed="81"/>
            <rFont val="Meiryo UI"/>
            <family val="2"/>
          </rPr>
          <t>https://dev.mysql.com/doc/refman/8.4/en/innodb-parameters.html
https://docs.aws.amazon.com/AmazonRDS/latest/AuroraUserGuide/Aurora.Overview.StorageReliability.html</t>
        </r>
      </text>
    </comment>
    <comment ref="I120" authorId="0">
      <text>
        <r>
          <rPr>
            <sz val="9"/>
            <color indexed="81"/>
            <rFont val="Meiryo UI"/>
            <family val="2"/>
          </rPr>
          <t>https://dev.mysql.com/doc/connector-j/en/connector-j-reference-configuration-properties.html
https://dev.mysql.com/doc/refman/8.4/en/server-system-variables.html</t>
        </r>
      </text>
    </comment>
    <comment ref="I121" authorId="0">
      <text>
        <r>
          <rPr>
            <sz val="9"/>
            <color indexed="81"/>
            <rFont val="Meiryo UI"/>
            <family val="2"/>
          </rPr>
          <t>https://docs.aws.amazon.com/AmazonRDS/latest/AuroraUserGuide/AuroraMySQL.Reference.ParameterGroups.html
https://dev.mysql.com/doc/refman/8.4/en/server-system-variables.html</t>
        </r>
      </text>
    </comment>
    <comment ref="I122"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23" authorId="0">
      <text>
        <r>
          <rPr>
            <sz val="9"/>
            <color indexed="81"/>
            <rFont val="Meiryo UI"/>
            <family val="2"/>
          </rPr>
          <t>https://docs.aws.amazon.com/AmazonRDS/latest/AuroraUserGuide/AuroraMySQL.Reference.ParameterGroups.html
https://dev.mysql.com/doc/refman/8.4/en/server-system-variables.html</t>
        </r>
      </text>
    </comment>
    <comment ref="I124"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25" authorId="0">
      <text>
        <r>
          <rPr>
            <sz val="9"/>
            <color indexed="81"/>
            <rFont val="Meiryo UI"/>
            <family val="2"/>
          </rPr>
          <t>https://docs.aws.amazon.com/AmazonRDS/latest/AuroraUserGuide/AuroraMySQL.Reference.ParameterGroups.html
https://dev.mysql.com/doc/refman/8.4/en/server-system-variables.html</t>
        </r>
      </text>
    </comment>
    <comment ref="I126" authorId="0">
      <text>
        <r>
          <rPr>
            <sz val="9"/>
            <color indexed="81"/>
            <rFont val="Meiryo UI"/>
            <family val="2"/>
          </rPr>
          <t>https://docs.aws.amazon.com/AmazonRDS/latest/AuroraUserGuide/AuroraMySQL.Reference.ParameterGroups.html
https://dev.mysql.com/doc/refman/8.4/en/server-system-variables.html</t>
        </r>
      </text>
    </comment>
    <comment ref="I127" authorId="0">
      <text>
        <r>
          <rPr>
            <sz val="9"/>
            <color indexed="81"/>
            <rFont val="Meiryo UI"/>
            <family val="2"/>
          </rPr>
          <t>https://docs.aws.amazon.com/AmazonRDS/latest/AuroraUserGuide/AuroraMySQL.Reference.ParameterGroups.html
https://dev.mysql.com/doc/refman/8.4/en/server-system-variables.html</t>
        </r>
      </text>
    </comment>
    <comment ref="I128" authorId="0">
      <text>
        <r>
          <rPr>
            <sz val="9"/>
            <color indexed="81"/>
            <rFont val="Meiryo UI"/>
            <family val="2"/>
          </rPr>
          <t>https://dev.mysql.com/doc/refman/8.4/en/server-system-variables.html</t>
        </r>
      </text>
    </comment>
    <comment ref="I129" authorId="0">
      <text>
        <r>
          <rPr>
            <sz val="9"/>
            <color indexed="81"/>
            <rFont val="Meiryo UI"/>
            <family val="2"/>
          </rPr>
          <t>https://dev.mysql.com/doc/refman/8.4/en/server-system-variables.html</t>
        </r>
      </text>
    </comment>
    <comment ref="I130" authorId="0">
      <text>
        <r>
          <rPr>
            <sz val="9"/>
            <color indexed="81"/>
            <rFont val="Meiryo UI"/>
            <family val="2"/>
          </rPr>
          <t>https://docs.aws.amazon.com/AmazonRDS/latest/AuroraUserGuide/AuroraMySQL.Reference.ParameterGroups.html</t>
        </r>
      </text>
    </comment>
    <comment ref="I131" authorId="0">
      <text>
        <r>
          <rPr>
            <sz val="9"/>
            <color indexed="81"/>
            <rFont val="Meiryo UI"/>
            <family val="2"/>
          </rPr>
          <t>https://docs.aws.amazon.com/AmazonRDS/latest/AuroraUserGuide/AuroraMySQL.Reference.ParameterGroups.html</t>
        </r>
      </text>
    </comment>
    <comment ref="I132" authorId="0">
      <text>
        <r>
          <rPr>
            <sz val="9"/>
            <color indexed="81"/>
            <rFont val="Meiryo UI"/>
            <family val="2"/>
          </rPr>
          <t>https://docs.aws.amazon.com/AmazonRDS/latest/AuroraUserGuide/AuroraMySQL.Reference.ParameterGroups.html</t>
        </r>
      </text>
    </comment>
    <comment ref="I133" authorId="0">
      <text>
        <r>
          <rPr>
            <sz val="9"/>
            <color indexed="81"/>
            <rFont val="Meiryo UI"/>
            <family val="2"/>
          </rPr>
          <t>https://docs.aws.amazon.com/AmazonRDS/latest/AuroraUserGuide/AuroraMySQL.Reference.ParameterGroups.html</t>
        </r>
      </text>
    </comment>
    <comment ref="I134" authorId="0">
      <text>
        <r>
          <rPr>
            <sz val="9"/>
            <color indexed="81"/>
            <rFont val="Meiryo UI"/>
            <family val="2"/>
          </rPr>
          <t>https://docs.aws.amazon.com/AmazonRDS/latest/AuroraUserGuide/AuroraMySQL.Reference.ParameterGroups.html</t>
        </r>
      </text>
    </comment>
    <comment ref="I135" authorId="0">
      <text>
        <r>
          <rPr>
            <sz val="9"/>
            <color indexed="81"/>
            <rFont val="Meiryo UI"/>
            <family val="2"/>
          </rPr>
          <t>https://docs.aws.amazon.com/AmazonRDS/latest/AuroraUserGuide/AuroraMySQL.Reference.ParameterGroups.html</t>
        </r>
      </text>
    </comment>
    <comment ref="I136" authorId="0">
      <text>
        <r>
          <rPr>
            <sz val="9"/>
            <color indexed="81"/>
            <rFont val="Meiryo UI"/>
            <family val="2"/>
          </rPr>
          <t>https://dev.mysql.com/doc/refman/8.4/en/server-system-variables.html</t>
        </r>
      </text>
    </comment>
    <comment ref="I137" authorId="0">
      <text>
        <r>
          <rPr>
            <sz val="9"/>
            <color indexed="81"/>
            <rFont val="Meiryo UI"/>
            <family val="2"/>
          </rPr>
          <t>https://docs.aws.amazon.com/AmazonRDS/latest/AuroraUserGuide/AuroraMySQL.Reference.ParameterGroups.html</t>
        </r>
      </text>
    </comment>
    <comment ref="I138" authorId="0">
      <text>
        <r>
          <rPr>
            <sz val="9"/>
            <color indexed="81"/>
            <rFont val="Meiryo UI"/>
            <family val="2"/>
          </rPr>
          <t>https://dev.mysql.com/doc/refman/8.4/en/server-system-variables.html</t>
        </r>
      </text>
    </comment>
    <comment ref="I139" authorId="0">
      <text>
        <r>
          <rPr>
            <sz val="9"/>
            <color indexed="81"/>
            <rFont val="Meiryo UI"/>
            <family val="2"/>
          </rPr>
          <t>https://docs.aws.amazon.com/AmazonRDS/latest/AuroraUserGuide/AuroraMySQL.Reference.ParameterGroups.html</t>
        </r>
      </text>
    </comment>
    <comment ref="I140" authorId="0">
      <text>
        <r>
          <rPr>
            <sz val="9"/>
            <color indexed="81"/>
            <rFont val="Meiryo UI"/>
            <family val="2"/>
          </rPr>
          <t>https://docs.aws.amazon.com/AmazonRDS/latest/AuroraUserGuide/AuroraMySQL.Reference.ParameterGroups.html</t>
        </r>
      </text>
    </comment>
    <comment ref="I141" authorId="0">
      <text>
        <r>
          <rPr>
            <sz val="9"/>
            <color indexed="81"/>
            <rFont val="Meiryo UI"/>
            <family val="2"/>
          </rPr>
          <t>https://docs.aws.amazon.com/AmazonRDS/latest/AuroraUserGuide/AuroraMySQL.Reference.ParameterGroups.html</t>
        </r>
      </text>
    </comment>
    <comment ref="I142" authorId="0">
      <text>
        <r>
          <rPr>
            <sz val="9"/>
            <color indexed="81"/>
            <rFont val="Meiryo UI"/>
            <family val="2"/>
          </rPr>
          <t>https://dev.mysql.com/doc/refman/8.4/en/server-system-variables.html</t>
        </r>
      </text>
    </comment>
    <comment ref="I143" authorId="0">
      <text>
        <r>
          <rPr>
            <sz val="9"/>
            <color indexed="81"/>
            <rFont val="Meiryo UI"/>
            <family val="2"/>
          </rPr>
          <t>https://docs.aws.amazon.com/AmazonRDS/latest/AuroraUserGuide/AuroraMySQL.Reference.ParameterGroups.html
https://dev.mysql.com/doc/refman/8.4/en/server-system-variables.html</t>
        </r>
      </text>
    </comment>
    <comment ref="I144" authorId="0">
      <text>
        <r>
          <rPr>
            <sz val="9"/>
            <color indexed="81"/>
            <rFont val="Meiryo UI"/>
            <family val="2"/>
          </rPr>
          <t>https://docs.aws.amazon.com/AmazonRDS/latest/AuroraUserGuide/rds-proxy-pinning.html
https://dev.mysql.com/doc/refman/8.4/en/server-system-variables.html</t>
        </r>
      </text>
    </comment>
    <comment ref="I145"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46" authorId="0">
      <text>
        <r>
          <rPr>
            <sz val="9"/>
            <color indexed="81"/>
            <rFont val="Meiryo UI"/>
            <family val="2"/>
          </rPr>
          <t>https://docs.aws.amazon.com/AmazonRDS/latest/AuroraUserGuide/AuroraMySQL.Reference.ParameterGroups.html
https://dev.mysql.com/doc/refman/8.4/en/server-system-variables.html</t>
        </r>
      </text>
    </comment>
    <comment ref="I147"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48" authorId="0">
      <text>
        <r>
          <rPr>
            <sz val="9"/>
            <color indexed="81"/>
            <rFont val="Meiryo UI"/>
            <family val="2"/>
          </rPr>
          <t>https://docs.aws.amazon.com/AmazonRDS/latest/AuroraUserGuide/AuroraMySQL.Reference.ParameterGroups.html
https://dev.mysql.com/doc/refman/8.4/en/server-system-variables.html</t>
        </r>
      </text>
    </comment>
    <comment ref="I149" authorId="0">
      <text>
        <r>
          <rPr>
            <sz val="9"/>
            <color indexed="81"/>
            <rFont val="Meiryo UI"/>
            <family val="2"/>
          </rPr>
          <t>https://docs.aws.amazon.com/AmazonRDS/latest/AuroraUserGuide/aurora-serverless-v2.setting-capacity.html
https://docs.aws.amazon.com/AmazonRDS/latest/AuroraUserGuide/rds-proxy.html</t>
        </r>
      </text>
    </comment>
    <comment ref="I150" authorId="0">
      <text>
        <r>
          <rPr>
            <sz val="9"/>
            <color indexed="81"/>
            <rFont val="Meiryo UI"/>
            <family val="2"/>
          </rPr>
          <t>https://docs.aws.amazon.com/AmazonRDS/latest/AuroraUserGuide/AuroraMySQL.Reference.ParameterGroups.html
https://dev.mysql.com/doc/refman/8.4/en/server-system-variables.html</t>
        </r>
      </text>
    </comment>
    <comment ref="I151" authorId="0">
      <text>
        <r>
          <rPr>
            <sz val="9"/>
            <color indexed="81"/>
            <rFont val="Meiryo UI"/>
            <family val="2"/>
          </rPr>
          <t>https://docs.aws.amazon.com/AmazonRDS/latest/AuroraUserGuide/AuroraMySQL.Reference.ParameterGroups.html
https://dev.mysql.com/doc/refman/8.4/en/server-system-variables.html</t>
        </r>
      </text>
    </comment>
    <comment ref="I152" authorId="0">
      <text>
        <r>
          <rPr>
            <sz val="9"/>
            <color indexed="81"/>
            <rFont val="Meiryo UI"/>
            <family val="2"/>
          </rPr>
          <t>https://docs.aws.amazon.com/AmazonRDS/latest/AuroraUserGuide/AuroraMySQL.Reference.ParameterGroups.html
https://dev.mysql.com/doc/refman/8.4/en/server-system-variables.html</t>
        </r>
      </text>
    </comment>
    <comment ref="I153" authorId="0">
      <text>
        <r>
          <rPr>
            <sz val="9"/>
            <color indexed="81"/>
            <rFont val="Meiryo UI"/>
            <family val="2"/>
          </rPr>
          <t>https://dev.mysql.com/doc/refman/8.4/en/server-system-variables.html</t>
        </r>
      </text>
    </comment>
    <comment ref="I154"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55" authorId="0">
      <text>
        <r>
          <rPr>
            <sz val="9"/>
            <color indexed="81"/>
            <rFont val="Meiryo UI"/>
            <family val="2"/>
          </rPr>
          <t>https://docs.aws.amazon.com/AmazonRDS/latest/AuroraUserGuide/AuroraMySQL.Reference.ParameterGroups.html
https://dev.mysql.com/doc/refman/8.4/en/server-system-variables.html</t>
        </r>
      </text>
    </comment>
    <comment ref="I156" authorId="0">
      <text>
        <r>
          <rPr>
            <sz val="9"/>
            <color indexed="81"/>
            <rFont val="Meiryo UI"/>
            <family val="2"/>
          </rPr>
          <t>https://dev.mysql.com/doc/refman/8.4/en/server-system-variables.html</t>
        </r>
      </text>
    </comment>
    <comment ref="I157" authorId="0">
      <text>
        <r>
          <rPr>
            <sz val="9"/>
            <color indexed="81"/>
            <rFont val="Meiryo UI"/>
            <family val="2"/>
          </rPr>
          <t>https://docs.aws.amazon.com/AmazonRDS/latest/AuroraUserGuide/AuroraMySQL.Reference.ParameterGroups.html
https://dev.mysql.com/doc/refman/8.4/en/server-system-variables.html</t>
        </r>
      </text>
    </comment>
    <comment ref="I158" authorId="0">
      <text>
        <r>
          <rPr>
            <sz val="9"/>
            <color indexed="81"/>
            <rFont val="Meiryo UI"/>
            <family val="2"/>
          </rPr>
          <t>https://docs.aws.amazon.com/AmazonRDS/latest/AuroraUserGuide/AuroraMySQL.Reference.ParameterGroups.html
https://dev.mysql.com/doc/refman/8.4/en/server-system-variables.html</t>
        </r>
      </text>
    </comment>
    <comment ref="I159" authorId="0">
      <text>
        <r>
          <rPr>
            <sz val="9"/>
            <color indexed="81"/>
            <rFont val="Meiryo UI"/>
            <family val="2"/>
          </rPr>
          <t>https://docs.aws.amazon.com/AmazonRDS/latest/AuroraUserGuide/AuroraMySQL.Reference.ParameterGroups.html
https://dev.mysql.com/doc/refman/8.4/en/server-system-variables.html</t>
        </r>
      </text>
    </comment>
    <comment ref="I160" authorId="0">
      <text>
        <r>
          <rPr>
            <sz val="9"/>
            <color indexed="81"/>
            <rFont val="Meiryo UI"/>
            <family val="2"/>
          </rPr>
          <t>https://docs.aws.amazon.com/AmazonRDS/latest/AuroraUserGuide/AuroraMySQL.Reference.ParameterGroups.html
https://dev.mysql.com/doc/refman/8.4/en/server-system-variables.html</t>
        </r>
      </text>
    </comment>
    <comment ref="I161" authorId="0">
      <text>
        <r>
          <rPr>
            <sz val="9"/>
            <color indexed="81"/>
            <rFont val="Meiryo UI"/>
            <family val="2"/>
          </rPr>
          <t>https://docs.aws.amazon.com/AmazonRDS/latest/AuroraUserGuide/AuroraMySQL.Reference.ParameterGroups.html
https://dev.mysql.com/doc/refman/8.4/en/server-system-variables.html</t>
        </r>
      </text>
    </comment>
    <comment ref="I162" authorId="0">
      <text>
        <r>
          <rPr>
            <sz val="9"/>
            <color indexed="81"/>
            <rFont val="Meiryo UI"/>
            <family val="2"/>
          </rPr>
          <t>https://dev.mysql.com/doc/refman/8.4/en/server-system-variables.html
https://docs.aws.amazon.com/AmazonRDS/latest/AuroraUserGuide/rds-proxy-connections.html</t>
        </r>
      </text>
    </comment>
    <comment ref="I163" authorId="0">
      <text>
        <r>
          <rPr>
            <sz val="9"/>
            <color indexed="81"/>
            <rFont val="Meiryo UI"/>
            <family val="2"/>
          </rPr>
          <t>https://docs.aws.amazon.com/AmazonRDS/latest/AuroraUserGuide/AuroraMySQL.Reference.ParameterGroups.html
https://dev.mysql.com/doc/refman/8.4/en/server-system-variables.html</t>
        </r>
      </text>
    </comment>
    <comment ref="I164" authorId="0">
      <text>
        <r>
          <rPr>
            <sz val="9"/>
            <color indexed="81"/>
            <rFont val="Meiryo UI"/>
            <family val="2"/>
          </rPr>
          <t>https://docs.aws.amazon.com/AmazonRDS/latest/AuroraUserGuide/AuroraMySQL.Reference.ParameterGroups.html
https://dev.mysql.com/doc/refman/8.4/en/server-system-variables.html</t>
        </r>
      </text>
    </comment>
    <comment ref="I165" authorId="0">
      <text>
        <r>
          <rPr>
            <sz val="9"/>
            <color indexed="81"/>
            <rFont val="Meiryo UI"/>
            <family val="2"/>
          </rPr>
          <t>https://docs.aws.amazon.com/AmazonRDS/latest/AuroraUserGuide/AuroraMySQL.Reference.ParameterGroups.html
https://dev.mysql.com/doc/refman/8.4/en/server-system-variables.html</t>
        </r>
      </text>
    </comment>
    <comment ref="I166" authorId="0">
      <text>
        <r>
          <rPr>
            <sz val="9"/>
            <color indexed="81"/>
            <rFont val="Meiryo UI"/>
            <family val="2"/>
          </rPr>
          <t>https://docs.aws.amazon.com/AmazonRDS/latest/AuroraUserGuide/AuroraMySQL.Reference.ParameterGroups.html
https://dev.mysql.com/doc/refman/8.4/en/server-system-variables.html</t>
        </r>
      </text>
    </comment>
    <comment ref="I167" authorId="0">
      <text>
        <r>
          <rPr>
            <sz val="9"/>
            <color indexed="81"/>
            <rFont val="Meiryo UI"/>
            <family val="2"/>
          </rPr>
          <t>https://docs.aws.amazon.com/AmazonRDS/latest/AuroraUserGuide/AuroraMySQL.Reference.ParameterGroups.html
https://dev.mysql.com/doc/refman/8.4/en/server-system-variables.html</t>
        </r>
      </text>
    </comment>
    <comment ref="I168" authorId="0">
      <text>
        <r>
          <rPr>
            <sz val="9"/>
            <color indexed="81"/>
            <rFont val="Meiryo UI"/>
            <family val="2"/>
          </rPr>
          <t>https://docs.aws.amazon.com/AmazonRDS/latest/AuroraUserGuide/AuroraMySQL.Reference.ParameterGroups.html
https://dev.mysql.com/doc/refman/8.4/en/server-system-variables.html</t>
        </r>
      </text>
    </comment>
    <comment ref="I169" authorId="0">
      <text>
        <r>
          <rPr>
            <sz val="9"/>
            <color indexed="81"/>
            <rFont val="Meiryo UI"/>
            <family val="2"/>
          </rPr>
          <t>https://docs.aws.amazon.com/AmazonRDS/latest/AuroraUserGuide/AuroraMySQL.Reference.ParameterGroups.html
https://dev.mysql.com/doc/refman/8.4/en/server-system-variables.html</t>
        </r>
      </text>
    </comment>
    <comment ref="I170" authorId="0">
      <text>
        <r>
          <rPr>
            <sz val="9"/>
            <color indexed="81"/>
            <rFont val="Meiryo UI"/>
            <family val="2"/>
          </rPr>
          <t>https://docs.aws.amazon.com/AmazonRDS/latest/AuroraUserGuide/AuroraMySQL.Reference.ParameterGroups.html
https://dev.mysql.com/doc/refman/8.4/en/server-system-variables.html</t>
        </r>
      </text>
    </comment>
    <comment ref="I171"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172" authorId="0">
      <text>
        <r>
          <rPr>
            <sz val="9"/>
            <color indexed="81"/>
            <rFont val="Meiryo UI"/>
            <family val="2"/>
          </rPr>
          <t>https://dev.mysql.com/doc/refman/8.4/en/server-system-variables.html</t>
        </r>
      </text>
    </comment>
    <comment ref="I173" authorId="0">
      <text>
        <r>
          <rPr>
            <sz val="9"/>
            <color indexed="81"/>
            <rFont val="Meiryo UI"/>
            <family val="2"/>
          </rPr>
          <t>https://dev.mysql.com/doc/refman/8.4/en/server-system-variables.html
https://dev.mysql.com/doc/refman/8.4/en/innodb-parameters.html</t>
        </r>
      </text>
    </comment>
    <comment ref="I174" authorId="0">
      <text>
        <r>
          <rPr>
            <sz val="9"/>
            <color indexed="81"/>
            <rFont val="Meiryo UI"/>
            <family val="2"/>
          </rPr>
          <t>https://dev.mysql.com/doc/refman/8.4/en/server-system-variables.html</t>
        </r>
      </text>
    </comment>
    <comment ref="I175" authorId="0">
      <text>
        <r>
          <rPr>
            <sz val="9"/>
            <color indexed="81"/>
            <rFont val="Meiryo UI"/>
            <family val="2"/>
          </rPr>
          <t>https://dev.mysql.com/doc/refman/8.4/en/server-system-variables.html</t>
        </r>
      </text>
    </comment>
    <comment ref="I176" authorId="0">
      <text>
        <r>
          <rPr>
            <sz val="9"/>
            <color indexed="81"/>
            <rFont val="Meiryo UI"/>
            <family val="2"/>
          </rPr>
          <t>https://dev.mysql.com/doc/refman/8.4/en/server-system-variables.html</t>
        </r>
      </text>
    </comment>
    <comment ref="I177" authorId="0">
      <text>
        <r>
          <rPr>
            <sz val="9"/>
            <color indexed="81"/>
            <rFont val="Meiryo UI"/>
            <family val="2"/>
          </rPr>
          <t>https://dev.mysql.com/doc/refman/8.4/en/server-system-variables.html</t>
        </r>
      </text>
    </comment>
    <comment ref="I178" authorId="0">
      <text>
        <r>
          <rPr>
            <sz val="9"/>
            <color indexed="81"/>
            <rFont val="Meiryo UI"/>
            <family val="2"/>
          </rPr>
          <t>https://dev.mysql.com/doc/refman/8.4/en/server-system-variables.html</t>
        </r>
      </text>
    </comment>
    <comment ref="I179" authorId="0">
      <text>
        <r>
          <rPr>
            <sz val="9"/>
            <color indexed="81"/>
            <rFont val="Meiryo UI"/>
            <family val="2"/>
          </rPr>
          <t>https://dev.mysql.com/doc/refman/8.4/en/server-system-variables.html</t>
        </r>
      </text>
    </comment>
    <comment ref="I180" authorId="0">
      <text>
        <r>
          <rPr>
            <sz val="9"/>
            <color indexed="81"/>
            <rFont val="Meiryo UI"/>
            <family val="2"/>
          </rPr>
          <t>https://dev.mysql.com/doc/refman/8.4/en/server-system-variables.html</t>
        </r>
      </text>
    </comment>
    <comment ref="I181" authorId="0">
      <text>
        <r>
          <rPr>
            <sz val="9"/>
            <color indexed="81"/>
            <rFont val="Meiryo UI"/>
            <family val="2"/>
          </rPr>
          <t>https://dev.mysql.com/doc/refman/8.4/en/server-system-variables.html</t>
        </r>
      </text>
    </comment>
    <comment ref="I182" authorId="0">
      <text>
        <r>
          <rPr>
            <sz val="9"/>
            <color indexed="81"/>
            <rFont val="Meiryo UI"/>
            <family val="2"/>
          </rPr>
          <t>https://dev.mysql.com/doc/refman/8.4/en/server-system-variables.html</t>
        </r>
      </text>
    </comment>
    <comment ref="I183" authorId="0">
      <text>
        <r>
          <rPr>
            <sz val="9"/>
            <color indexed="81"/>
            <rFont val="Meiryo UI"/>
            <family val="2"/>
          </rPr>
          <t>https://docs.aws.amazon.com/AmazonRDS/latest/AuroraUserGuide/USER_DatabaseInsights.html
https://docs.aws.amazon.com/AmazonRDS/latest/AuroraUserGuide/USER_PerfInsights.Enabling.html</t>
        </r>
      </text>
    </comment>
    <comment ref="I184" authorId="0">
      <text>
        <r>
          <rPr>
            <sz val="9"/>
            <color indexed="81"/>
            <rFont val="Meiryo UI"/>
            <family val="2"/>
          </rPr>
          <t>https://dev.mysql.com/doc/refman/8.4/en/performance-schema-system-variables.html
https://docs.aws.amazon.com/AmazonRDS/latest/AuroraUserGuide/USER_PerfInsights.Enabling.html</t>
        </r>
      </text>
    </comment>
    <comment ref="I185" authorId="0">
      <text>
        <r>
          <rPr>
            <sz val="9"/>
            <color indexed="81"/>
            <rFont val="Meiryo UI"/>
            <family val="2"/>
          </rPr>
          <t>https://dev.mysql.com/doc/refman/8.4/en/performance-schema-system-variables.html
https://docs.aws.amazon.com/AmazonRDS/latest/AuroraUserGuide/USER_PerfInsights.Enabling.html</t>
        </r>
      </text>
    </comment>
    <comment ref="I186" authorId="0">
      <text>
        <r>
          <rPr>
            <sz val="9"/>
            <color indexed="81"/>
            <rFont val="Meiryo UI"/>
            <family val="2"/>
          </rPr>
          <t>https://dev.mysql.com/doc/refman/8.4/en/performance-schema-system-variables.html
https://docs.aws.amazon.com/AmazonRDS/latest/AuroraUserGuide/USER_PerfInsights.Enabling.html</t>
        </r>
      </text>
    </comment>
    <comment ref="I187" authorId="0">
      <text>
        <r>
          <rPr>
            <sz val="9"/>
            <color indexed="81"/>
            <rFont val="Meiryo UI"/>
            <family val="2"/>
          </rPr>
          <t>https://dev.mysql.com/doc/refman/8.4/en/performance-schema-system-variables.html
https://docs.aws.amazon.com/AmazonRDS/latest/AuroraUserGuide/USER_PerfInsights.Enabling.html</t>
        </r>
      </text>
    </comment>
    <comment ref="I188" authorId="0">
      <text>
        <r>
          <rPr>
            <sz val="9"/>
            <color indexed="81"/>
            <rFont val="Meiryo UI"/>
            <family val="2"/>
          </rPr>
          <t>https://dev.mysql.com/doc/refman/8.4/en/performance-schema-system-variables.html
https://docs.aws.amazon.com/AmazonRDS/latest/AuroraUserGuide/USER_PerfInsights.Enabling.html</t>
        </r>
      </text>
    </comment>
    <comment ref="I189" authorId="0">
      <text>
        <r>
          <rPr>
            <sz val="9"/>
            <color indexed="81"/>
            <rFont val="Meiryo UI"/>
            <family val="2"/>
          </rPr>
          <t>https://dev.mysql.com/doc/refman/8.4/en/performance-schema-system-variables.html
https://docs.aws.amazon.com/AmazonRDS/latest/AuroraUserGuide/USER_PerfInsights.Enabling.html</t>
        </r>
      </text>
    </comment>
    <comment ref="I190" authorId="0">
      <text>
        <r>
          <rPr>
            <sz val="9"/>
            <color indexed="81"/>
            <rFont val="Meiryo UI"/>
            <family val="2"/>
          </rPr>
          <t>https://dev.mysql.com/doc/refman/8.4/en/performance-schema-system-variables.html
https://docs.aws.amazon.com/AmazonRDS/latest/AuroraUserGuide/USER_PerfInsights.Enabling.html</t>
        </r>
      </text>
    </comment>
    <comment ref="I191" authorId="0">
      <text>
        <r>
          <rPr>
            <sz val="9"/>
            <color indexed="81"/>
            <rFont val="Meiryo UI"/>
            <family val="2"/>
          </rPr>
          <t>https://dev.mysql.com/doc/refman/8.4/en/performance-schema-system-variables.html
https://docs.aws.amazon.com/AmazonRDS/latest/AuroraUserGuide/USER_PerfInsights.Enabling.html</t>
        </r>
      </text>
    </comment>
    <comment ref="I192" authorId="0">
      <text>
        <r>
          <rPr>
            <sz val="9"/>
            <color indexed="81"/>
            <rFont val="Meiryo UI"/>
            <family val="2"/>
          </rPr>
          <t>https://dev.mysql.com/doc/refman/8.4/en/performance-schema-system-variables.html
https://docs.aws.amazon.com/AmazonRDS/latest/AuroraUserGuide/USER_PerfInsights.Enabling.html</t>
        </r>
      </text>
    </comment>
    <comment ref="I193" authorId="0">
      <text>
        <r>
          <rPr>
            <sz val="9"/>
            <color indexed="81"/>
            <rFont val="Meiryo UI"/>
            <family val="2"/>
          </rPr>
          <t>https://dev.mysql.com/doc/refman/8.4/en/performance-schema-system-variables.html
https://docs.aws.amazon.com/AmazonRDS/latest/AuroraUserGuide/USER_PerfInsights.Enabling.html</t>
        </r>
      </text>
    </comment>
    <comment ref="I194" authorId="0">
      <text>
        <r>
          <rPr>
            <sz val="9"/>
            <color indexed="81"/>
            <rFont val="Meiryo UI"/>
            <family val="2"/>
          </rPr>
          <t>https://dev.mysql.com/doc/refman/8.4/en/performance-schema-system-variables.html
https://docs.aws.amazon.com/AmazonRDS/latest/AuroraUserGuide/USER_PerfInsights.Enabling.html</t>
        </r>
      </text>
    </comment>
    <comment ref="I195" authorId="0">
      <text>
        <r>
          <rPr>
            <sz val="9"/>
            <color indexed="81"/>
            <rFont val="Meiryo UI"/>
            <family val="2"/>
          </rPr>
          <t>https://dev.mysql.com/doc/refman/8.4/en/performance-schema-system-variables.html
https://docs.aws.amazon.com/AmazonRDS/latest/AuroraUserGuide/USER_PerfInsights.Enabling.html</t>
        </r>
      </text>
    </comment>
    <comment ref="I196" authorId="0">
      <text>
        <r>
          <rPr>
            <sz val="9"/>
            <color indexed="81"/>
            <rFont val="Meiryo UI"/>
            <family val="2"/>
          </rPr>
          <t>https://dev.mysql.com/doc/refman/8.4/en/performance-schema-system-variables.html
https://docs.aws.amazon.com/AmazonRDS/latest/AuroraUserGuide/USER_PerfInsights.Enabling.html</t>
        </r>
      </text>
    </comment>
    <comment ref="I197" authorId="0">
      <text>
        <r>
          <rPr>
            <sz val="9"/>
            <color indexed="81"/>
            <rFont val="Meiryo UI"/>
            <family val="2"/>
          </rPr>
          <t>https://dev.mysql.com/doc/refman/8.4/en/performance-schema-system-variables.html
https://docs.aws.amazon.com/AmazonRDS/latest/AuroraUserGuide/USER_PerfInsights.Enabling.html</t>
        </r>
      </text>
    </comment>
    <comment ref="I198" authorId="0">
      <text>
        <r>
          <rPr>
            <sz val="9"/>
            <color indexed="81"/>
            <rFont val="Meiryo UI"/>
            <family val="2"/>
          </rPr>
          <t>https://dev.mysql.com/doc/refman/8.4/en/performance-schema-system-variables.html
https://docs.aws.amazon.com/AmazonRDS/latest/AuroraUserGuide/USER_PerfInsights.Enabling.html</t>
        </r>
      </text>
    </comment>
    <comment ref="I199" authorId="0">
      <text>
        <r>
          <rPr>
            <sz val="9"/>
            <color indexed="81"/>
            <rFont val="Meiryo UI"/>
            <family val="2"/>
          </rPr>
          <t>https://dev.mysql.com/doc/refman/8.4/en/performance-schema-system-variables.html
https://docs.aws.amazon.com/AmazonRDS/latest/AuroraUserGuide/USER_PerfInsights.Enabling.html</t>
        </r>
      </text>
    </comment>
    <comment ref="I200" authorId="0">
      <text>
        <r>
          <rPr>
            <sz val="9"/>
            <color indexed="81"/>
            <rFont val="Meiryo UI"/>
            <family val="2"/>
          </rPr>
          <t>https://dev.mysql.com/doc/refman/8.4/en/performance-schema-system-variables.html
https://docs.aws.amazon.com/AmazonRDS/latest/AuroraUserGuide/USER_PerfInsights.Enabling.html</t>
        </r>
      </text>
    </comment>
    <comment ref="I201" authorId="0">
      <text>
        <r>
          <rPr>
            <sz val="9"/>
            <color indexed="81"/>
            <rFont val="Meiryo UI"/>
            <family val="2"/>
          </rPr>
          <t>https://dev.mysql.com/doc/refman/8.4/en/performance-schema-system-variables.html
https://docs.aws.amazon.com/AmazonRDS/latest/AuroraUserGuide/USER_PerfInsights.Enabling.html</t>
        </r>
      </text>
    </comment>
    <comment ref="I202" authorId="0">
      <text>
        <r>
          <rPr>
            <sz val="9"/>
            <color indexed="81"/>
            <rFont val="Meiryo UI"/>
            <family val="2"/>
          </rPr>
          <t>https://dev.mysql.com/doc/refman/8.4/en/performance-schema-system-variables.html
https://docs.aws.amazon.com/AmazonRDS/latest/AuroraUserGuide/USER_PerfInsights.Enabling.html</t>
        </r>
      </text>
    </comment>
    <comment ref="I203" authorId="0">
      <text>
        <r>
          <rPr>
            <sz val="9"/>
            <color indexed="81"/>
            <rFont val="Meiryo UI"/>
            <family val="2"/>
          </rPr>
          <t>https://dev.mysql.com/doc/refman/8.4/en/performance-schema-system-variables.html
https://docs.aws.amazon.com/AmazonRDS/latest/AuroraUserGuide/USER_PerfInsights.Enabling.html</t>
        </r>
      </text>
    </comment>
    <comment ref="I204" authorId="0">
      <text>
        <r>
          <rPr>
            <sz val="9"/>
            <color indexed="81"/>
            <rFont val="Meiryo UI"/>
            <family val="2"/>
          </rPr>
          <t>https://dev.mysql.com/doc/refman/8.4/en/performance-schema-system-variables.html
https://docs.aws.amazon.com/AmazonRDS/latest/AuroraUserGuide/USER_PerfInsights.Enabling.html</t>
        </r>
      </text>
    </comment>
    <comment ref="I205" authorId="0">
      <text>
        <r>
          <rPr>
            <sz val="9"/>
            <color indexed="81"/>
            <rFont val="Meiryo UI"/>
            <family val="2"/>
          </rPr>
          <t>https://dev.mysql.com/doc/refman/8.4/en/performance-schema-system-variables.html
https://docs.aws.amazon.com/AmazonRDS/latest/AuroraUserGuide/USER_PerfInsights.Enabling.html</t>
        </r>
      </text>
    </comment>
    <comment ref="I206" authorId="0">
      <text>
        <r>
          <rPr>
            <sz val="9"/>
            <color indexed="81"/>
            <rFont val="Meiryo UI"/>
            <family val="2"/>
          </rPr>
          <t>https://dev.mysql.com/doc/refman/8.4/en/performance-schema-system-variables.html
https://docs.aws.amazon.com/AmazonRDS/latest/AuroraUserGuide/USER_PerfInsights.Enabling.html</t>
        </r>
      </text>
    </comment>
    <comment ref="I207" authorId="0">
      <text>
        <r>
          <rPr>
            <sz val="9"/>
            <color indexed="81"/>
            <rFont val="Meiryo UI"/>
            <family val="2"/>
          </rPr>
          <t>https://dev.mysql.com/doc/refman/8.4/en/performance-schema-system-variables.html
https://docs.aws.amazon.com/AmazonRDS/latest/AuroraUserGuide/USER_PerfInsights.Enabling.html</t>
        </r>
      </text>
    </comment>
    <comment ref="I208" authorId="0">
      <text>
        <r>
          <rPr>
            <sz val="9"/>
            <color indexed="81"/>
            <rFont val="Meiryo UI"/>
            <family val="2"/>
          </rPr>
          <t>https://dev.mysql.com/doc/refman/8.4/en/performance-schema-system-variables.html
https://docs.aws.amazon.com/AmazonRDS/latest/AuroraUserGuide/USER_PerfInsights.Enabling.html</t>
        </r>
      </text>
    </comment>
    <comment ref="I209" authorId="0">
      <text>
        <r>
          <rPr>
            <sz val="9"/>
            <color indexed="81"/>
            <rFont val="Meiryo UI"/>
            <family val="2"/>
          </rPr>
          <t>https://dev.mysql.com/doc/refman/8.4/en/performance-schema-system-variables.html
https://docs.aws.amazon.com/AmazonRDS/latest/AuroraUserGuide/USER_PerfInsights.Enabling.html</t>
        </r>
      </text>
    </comment>
    <comment ref="I210" authorId="0">
      <text>
        <r>
          <rPr>
            <sz val="9"/>
            <color indexed="81"/>
            <rFont val="Meiryo UI"/>
            <family val="2"/>
          </rPr>
          <t>https://dev.mysql.com/doc/refman/8.4/en/performance-schema-system-variables.html
https://docs.aws.amazon.com/AmazonRDS/latest/AuroraUserGuide/USER_PerfInsights.Enabling.html</t>
        </r>
      </text>
    </comment>
    <comment ref="I211" authorId="0">
      <text>
        <r>
          <rPr>
            <sz val="9"/>
            <color indexed="81"/>
            <rFont val="Meiryo UI"/>
            <family val="2"/>
          </rPr>
          <t>https://dev.mysql.com/doc/refman/8.4/en/performance-schema-system-variables.html
https://docs.aws.amazon.com/AmazonRDS/latest/AuroraUserGuide/USER_PerfInsights.Enabling.html</t>
        </r>
      </text>
    </comment>
    <comment ref="I212" authorId="0">
      <text>
        <r>
          <rPr>
            <sz val="9"/>
            <color indexed="81"/>
            <rFont val="Meiryo UI"/>
            <family val="2"/>
          </rPr>
          <t>https://dev.mysql.com/doc/refman/8.4/en/performance-schema-system-variables.html
https://docs.aws.amazon.com/AmazonRDS/latest/AuroraUserGuide/USER_PerfInsights.Enabling.html</t>
        </r>
      </text>
    </comment>
    <comment ref="I213" authorId="0">
      <text>
        <r>
          <rPr>
            <sz val="9"/>
            <color indexed="81"/>
            <rFont val="Meiryo UI"/>
            <family val="2"/>
          </rPr>
          <t>https://dev.mysql.com/doc/refman/8.4/en/performance-schema-system-variables.html
https://docs.aws.amazon.com/AmazonRDS/latest/AuroraUserGuide/USER_PerfInsights.Enabling.html</t>
        </r>
      </text>
    </comment>
    <comment ref="I214" authorId="0">
      <text>
        <r>
          <rPr>
            <sz val="9"/>
            <color indexed="81"/>
            <rFont val="Meiryo UI"/>
            <family val="2"/>
          </rPr>
          <t>https://dev.mysql.com/doc/refman/8.4/en/performance-schema-system-variables.html
https://docs.aws.amazon.com/AmazonRDS/latest/AuroraUserGuide/USER_PerfInsights.Enabling.html</t>
        </r>
      </text>
    </comment>
    <comment ref="I215" authorId="0">
      <text>
        <r>
          <rPr>
            <sz val="9"/>
            <color indexed="81"/>
            <rFont val="Meiryo UI"/>
            <family val="2"/>
          </rPr>
          <t>https://dev.mysql.com/doc/refman/8.4/en/performance-schema-system-variables.html
https://docs.aws.amazon.com/AmazonRDS/latest/AuroraUserGuide/USER_PerfInsights.Enabling.html</t>
        </r>
      </text>
    </comment>
    <comment ref="I216" authorId="0">
      <text>
        <r>
          <rPr>
            <sz val="9"/>
            <color indexed="81"/>
            <rFont val="Meiryo UI"/>
            <family val="2"/>
          </rPr>
          <t>https://dev.mysql.com/doc/refman/8.4/en/performance-schema-system-variables.html
https://docs.aws.amazon.com/AmazonRDS/latest/AuroraUserGuide/USER_PerfInsights.Enabling.html</t>
        </r>
      </text>
    </comment>
    <comment ref="I217" authorId="0">
      <text>
        <r>
          <rPr>
            <sz val="9"/>
            <color indexed="81"/>
            <rFont val="Meiryo UI"/>
            <family val="2"/>
          </rPr>
          <t>https://dev.mysql.com/doc/refman/8.4/en/performance-schema-system-variables.html
https://docs.aws.amazon.com/AmazonRDS/latest/AuroraUserGuide/USER_PerfInsights.Enabling.html</t>
        </r>
      </text>
    </comment>
    <comment ref="I218" authorId="0">
      <text>
        <r>
          <rPr>
            <sz val="9"/>
            <color indexed="81"/>
            <rFont val="Meiryo UI"/>
            <family val="2"/>
          </rPr>
          <t>https://dev.mysql.com/doc/refman/8.4/en/performance-schema-system-variables.html
https://docs.aws.amazon.com/AmazonRDS/latest/AuroraUserGuide/USER_PerfInsights.Enabling.html</t>
        </r>
      </text>
    </comment>
    <comment ref="I219" authorId="0">
      <text>
        <r>
          <rPr>
            <sz val="9"/>
            <color indexed="81"/>
            <rFont val="Meiryo UI"/>
            <family val="2"/>
          </rPr>
          <t>https://dev.mysql.com/doc/refman/8.4/en/performance-schema-system-variables.html
https://docs.aws.amazon.com/AmazonRDS/latest/AuroraUserGuide/USER_PerfInsights.Enabling.html</t>
        </r>
      </text>
    </comment>
    <comment ref="I220" authorId="0">
      <text>
        <r>
          <rPr>
            <sz val="9"/>
            <color indexed="81"/>
            <rFont val="Meiryo UI"/>
            <family val="2"/>
          </rPr>
          <t>https://dev.mysql.com/doc/refman/8.4/en/performance-schema-system-variables.html
https://docs.aws.amazon.com/AmazonRDS/latest/AuroraUserGuide/USER_PerfInsights.Enabling.html</t>
        </r>
      </text>
    </comment>
    <comment ref="I221" authorId="0">
      <text>
        <r>
          <rPr>
            <sz val="9"/>
            <color indexed="81"/>
            <rFont val="Meiryo UI"/>
            <family val="2"/>
          </rPr>
          <t>https://dev.mysql.com/doc/refman/8.4/en/performance-schema-system-variables.html
https://docs.aws.amazon.com/AmazonRDS/latest/AuroraUserGuide/USER_PerfInsights.Enabling.html</t>
        </r>
      </text>
    </comment>
    <comment ref="I222" authorId="0">
      <text>
        <r>
          <rPr>
            <sz val="9"/>
            <color indexed="81"/>
            <rFont val="Meiryo UI"/>
            <family val="2"/>
          </rPr>
          <t>https://dev.mysql.com/doc/refman/8.4/en/performance-schema-system-variables.html
https://docs.aws.amazon.com/AmazonRDS/latest/AuroraUserGuide/USER_PerfInsights.Enabling.html</t>
        </r>
      </text>
    </comment>
    <comment ref="I223" authorId="0">
      <text>
        <r>
          <rPr>
            <sz val="9"/>
            <color indexed="81"/>
            <rFont val="Meiryo UI"/>
            <family val="2"/>
          </rPr>
          <t>https://dev.mysql.com/doc/refman/8.4/en/performance-schema-system-variables.html
https://docs.aws.amazon.com/AmazonRDS/latest/AuroraUserGuide/USER_PerfInsights.Enabling.html</t>
        </r>
      </text>
    </comment>
    <comment ref="I224" authorId="0">
      <text>
        <r>
          <rPr>
            <sz val="9"/>
            <color indexed="81"/>
            <rFont val="Meiryo UI"/>
            <family val="2"/>
          </rPr>
          <t>https://dev.mysql.com/doc/refman/8.4/en/performance-schema-system-variables.html
https://docs.aws.amazon.com/AmazonRDS/latest/AuroraUserGuide/USER_PerfInsights.Enabling.html</t>
        </r>
      </text>
    </comment>
    <comment ref="I225" authorId="0">
      <text>
        <r>
          <rPr>
            <sz val="9"/>
            <color indexed="81"/>
            <rFont val="Meiryo UI"/>
            <family val="2"/>
          </rPr>
          <t>https://dev.mysql.com/doc/refman/8.4/en/performance-schema-system-variables.html
https://docs.aws.amazon.com/AmazonRDS/latest/AuroraUserGuide/USER_PerfInsights.Enabling.html</t>
        </r>
      </text>
    </comment>
    <comment ref="I226" authorId="0">
      <text>
        <r>
          <rPr>
            <sz val="9"/>
            <color indexed="81"/>
            <rFont val="Meiryo UI"/>
            <family val="2"/>
          </rPr>
          <t>https://dev.mysql.com/doc/refman/8.4/en/performance-schema-system-variables.html
https://docs.aws.amazon.com/AmazonRDS/latest/AuroraUserGuide/USER_PerfInsights.Enabling.html</t>
        </r>
      </text>
    </comment>
    <comment ref="I227" authorId="0">
      <text>
        <r>
          <rPr>
            <sz val="9"/>
            <color indexed="81"/>
            <rFont val="Meiryo UI"/>
            <family val="2"/>
          </rPr>
          <t>https://dev.mysql.com/doc/refman/8.4/en/performance-schema-system-variables.html
https://docs.aws.amazon.com/AmazonRDS/latest/AuroraUserGuide/USER_PerfInsights.Enabling.html</t>
        </r>
      </text>
    </comment>
    <comment ref="I228" authorId="0">
      <text>
        <r>
          <rPr>
            <sz val="9"/>
            <color indexed="81"/>
            <rFont val="Meiryo UI"/>
            <family val="2"/>
          </rPr>
          <t>https://dev.mysql.com/doc/refman/8.4/en/performance-schema-system-variables.html
https://docs.aws.amazon.com/AmazonRDS/latest/AuroraUserGuide/USER_PerfInsights.Enabling.html</t>
        </r>
      </text>
    </comment>
    <comment ref="I229" authorId="0">
      <text>
        <r>
          <rPr>
            <sz val="9"/>
            <color indexed="81"/>
            <rFont val="Meiryo UI"/>
            <family val="2"/>
          </rPr>
          <t>https://dev.mysql.com/doc/refman/8.4/en/performance-schema-system-variables.html
https://docs.aws.amazon.com/AmazonRDS/latest/AuroraUserGuide/USER_PerfInsights.Enabling.html</t>
        </r>
      </text>
    </comment>
    <comment ref="I230" authorId="0">
      <text>
        <r>
          <rPr>
            <sz val="9"/>
            <color indexed="81"/>
            <rFont val="Meiryo UI"/>
            <family val="2"/>
          </rPr>
          <t>https://dev.mysql.com/doc/refman/8.4/en/performance-schema-system-variables.html
https://docs.aws.amazon.com/AmazonRDS/latest/AuroraUserGuide/USER_PerfInsights.Enabling.html</t>
        </r>
      </text>
    </comment>
    <comment ref="I231" authorId="0">
      <text>
        <r>
          <rPr>
            <sz val="9"/>
            <color indexed="81"/>
            <rFont val="Meiryo UI"/>
            <family val="2"/>
          </rPr>
          <t>https://dev.mysql.com/doc/refman/8.4/en/performance-schema-system-variables.html
https://docs.aws.amazon.com/AmazonRDS/latest/AuroraUserGuide/USER_PerfInsights.Enabling.html</t>
        </r>
      </text>
    </comment>
    <comment ref="I232" authorId="0">
      <text>
        <r>
          <rPr>
            <sz val="9"/>
            <color indexed="81"/>
            <rFont val="Meiryo UI"/>
            <family val="2"/>
          </rPr>
          <t>https://dev.mysql.com/doc/refman/8.4/en/performance-schema-system-variables.html
https://docs.aws.amazon.com/AmazonRDS/latest/AuroraUserGuide/USER_PerfInsights.Enabling.html</t>
        </r>
      </text>
    </comment>
    <comment ref="I233" authorId="0">
      <text>
        <r>
          <rPr>
            <sz val="9"/>
            <color indexed="81"/>
            <rFont val="Meiryo UI"/>
            <family val="2"/>
          </rPr>
          <t>https://dev.mysql.com/doc/refman/8.4/en/performance-schema-system-variables.html
https://docs.aws.amazon.com/AmazonRDS/latest/AuroraUserGuide/USER_PerfInsights.Enabling.html</t>
        </r>
      </text>
    </comment>
    <comment ref="I234" authorId="0">
      <text>
        <r>
          <rPr>
            <sz val="9"/>
            <color indexed="81"/>
            <rFont val="Meiryo UI"/>
            <family val="2"/>
          </rPr>
          <t>https://dev.mysql.com/doc/refman/8.4/en/performance-schema-system-variables.html
https://docs.aws.amazon.com/AmazonRDS/latest/AuroraUserGuide/USER_PerfInsights.Enabling.html</t>
        </r>
      </text>
    </comment>
    <comment ref="I235" authorId="0">
      <text>
        <r>
          <rPr>
            <sz val="9"/>
            <color indexed="81"/>
            <rFont val="Meiryo UI"/>
            <family val="2"/>
          </rPr>
          <t>https://dev.mysql.com/doc/refman/8.4/en/performance-schema-system-variables.html
https://docs.aws.amazon.com/AmazonRDS/latest/AuroraUserGuide/USER_PerfInsights.Enabling.html</t>
        </r>
      </text>
    </comment>
    <comment ref="I236" authorId="0">
      <text>
        <r>
          <rPr>
            <sz val="9"/>
            <color indexed="81"/>
            <rFont val="Meiryo UI"/>
            <family val="2"/>
          </rPr>
          <t>https://dev.mysql.com/doc/refman/8.4/en/performance-schema-system-variables.html
https://docs.aws.amazon.com/AmazonRDS/latest/AuroraUserGuide/USER_PerfInsights.Enabling.html</t>
        </r>
      </text>
    </comment>
    <comment ref="I237" authorId="0">
      <text>
        <r>
          <rPr>
            <sz val="9"/>
            <color indexed="81"/>
            <rFont val="Meiryo UI"/>
            <family val="2"/>
          </rPr>
          <t>https://dev.mysql.com/doc/refman/8.4/en/performance-schema-system-variables.html
https://docs.aws.amazon.com/AmazonRDS/latest/AuroraUserGuide/USER_PerfInsights.Enabling.html</t>
        </r>
      </text>
    </comment>
    <comment ref="I238" authorId="0">
      <text>
        <r>
          <rPr>
            <sz val="9"/>
            <color indexed="81"/>
            <rFont val="Meiryo UI"/>
            <family val="2"/>
          </rPr>
          <t>https://dev.mysql.com/doc/refman/8.4/en/performance-schema-system-variables.html
https://docs.aws.amazon.com/AmazonRDS/latest/AuroraUserGuide/USER_PerfInsights.Enabling.html</t>
        </r>
      </text>
    </comment>
    <comment ref="I239" authorId="0">
      <text>
        <r>
          <rPr>
            <sz val="9"/>
            <color indexed="81"/>
            <rFont val="Meiryo UI"/>
            <family val="2"/>
          </rPr>
          <t>https://dev.mysql.com/doc/refman/8.4/en/performance-schema-system-variables.html
https://docs.aws.amazon.com/AmazonRDS/latest/AuroraUserGuide/USER_PerfInsights.Enabling.html</t>
        </r>
      </text>
    </comment>
    <comment ref="I240" authorId="0">
      <text>
        <r>
          <rPr>
            <sz val="9"/>
            <color indexed="81"/>
            <rFont val="Meiryo UI"/>
            <family val="2"/>
          </rPr>
          <t>https://docs.aws.amazon.com/AmazonRDS/latest/AuroraUserGuide/AuroraMySQL.Reference.ParameterGroups.html
https://dev.mysql.com/doc/refman/8.4/en/server-system-variables.html</t>
        </r>
      </text>
    </comment>
    <comment ref="I241" authorId="0">
      <text>
        <r>
          <rPr>
            <sz val="9"/>
            <color indexed="81"/>
            <rFont val="Meiryo UI"/>
            <family val="2"/>
          </rPr>
          <t>https://docs.aws.amazon.com/AmazonRDS/latest/AuroraUserGuide/AuroraMySQL.Reference.ParameterGroups.html
https://dev.mysql.com/doc/refman/8.4/en/server-system-variables.html</t>
        </r>
      </text>
    </comment>
    <comment ref="I242" authorId="0">
      <text>
        <r>
          <rPr>
            <sz val="9"/>
            <color indexed="81"/>
            <rFont val="Meiryo UI"/>
            <family val="2"/>
          </rPr>
          <t>https://docs.aws.amazon.com/AmazonRDS/latest/AuroraUserGuide/AuroraMySQL.Reference.ParameterGroups.html
https://dev.mysql.com/doc/refman/8.4/en/server-system-variables.html</t>
        </r>
      </text>
    </comment>
    <comment ref="I243"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44" authorId="0">
      <text>
        <r>
          <rPr>
            <sz val="9"/>
            <color indexed="81"/>
            <rFont val="Meiryo UI"/>
            <family val="2"/>
          </rPr>
          <t>https://docs.aws.amazon.com/AmazonRDS/latest/AuroraUserGuide/AuroraMySQL.Reference.ParameterGroups.html
https://dev.mysql.com/doc/refman/8.4/en/server-system-variables.html</t>
        </r>
      </text>
    </comment>
    <comment ref="I245" authorId="0">
      <text>
        <r>
          <rPr>
            <sz val="9"/>
            <color indexed="81"/>
            <rFont val="Meiryo UI"/>
            <family val="2"/>
          </rPr>
          <t>https://docs.aws.amazon.com/AmazonRDS/latest/AuroraUserGuide/AuroraMySQL.Reference.ParameterGroups.html
https://dev.mysql.com/doc/refman/8.4/en/server-system-variables.html</t>
        </r>
      </text>
    </comment>
    <comment ref="I246" authorId="0">
      <text>
        <r>
          <rPr>
            <sz val="9"/>
            <color indexed="81"/>
            <rFont val="Meiryo UI"/>
            <family val="2"/>
          </rPr>
          <t>https://docs.aws.amazon.com/AmazonRDS/latest/AuroraUserGuide/AuroraMySQL.Reference.ParameterGroups.html
https://dev.mysql.com/doc/refman/8.4/en/server-system-variables.html</t>
        </r>
      </text>
    </comment>
    <comment ref="I247" authorId="0">
      <text>
        <r>
          <rPr>
            <sz val="9"/>
            <color indexed="81"/>
            <rFont val="Meiryo UI"/>
            <family val="2"/>
          </rPr>
          <t>https://dev.mysql.com/doc/refman/8.4/en/server-system-variables.html</t>
        </r>
      </text>
    </comment>
    <comment ref="I248" authorId="0">
      <text>
        <r>
          <rPr>
            <sz val="9"/>
            <color indexed="81"/>
            <rFont val="Meiryo UI"/>
            <family val="2"/>
          </rPr>
          <t>https://dev.mysql.com/doc/refman/8.4/en/server-system-variables.html</t>
        </r>
      </text>
    </comment>
    <comment ref="I249"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50"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51" authorId="0">
      <text>
        <r>
          <rPr>
            <sz val="9"/>
            <color indexed="81"/>
            <rFont val="Meiryo UI"/>
            <family val="2"/>
          </rPr>
          <t>https://dev.mysql.com/doc/refman/8.4/en/server-system-variables.html</t>
        </r>
      </text>
    </comment>
    <comment ref="I252" authorId="0">
      <text>
        <r>
          <rPr>
            <sz val="9"/>
            <color indexed="81"/>
            <rFont val="Meiryo UI"/>
            <family val="2"/>
          </rPr>
          <t>https://dev.mysql.com/doc/refman/8.4/en/server-system-variables.html</t>
        </r>
      </text>
    </comment>
    <comment ref="I253" authorId="0">
      <text>
        <r>
          <rPr>
            <sz val="9"/>
            <color indexed="81"/>
            <rFont val="Meiryo UI"/>
            <family val="2"/>
          </rPr>
          <t>https://docs.aws.amazon.com/AmazonRDS/latest/AuroraUserGuide/AuroraMySQL.Reference.ParameterGroups.html
https://docs.aws.amazon.com/AmazonRDS/latest/AuroraUserGuide/aurora-global-database.html</t>
        </r>
      </text>
    </comment>
    <comment ref="I254" authorId="0">
      <text>
        <r>
          <rPr>
            <sz val="9"/>
            <color indexed="81"/>
            <rFont val="Meiryo UI"/>
            <family val="2"/>
          </rPr>
          <t>https://docs.aws.amazon.com/AmazonRDS/latest/AuroraUserGuide/AuroraMySQL.Reference.ParameterGroups.html
https://docs.aws.amazon.com/AmazonRDS/latest/AuroraUserGuide/aurora-global-database.html</t>
        </r>
      </text>
    </comment>
    <comment ref="I255" authorId="0">
      <text>
        <r>
          <rPr>
            <sz val="9"/>
            <color indexed="81"/>
            <rFont val="Meiryo UI"/>
            <family val="2"/>
          </rPr>
          <t>https://docs.aws.amazon.com/AmazonRDS/latest/AuroraUserGuide/AuroraMySQL.Reference.ParameterGroups.html
https://docs.aws.amazon.com/AmazonRDS/latest/AuroraUserGuide/aurora-global-database.html</t>
        </r>
      </text>
    </comment>
    <comment ref="I256" authorId="0">
      <text>
        <r>
          <rPr>
            <sz val="9"/>
            <color indexed="81"/>
            <rFont val="Meiryo UI"/>
            <family val="2"/>
          </rPr>
          <t>https://docs.aws.amazon.com/AmazonRDS/latest/AuroraUserGuide/AuroraMySQL.Reference.ParameterGroups.html
https://docs.aws.amazon.com/AmazonRDS/latest/AuroraUserGuide/aurora-global-database.html</t>
        </r>
      </text>
    </comment>
    <comment ref="I257" authorId="0">
      <text>
        <r>
          <rPr>
            <sz val="9"/>
            <color indexed="81"/>
            <rFont val="Meiryo UI"/>
            <family val="2"/>
          </rPr>
          <t>https://docs.aws.amazon.com/AmazonRDS/latest/AuroraUserGuide/AuroraMySQL.Reference.ParameterGroups.html
https://docs.aws.amazon.com/AmazonRDS/latest/AuroraUserGuide/aurora-global-database.html</t>
        </r>
      </text>
    </comment>
    <comment ref="I258" authorId="0">
      <text>
        <r>
          <rPr>
            <sz val="9"/>
            <color indexed="81"/>
            <rFont val="Meiryo UI"/>
            <family val="2"/>
          </rPr>
          <t>https://docs.aws.amazon.com/AmazonRDS/latest/AuroraUserGuide/AuroraMySQL.Reference.ParameterGroups.html
https://docs.aws.amazon.com/AmazonRDS/latest/AuroraUserGuide/aurora-global-database.html</t>
        </r>
      </text>
    </comment>
    <comment ref="I259" authorId="0">
      <text>
        <r>
          <rPr>
            <sz val="9"/>
            <color indexed="81"/>
            <rFont val="Meiryo UI"/>
            <family val="2"/>
          </rPr>
          <t>https://docs.aws.amazon.com/AmazonRDS/latest/AuroraUserGuide/AuroraMySQL.Reference.ParameterGroups.html
https://docs.aws.amazon.com/AmazonRDS/latest/AuroraUserGuide/aurora-global-database.html</t>
        </r>
      </text>
    </comment>
    <comment ref="I260" authorId="0">
      <text>
        <r>
          <rPr>
            <sz val="9"/>
            <color indexed="81"/>
            <rFont val="Meiryo UI"/>
            <family val="2"/>
          </rPr>
          <t>https://docs.aws.amazon.com/AmazonRDS/latest/AuroraUserGuide/AuroraMySQL.Reference.ParameterGroups.html
https://dev.mysql.com/doc/refman/8.4/en/server-system-variables.html</t>
        </r>
      </text>
    </comment>
    <comment ref="I261"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62" authorId="0">
      <text>
        <r>
          <rPr>
            <sz val="9"/>
            <color indexed="81"/>
            <rFont val="Meiryo UI"/>
            <family val="2"/>
          </rPr>
          <t>https://docs.aws.amazon.com/AmazonRDS/latest/AuroraUserGuide/AuroraMySQL.Reference.ParameterGroups.html
https://dev.mysql.com/doc/refman/8.4/en/server-system-variables.html</t>
        </r>
      </text>
    </comment>
    <comment ref="I263" authorId="0">
      <text>
        <r>
          <rPr>
            <sz val="9"/>
            <color indexed="81"/>
            <rFont val="Meiryo UI"/>
            <family val="2"/>
          </rPr>
          <t>https://docs.aws.amazon.com/AmazonRDS/latest/AuroraUserGuide/AuroraMySQL.Reference.ParameterGroups.html
https://dev.mysql.com/doc/refman/8.4/en/server-system-variables.html</t>
        </r>
      </text>
    </comment>
    <comment ref="I264" authorId="0">
      <text>
        <r>
          <rPr>
            <sz val="9"/>
            <color indexed="81"/>
            <rFont val="Meiryo UI"/>
            <family val="2"/>
          </rPr>
          <t>https://docs.aws.amazon.com/AmazonRDS/latest/AuroraUserGuide/AuroraMySQL.Reference.ParameterGroups.html
https://dev.mysql.com/doc/refman/8.4/en/server-system-variables.html</t>
        </r>
      </text>
    </comment>
    <comment ref="I265" authorId="0">
      <text>
        <r>
          <rPr>
            <sz val="9"/>
            <color indexed="81"/>
            <rFont val="Meiryo UI"/>
            <family val="2"/>
          </rPr>
          <t>https://docs.aws.amazon.com/AmazonRDS/latest/AuroraUserGuide/AuroraMySQL.Reference.ParameterGroups.html
https://dev.mysql.com/doc/refman/8.4/en/server-system-variables.html</t>
        </r>
      </text>
    </comment>
    <comment ref="I266" authorId="0">
      <text>
        <r>
          <rPr>
            <sz val="9"/>
            <color indexed="81"/>
            <rFont val="Meiryo UI"/>
            <family val="2"/>
          </rPr>
          <t>https://docs.aws.amazon.com/AmazonRDS/latest/AuroraUserGuide/AuroraMySQL.Reference.ParameterGroups.html
https://dev.mysql.com/doc/refman/8.4/en/server-system-variables.html</t>
        </r>
      </text>
    </comment>
    <comment ref="I267" authorId="0">
      <text>
        <r>
          <rPr>
            <sz val="9"/>
            <color indexed="81"/>
            <rFont val="Meiryo UI"/>
            <family val="2"/>
          </rPr>
          <t>https://docs.aws.amazon.com/AmazonRDS/latest/AuroraUserGuide/AuroraMySQL.Reference.ParameterGroups.html
https://dev.mysql.com/doc/refman/8.4/en/server-system-variables.html</t>
        </r>
      </text>
    </comment>
    <comment ref="I268" authorId="0">
      <text>
        <r>
          <rPr>
            <sz val="9"/>
            <color indexed="81"/>
            <rFont val="Meiryo UI"/>
            <family val="2"/>
          </rPr>
          <t>https://docs.aws.amazon.com/AmazonRDS/latest/AuroraUserGuide/AuroraMySQL.Reference.ParameterGroups.html</t>
        </r>
      </text>
    </comment>
    <comment ref="I269" authorId="0">
      <text>
        <r>
          <rPr>
            <sz val="9"/>
            <color indexed="81"/>
            <rFont val="Meiryo UI"/>
            <family val="2"/>
          </rPr>
          <t>https://docs.aws.amazon.com/AmazonRDS/latest/AuroraUserGuide/AuroraMySQL.Reference.ParameterGroups.html</t>
        </r>
      </text>
    </comment>
    <comment ref="I270" authorId="0">
      <text>
        <r>
          <rPr>
            <sz val="9"/>
            <color indexed="81"/>
            <rFont val="Meiryo UI"/>
            <family val="2"/>
          </rPr>
          <t>https://docs.aws.amazon.com/AmazonRDS/latest/AuroraUserGuide/AuroraMySQL.Reference.ParameterGroups.html</t>
        </r>
      </text>
    </comment>
    <comment ref="I271" authorId="0">
      <text>
        <r>
          <rPr>
            <sz val="9"/>
            <color indexed="81"/>
            <rFont val="Meiryo UI"/>
            <family val="2"/>
          </rPr>
          <t>https://docs.aws.amazon.com/AmazonRDS/latest/AuroraUserGuide/AuroraMySQL.Reference.ParameterGroups.html
https://dev.mysql.com/doc/refman/8.4/en/server-system-variables.html</t>
        </r>
      </text>
    </comment>
    <comment ref="I272"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73" authorId="0">
      <text>
        <r>
          <rPr>
            <sz val="9"/>
            <color indexed="81"/>
            <rFont val="Meiryo UI"/>
            <family val="2"/>
          </rPr>
          <t>https://dev.mysql.com/doc/refman/8.4/en/server-system-variables.html</t>
        </r>
      </text>
    </comment>
    <comment ref="I274" authorId="0">
      <text>
        <r>
          <rPr>
            <sz val="9"/>
            <color indexed="81"/>
            <rFont val="Meiryo UI"/>
            <family val="2"/>
          </rPr>
          <t>https://dev.mysql.com/doc/refman/8.4/en/server-system-variables.html</t>
        </r>
      </text>
    </comment>
    <comment ref="I275" authorId="0">
      <text>
        <r>
          <rPr>
            <sz val="9"/>
            <color indexed="81"/>
            <rFont val="Meiryo UI"/>
            <family val="2"/>
          </rPr>
          <t>https://dev.mysql.com/doc/refman/8.4/en/server-system-variables.html</t>
        </r>
      </text>
    </comment>
    <comment ref="I276"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277"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278"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79"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80" authorId="0">
      <text>
        <r>
          <rPr>
            <sz val="9"/>
            <color indexed="81"/>
            <rFont val="Meiryo UI"/>
            <family val="2"/>
          </rPr>
          <t>https://docs.aws.amazon.com/AmazonRDS/latest/AuroraUserGuide/AuroraMySQL.Reference.ParameterGroups.html
https://dev.mysql.com/doc/refman/8.4/en/server-system-variables.html</t>
        </r>
      </text>
    </comment>
    <comment ref="I281" authorId="0">
      <text>
        <r>
          <rPr>
            <sz val="9"/>
            <color indexed="81"/>
            <rFont val="Meiryo UI"/>
            <family val="2"/>
          </rPr>
          <t>https://docs.aws.amazon.com/AmazonRDS/latest/AuroraUserGuide/AuroraMySQL.Reference.ParameterGroups.html
https://docs.aws.amazon.com/AmazonRDS/latest/AuroraUserGuide/aurora-global-database.html</t>
        </r>
      </text>
    </comment>
    <comment ref="I282" authorId="0">
      <text>
        <r>
          <rPr>
            <sz val="9"/>
            <color indexed="81"/>
            <rFont val="Meiryo UI"/>
            <family val="2"/>
          </rPr>
          <t>https://docs.aws.amazon.com/AmazonRDS/latest/AuroraUserGuide/AuroraMySQL.Reference.ParameterGroups.html
https://docs.aws.amazon.com/AmazonRDS/latest/AuroraUserGuide/aurora-global-database.html</t>
        </r>
      </text>
    </comment>
    <comment ref="I283" authorId="0">
      <text>
        <r>
          <rPr>
            <sz val="9"/>
            <color indexed="81"/>
            <rFont val="Meiryo UI"/>
            <family val="2"/>
          </rPr>
          <t>https://docs.aws.amazon.com/AmazonRDS/latest/AuroraUserGuide/AuroraMySQL.Reference.ParameterGroups.html
https://dev.mysql.com/doc/refman/8.4/en/server-system-variables.html</t>
        </r>
      </text>
    </comment>
    <comment ref="I284"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85" authorId="0">
      <text>
        <r>
          <rPr>
            <sz val="9"/>
            <color indexed="81"/>
            <rFont val="Meiryo UI"/>
            <family val="2"/>
          </rPr>
          <t>https://docs.aws.amazon.com/AmazonRDS/latest/AuroraUserGuide/aurora-serverless-v2.setting-capacity.html</t>
        </r>
      </text>
    </comment>
    <comment ref="I286" authorId="0">
      <text>
        <r>
          <rPr>
            <sz val="9"/>
            <color indexed="81"/>
            <rFont val="Meiryo UI"/>
            <family val="2"/>
          </rPr>
          <t>https://docs.aws.amazon.com/AmazonRDS/latest/AuroraUserGuide/aurora-serverless-v2.setting-capacity.html</t>
        </r>
      </text>
    </comment>
    <comment ref="I287"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88"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89"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90"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91"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92"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93" authorId="0">
      <text>
        <r>
          <rPr>
            <sz val="9"/>
            <color indexed="81"/>
            <rFont val="Meiryo UI"/>
            <family val="2"/>
          </rPr>
          <t>https://docs.aws.amazon.com/AmazonRDS/latest/AuroraUserGuide/AuroraMySQL.Reference.ParameterGroups.html
https://dev.mysql.com/doc/refman/8.4/en/server-system-variables.html</t>
        </r>
      </text>
    </comment>
    <comment ref="I294" authorId="0">
      <text>
        <r>
          <rPr>
            <sz val="9"/>
            <color indexed="81"/>
            <rFont val="Meiryo UI"/>
            <family val="2"/>
          </rPr>
          <t>https://docs.aws.amazon.com/AmazonRDS/latest/AuroraUserGuide/AuroraMySQL.Reference.ParameterGroups.html
https://dev.mysql.com/doc/refman/8.4/en/server-system-variables.html</t>
        </r>
      </text>
    </comment>
    <comment ref="I295" authorId="0">
      <text>
        <r>
          <rPr>
            <sz val="9"/>
            <color indexed="81"/>
            <rFont val="Meiryo UI"/>
            <family val="2"/>
          </rPr>
          <t>https://docs.aws.amazon.com/AmazonRDS/latest/AuroraUserGuide/AuroraMySQL.Reference.ParameterGroups.html
https://dev.mysql.com/doc/refman/8.4/en/server-system-variables.html</t>
        </r>
      </text>
    </comment>
    <comment ref="I296" authorId="0">
      <text>
        <r>
          <rPr>
            <sz val="9"/>
            <color indexed="81"/>
            <rFont val="Meiryo UI"/>
            <family val="2"/>
          </rPr>
          <t>https://docs.aws.amazon.com/AmazonRDS/latest/AuroraUserGuide/aurora-serverless-v2.setting-capacity.html
https://docs.aws.amazon.com/AmazonRDS/latest/AuroraUserGuide/AuroraMySQL.Managing.Performance.html</t>
        </r>
      </text>
    </comment>
    <comment ref="I297" authorId="0">
      <text>
        <r>
          <rPr>
            <sz val="9"/>
            <color indexed="81"/>
            <rFont val="Meiryo UI"/>
            <family val="2"/>
          </rPr>
          <t>https://docs.aws.amazon.com/AmazonRDS/latest/AuroraUserGuide/AuroraMySQL.Reference.ParameterGroups.html
https://dev.mysql.com/doc/refman/8.4/en/server-system-variables.html</t>
        </r>
      </text>
    </comment>
    <comment ref="I298" authorId="0">
      <text>
        <r>
          <rPr>
            <sz val="9"/>
            <color indexed="81"/>
            <rFont val="Meiryo UI"/>
            <family val="2"/>
          </rPr>
          <t>https://dev.mysql.com/doc/refman/8.4/en/server-system-variables.html</t>
        </r>
      </text>
    </comment>
    <comment ref="I299" authorId="0">
      <text>
        <r>
          <rPr>
            <sz val="9"/>
            <color indexed="81"/>
            <rFont val="Meiryo UI"/>
            <family val="2"/>
          </rPr>
          <t>https://docs.aws.amazon.com/AmazonRDS/latest/AuroraUserGuide/AuroraMySQL.Reference.ParameterGroups.html
https://dev.mysql.com/doc/refman/8.4/en/server-system-variables.html</t>
        </r>
      </text>
    </comment>
    <comment ref="I300" authorId="0">
      <text>
        <r>
          <rPr>
            <sz val="9"/>
            <color indexed="81"/>
            <rFont val="Meiryo UI"/>
            <family val="2"/>
          </rPr>
          <t>https://docs.aws.amazon.com/AmazonRDS/latest/AuroraUserGuide/AuroraMySQL.Reference.ParameterGroups.html
https://dev.mysql.com/doc/refman/8.4/en/server-system-variables.html</t>
        </r>
      </text>
    </comment>
    <comment ref="I301" authorId="0">
      <text>
        <r>
          <rPr>
            <sz val="9"/>
            <color indexed="81"/>
            <rFont val="Meiryo UI"/>
            <family val="2"/>
          </rPr>
          <t>https://docs.aws.amazon.com/AmazonRDS/latest/AuroraUserGuide/AuroraMySQL.Upgrade-v3-v84-security.html
https://docs.aws.amazon.com/AmazonRDS/latest/AuroraUserGuide/AuroraMySQL.Compare-v84-community.html</t>
        </r>
      </text>
    </comment>
    <comment ref="I302" authorId="0">
      <text>
        <r>
          <rPr>
            <sz val="9"/>
            <color indexed="81"/>
            <rFont val="Meiryo UI"/>
            <family val="2"/>
          </rPr>
          <t>https://docs.aws.amazon.com/AmazonRDS/latest/AuroraUserGuide/rds-proxy-connections.html
https://dev.mysql.com/doc/refman/8.4/en/server-system-variables.html</t>
        </r>
      </text>
    </comment>
    <comment ref="I303" authorId="0">
      <text>
        <r>
          <rPr>
            <sz val="9"/>
            <color indexed="81"/>
            <rFont val="Meiryo UI"/>
            <family val="2"/>
          </rPr>
          <t>https://docs.aws.amazon.com/AmazonRDS/latest/AuroraUserGuide/AuroraMySQL.Reference.ParameterGroups.html
https://dev.mysql.com/doc/refman/8.4/en/server-system-variables.html</t>
        </r>
      </text>
    </comment>
    <comment ref="I304" authorId="0">
      <text>
        <r>
          <rPr>
            <sz val="9"/>
            <color indexed="81"/>
            <rFont val="Meiryo UI"/>
            <family val="2"/>
          </rPr>
          <t>https://docs.aws.amazon.com/AmazonRDS/latest/AuroraUserGuide/AuroraMySQL.Reference.ParameterGroups.html
https://dev.mysql.com/doc/refman/8.4/en/server-system-variables.html</t>
        </r>
      </text>
    </comment>
  </commentList>
</comments>
</file>

<file path=xl/comments19.xml><?xml version="1.0" encoding="utf-8"?>
<comments xmlns="http://schemas.openxmlformats.org/spreadsheetml/2006/main">
  <authors>
    <author/>
  </authors>
  <commentList>
    <comment ref="E6" authorId="0">
      <text>
        <r>
          <rPr>
            <sz val="9"/>
            <color indexed="81"/>
            <rFont val="Meiryo UI"/>
            <family val="2"/>
          </rPr>
          <t>https://docs.aws.amazon.com/AmazonRDS/latest/APIReference/API_DescribeDBClusterParameters.html</t>
        </r>
      </text>
    </comment>
    <comment ref="E7" authorId="0">
      <text>
        <r>
          <rPr>
            <sz val="9"/>
            <color indexed="81"/>
            <rFont val="Meiryo UI"/>
            <family val="2"/>
          </rPr>
          <t>https://docs.aws.amazon.com/AmazonRDS/latest/APIReference/API_DescribeDBParameters.html</t>
        </r>
      </text>
    </comment>
    <comment ref="E8" authorId="0">
      <text>
        <r>
          <rPr>
            <sz val="9"/>
            <color indexed="81"/>
            <rFont val="Meiryo UI"/>
            <family val="2"/>
          </rPr>
          <t>https://docs.aws.amazon.com/AmazonRDS/latest/APIReference/API_DescribeDBClusterParameters.html</t>
        </r>
      </text>
    </comment>
    <comment ref="E9" authorId="0">
      <text>
        <r>
          <rPr>
            <sz val="9"/>
            <color indexed="81"/>
            <rFont val="Meiryo UI"/>
            <family val="2"/>
          </rPr>
          <t>https://docs.aws.amazon.com/AmazonRDS/latest/AuroraUserGuide/AuroraMySQL.Reference.ParameterGroups.html</t>
        </r>
      </text>
    </comment>
    <comment ref="E10" authorId="0">
      <text>
        <r>
          <rPr>
            <sz val="9"/>
            <color indexed="81"/>
            <rFont val="Meiryo UI"/>
            <family val="2"/>
          </rPr>
          <t>https://docs.aws.amazon.com/AmazonRDS/latest/APIReference/API_DescribeDBClusterParameters.html
https://docs.aws.amazon.com/AmazonRDS/latest/APIReference/API_DescribeDBParameters.html</t>
        </r>
      </text>
    </comment>
    <comment ref="E11" authorId="0">
      <text>
        <r>
          <rPr>
            <sz val="9"/>
            <color indexed="81"/>
            <rFont val="Meiryo UI"/>
            <family val="2"/>
          </rPr>
          <t>https://docs.aws.amazon.com/AmazonRDS/latest/APIReference/API_DescribeDBClusterParameters.html
https://docs.aws.amazon.com/AmazonRDS/latest/APIReference/API_DescribeDBParameters.html</t>
        </r>
      </text>
    </comment>
    <comment ref="E12" authorId="0">
      <text>
        <r>
          <rPr>
            <sz val="9"/>
            <color indexed="81"/>
            <rFont val="Meiryo UI"/>
            <family val="2"/>
          </rPr>
          <t>https://docs.aws.amazon.com/AmazonRDS/latest/AuroraUserGuide/rds-proxy.html
https://docs.aws.amazon.com/AmazonRDS/latest/AuroraUserGuide/aurora-serverless-v2.setting-capacity.html</t>
        </r>
      </text>
    </comment>
    <comment ref="E14" authorId="0">
      <text>
        <r>
          <rPr>
            <sz val="9"/>
            <color indexed="81"/>
            <rFont val="Meiryo UI"/>
            <family val="2"/>
          </rPr>
          <t>https://dev.mysql.com/doc/refman/8.4/en/server-system-variables.html
https://dev.mysql.com/doc/refman/8.4/en/innodb-parameters.html
https://dev.mysql.com/doc/refman/8.4/en/performance-schema-system-variables.html</t>
        </r>
      </text>
    </comment>
    <comment ref="E15" authorId="0">
      <text>
        <r>
          <rPr>
            <sz val="9"/>
            <color indexed="81"/>
            <rFont val="Meiryo UI"/>
            <family val="2"/>
          </rPr>
          <t>https://docs.aws.amazon.com/AmazonRDS/latest/APIReference/API_DescribeDBClusterParameters.html
https://docs.aws.amazon.com/AmazonRDS/latest/APIReference/API_DescribeDBParameters.html</t>
        </r>
      </text>
    </comment>
  </commentList>
</comments>
</file>

<file path=xl/comments20.xml><?xml version="1.0" encoding="utf-8"?>
<comments xmlns="http://schemas.openxmlformats.org/spreadsheetml/2006/main">
  <authors>
    <author/>
  </authors>
  <commentList>
    <comment ref="E6" authorId="0">
      <text>
        <r>
          <rPr>
            <sz val="9"/>
            <color indexed="81"/>
            <rFont val="Meiryo UI"/>
            <family val="2"/>
          </rPr>
          <t>https://docs.aws.amazon.com/AmazonRDS/latest/APIReference/API_DescribeDBClusterParameters.html</t>
        </r>
      </text>
    </comment>
    <comment ref="E7" authorId="0">
      <text>
        <r>
          <rPr>
            <sz val="9"/>
            <color indexed="81"/>
            <rFont val="Meiryo UI"/>
            <family val="2"/>
          </rPr>
          <t>https://docs.aws.amazon.com/AmazonRDS/latest/APIReference/API_DescribeDBClusterParameters.html</t>
        </r>
      </text>
    </comment>
    <comment ref="E8" authorId="0">
      <text>
        <r>
          <rPr>
            <sz val="9"/>
            <color indexed="81"/>
            <rFont val="Meiryo UI"/>
            <family val="2"/>
          </rPr>
          <t>https://docs.aws.amazon.com/AmazonRDS/latest/APIReference/API_DescribeDBClusterParameters.html</t>
        </r>
      </text>
    </comment>
    <comment ref="E9" authorId="0">
      <text>
        <r>
          <rPr>
            <sz val="9"/>
            <color indexed="81"/>
            <rFont val="Meiryo UI"/>
            <family val="2"/>
          </rPr>
          <t>https://docs.aws.amazon.com/AmazonRDS/latest/APIReference/API_DescribeDBClusterParameters.html</t>
        </r>
      </text>
    </comment>
    <comment ref="E10" authorId="0">
      <text>
        <r>
          <rPr>
            <sz val="9"/>
            <color indexed="81"/>
            <rFont val="Meiryo UI"/>
            <family val="2"/>
          </rPr>
          <t>https://docs.aws.amazon.com/AmazonRDS/latest/APIReference/API_DescribeDBClusterParameters.html</t>
        </r>
      </text>
    </comment>
    <comment ref="E11" authorId="0">
      <text>
        <r>
          <rPr>
            <sz val="9"/>
            <color indexed="81"/>
            <rFont val="Meiryo UI"/>
            <family val="2"/>
          </rPr>
          <t>https://docs.aws.amazon.com/AmazonRDS/latest/APIReference/API_DescribeDBClusterParameters.html</t>
        </r>
      </text>
    </comment>
    <comment ref="E12" authorId="0">
      <text>
        <r>
          <rPr>
            <sz val="9"/>
            <color indexed="81"/>
            <rFont val="Meiryo UI"/>
            <family val="2"/>
          </rPr>
          <t>https://docs.aws.amazon.com/AmazonRDS/latest/APIReference/API_DescribeDBClusterParameters.html</t>
        </r>
      </text>
    </comment>
    <comment ref="E13" authorId="0">
      <text>
        <r>
          <rPr>
            <sz val="9"/>
            <color indexed="81"/>
            <rFont val="Meiryo UI"/>
            <family val="2"/>
          </rPr>
          <t>https://docs.aws.amazon.com/AmazonRDS/latest/APIReference/API_DescribeDBClusterParameters.html</t>
        </r>
      </text>
    </comment>
    <comment ref="E14" authorId="0">
      <text>
        <r>
          <rPr>
            <sz val="9"/>
            <color indexed="81"/>
            <rFont val="Meiryo UI"/>
            <family val="2"/>
          </rPr>
          <t>https://docs.aws.amazon.com/AmazonRDS/latest/APIReference/API_DescribeDBClusterParameters.html</t>
        </r>
      </text>
    </comment>
    <comment ref="E15" authorId="0">
      <text>
        <r>
          <rPr>
            <sz val="9"/>
            <color indexed="81"/>
            <rFont val="Meiryo UI"/>
            <family val="2"/>
          </rPr>
          <t>https://docs.aws.amazon.com/AmazonRDS/latest/APIReference/API_DescribeDBClusterParameters.html</t>
        </r>
      </text>
    </comment>
    <comment ref="E16" authorId="0">
      <text>
        <r>
          <rPr>
            <sz val="9"/>
            <color indexed="81"/>
            <rFont val="Meiryo UI"/>
            <family val="2"/>
          </rPr>
          <t>https://docs.aws.amazon.com/AmazonRDS/latest/APIReference/API_DescribeDBClusterParameters.html</t>
        </r>
      </text>
    </comment>
    <comment ref="E17" authorId="0">
      <text>
        <r>
          <rPr>
            <sz val="9"/>
            <color indexed="81"/>
            <rFont val="Meiryo UI"/>
            <family val="2"/>
          </rPr>
          <t>https://docs.aws.amazon.com/AmazonRDS/latest/APIReference/API_DescribeDBClusterParameters.html</t>
        </r>
      </text>
    </comment>
    <comment ref="E18" authorId="0">
      <text>
        <r>
          <rPr>
            <sz val="9"/>
            <color indexed="81"/>
            <rFont val="Meiryo UI"/>
            <family val="2"/>
          </rPr>
          <t>https://docs.aws.amazon.com/AmazonRDS/latest/APIReference/API_DescribeDBClusterParameters.html</t>
        </r>
      </text>
    </comment>
    <comment ref="E19" authorId="0">
      <text>
        <r>
          <rPr>
            <sz val="9"/>
            <color indexed="81"/>
            <rFont val="Meiryo UI"/>
            <family val="2"/>
          </rPr>
          <t>https://docs.aws.amazon.com/AmazonRDS/latest/APIReference/API_DescribeDBClusterParameters.html</t>
        </r>
      </text>
    </comment>
    <comment ref="E20" authorId="0">
      <text>
        <r>
          <rPr>
            <sz val="9"/>
            <color indexed="81"/>
            <rFont val="Meiryo UI"/>
            <family val="2"/>
          </rPr>
          <t>https://docs.aws.amazon.com/AmazonRDS/latest/APIReference/API_DescribeDBClusterParameters.html</t>
        </r>
      </text>
    </comment>
    <comment ref="E21" authorId="0">
      <text>
        <r>
          <rPr>
            <sz val="9"/>
            <color indexed="81"/>
            <rFont val="Meiryo UI"/>
            <family val="2"/>
          </rPr>
          <t>https://docs.aws.amazon.com/AmazonRDS/latest/APIReference/API_DescribeDBClusterParameters.html</t>
        </r>
      </text>
    </comment>
    <comment ref="E22" authorId="0">
      <text>
        <r>
          <rPr>
            <sz val="9"/>
            <color indexed="81"/>
            <rFont val="Meiryo UI"/>
            <family val="2"/>
          </rPr>
          <t>https://docs.aws.amazon.com/AmazonRDS/latest/APIReference/API_DescribeDBClusterParameters.html</t>
        </r>
      </text>
    </comment>
    <comment ref="E23" authorId="0">
      <text>
        <r>
          <rPr>
            <sz val="9"/>
            <color indexed="81"/>
            <rFont val="Meiryo UI"/>
            <family val="2"/>
          </rPr>
          <t>https://docs.aws.amazon.com/AmazonRDS/latest/APIReference/API_DescribeDBClusterParameters.html</t>
        </r>
      </text>
    </comment>
    <comment ref="E24" authorId="0">
      <text>
        <r>
          <rPr>
            <sz val="9"/>
            <color indexed="81"/>
            <rFont val="Meiryo UI"/>
            <family val="2"/>
          </rPr>
          <t>https://docs.aws.amazon.com/AmazonRDS/latest/APIReference/API_DescribeDBClusterParameters.html</t>
        </r>
      </text>
    </comment>
    <comment ref="E25" authorId="0">
      <text>
        <r>
          <rPr>
            <sz val="9"/>
            <color indexed="81"/>
            <rFont val="Meiryo UI"/>
            <family val="2"/>
          </rPr>
          <t>https://docs.aws.amazon.com/AmazonRDS/latest/APIReference/API_DescribeDBClusterParameters.html</t>
        </r>
      </text>
    </comment>
    <comment ref="E26" authorId="0">
      <text>
        <r>
          <rPr>
            <sz val="9"/>
            <color indexed="81"/>
            <rFont val="Meiryo UI"/>
            <family val="2"/>
          </rPr>
          <t>https://docs.aws.amazon.com/AmazonRDS/latest/APIReference/API_DescribeDBClusterParameters.html</t>
        </r>
      </text>
    </comment>
    <comment ref="E27" authorId="0">
      <text>
        <r>
          <rPr>
            <sz val="9"/>
            <color indexed="81"/>
            <rFont val="Meiryo UI"/>
            <family val="2"/>
          </rPr>
          <t>https://docs.aws.amazon.com/AmazonRDS/latest/APIReference/API_DescribeDBClusterParameters.html</t>
        </r>
      </text>
    </comment>
    <comment ref="E28" authorId="0">
      <text>
        <r>
          <rPr>
            <sz val="9"/>
            <color indexed="81"/>
            <rFont val="Meiryo UI"/>
            <family val="2"/>
          </rPr>
          <t>https://docs.aws.amazon.com/AmazonRDS/latest/APIReference/API_DescribeDBClusterParameters.html</t>
        </r>
      </text>
    </comment>
    <comment ref="E29" authorId="0">
      <text>
        <r>
          <rPr>
            <sz val="9"/>
            <color indexed="81"/>
            <rFont val="Meiryo UI"/>
            <family val="2"/>
          </rPr>
          <t>https://docs.aws.amazon.com/AmazonRDS/latest/APIReference/API_DescribeDBClusterParameters.html</t>
        </r>
      </text>
    </comment>
    <comment ref="E30" authorId="0">
      <text>
        <r>
          <rPr>
            <sz val="9"/>
            <color indexed="81"/>
            <rFont val="Meiryo UI"/>
            <family val="2"/>
          </rPr>
          <t>https://docs.aws.amazon.com/AmazonRDS/latest/APIReference/API_DescribeDBClusterParameters.html</t>
        </r>
      </text>
    </comment>
    <comment ref="E31" authorId="0">
      <text>
        <r>
          <rPr>
            <sz val="9"/>
            <color indexed="81"/>
            <rFont val="Meiryo UI"/>
            <family val="2"/>
          </rPr>
          <t>https://docs.aws.amazon.com/AmazonRDS/latest/APIReference/API_DescribeDBClusterParameters.html</t>
        </r>
      </text>
    </comment>
    <comment ref="E32" authorId="0">
      <text>
        <r>
          <rPr>
            <sz val="9"/>
            <color indexed="81"/>
            <rFont val="Meiryo UI"/>
            <family val="2"/>
          </rPr>
          <t>https://docs.aws.amazon.com/AmazonRDS/latest/APIReference/API_DescribeDBClusterParameters.html</t>
        </r>
      </text>
    </comment>
    <comment ref="E33" authorId="0">
      <text>
        <r>
          <rPr>
            <sz val="9"/>
            <color indexed="81"/>
            <rFont val="Meiryo UI"/>
            <family val="2"/>
          </rPr>
          <t>https://docs.aws.amazon.com/AmazonRDS/latest/APIReference/API_DescribeDBClusterParameters.html</t>
        </r>
      </text>
    </comment>
    <comment ref="E34" authorId="0">
      <text>
        <r>
          <rPr>
            <sz val="9"/>
            <color indexed="81"/>
            <rFont val="Meiryo UI"/>
            <family val="2"/>
          </rPr>
          <t>https://docs.aws.amazon.com/AmazonRDS/latest/APIReference/API_DescribeDBClusterParameters.html</t>
        </r>
      </text>
    </comment>
    <comment ref="E35" authorId="0">
      <text>
        <r>
          <rPr>
            <sz val="9"/>
            <color indexed="81"/>
            <rFont val="Meiryo UI"/>
            <family val="2"/>
          </rPr>
          <t>https://docs.aws.amazon.com/AmazonRDS/latest/APIReference/API_DescribeDBClusterParameters.html</t>
        </r>
      </text>
    </comment>
    <comment ref="E36" authorId="0">
      <text>
        <r>
          <rPr>
            <sz val="9"/>
            <color indexed="81"/>
            <rFont val="Meiryo UI"/>
            <family val="2"/>
          </rPr>
          <t>https://docs.aws.amazon.com/AmazonRDS/latest/APIReference/API_DescribeDBClusterParameters.html</t>
        </r>
      </text>
    </comment>
    <comment ref="E37" authorId="0">
      <text>
        <r>
          <rPr>
            <sz val="9"/>
            <color indexed="81"/>
            <rFont val="Meiryo UI"/>
            <family val="2"/>
          </rPr>
          <t>https://docs.aws.amazon.com/AmazonRDS/latest/APIReference/API_DescribeDBClusterParameters.html</t>
        </r>
      </text>
    </comment>
    <comment ref="E38" authorId="0">
      <text>
        <r>
          <rPr>
            <sz val="9"/>
            <color indexed="81"/>
            <rFont val="Meiryo UI"/>
            <family val="2"/>
          </rPr>
          <t>https://docs.aws.amazon.com/AmazonRDS/latest/APIReference/API_DescribeDBClusterParameters.html</t>
        </r>
      </text>
    </comment>
    <comment ref="E39" authorId="0">
      <text>
        <r>
          <rPr>
            <sz val="9"/>
            <color indexed="81"/>
            <rFont val="Meiryo UI"/>
            <family val="2"/>
          </rPr>
          <t>https://docs.aws.amazon.com/AmazonRDS/latest/APIReference/API_DescribeDBClusterParameters.html</t>
        </r>
      </text>
    </comment>
    <comment ref="E40" authorId="0">
      <text>
        <r>
          <rPr>
            <sz val="9"/>
            <color indexed="81"/>
            <rFont val="Meiryo UI"/>
            <family val="2"/>
          </rPr>
          <t>https://docs.aws.amazon.com/AmazonRDS/latest/APIReference/API_DescribeDBClusterParameters.html</t>
        </r>
      </text>
    </comment>
    <comment ref="E41" authorId="0">
      <text>
        <r>
          <rPr>
            <sz val="9"/>
            <color indexed="81"/>
            <rFont val="Meiryo UI"/>
            <family val="2"/>
          </rPr>
          <t>https://docs.aws.amazon.com/AmazonRDS/latest/APIReference/API_DescribeDBClusterParameters.html</t>
        </r>
      </text>
    </comment>
    <comment ref="E42" authorId="0">
      <text>
        <r>
          <rPr>
            <sz val="9"/>
            <color indexed="81"/>
            <rFont val="Meiryo UI"/>
            <family val="2"/>
          </rPr>
          <t>https://docs.aws.amazon.com/AmazonRDS/latest/APIReference/API_DescribeDBClusterParameters.html</t>
        </r>
      </text>
    </comment>
    <comment ref="E43" authorId="0">
      <text>
        <r>
          <rPr>
            <sz val="9"/>
            <color indexed="81"/>
            <rFont val="Meiryo UI"/>
            <family val="2"/>
          </rPr>
          <t>https://docs.aws.amazon.com/AmazonRDS/latest/APIReference/API_DescribeDBClusterParameters.html</t>
        </r>
      </text>
    </comment>
    <comment ref="E44" authorId="0">
      <text>
        <r>
          <rPr>
            <sz val="9"/>
            <color indexed="81"/>
            <rFont val="Meiryo UI"/>
            <family val="2"/>
          </rPr>
          <t>https://docs.aws.amazon.com/AmazonRDS/latest/APIReference/API_DescribeDBClusterParameters.html</t>
        </r>
      </text>
    </comment>
    <comment ref="E45" authorId="0">
      <text>
        <r>
          <rPr>
            <sz val="9"/>
            <color indexed="81"/>
            <rFont val="Meiryo UI"/>
            <family val="2"/>
          </rPr>
          <t>https://docs.aws.amazon.com/AmazonRDS/latest/APIReference/API_DescribeDBClusterParameters.html</t>
        </r>
      </text>
    </comment>
    <comment ref="E46" authorId="0">
      <text>
        <r>
          <rPr>
            <sz val="9"/>
            <color indexed="81"/>
            <rFont val="Meiryo UI"/>
            <family val="2"/>
          </rPr>
          <t>https://docs.aws.amazon.com/AmazonRDS/latest/APIReference/API_DescribeDBClusterParameters.html</t>
        </r>
      </text>
    </comment>
    <comment ref="E47" authorId="0">
      <text>
        <r>
          <rPr>
            <sz val="9"/>
            <color indexed="81"/>
            <rFont val="Meiryo UI"/>
            <family val="2"/>
          </rPr>
          <t>https://docs.aws.amazon.com/AmazonRDS/latest/APIReference/API_DescribeDBClusterParameters.html</t>
        </r>
      </text>
    </comment>
    <comment ref="E48" authorId="0">
      <text>
        <r>
          <rPr>
            <sz val="9"/>
            <color indexed="81"/>
            <rFont val="Meiryo UI"/>
            <family val="2"/>
          </rPr>
          <t>https://docs.aws.amazon.com/AmazonRDS/latest/APIReference/API_DescribeDBClusterParameters.html</t>
        </r>
      </text>
    </comment>
    <comment ref="E49" authorId="0">
      <text>
        <r>
          <rPr>
            <sz val="9"/>
            <color indexed="81"/>
            <rFont val="Meiryo UI"/>
            <family val="2"/>
          </rPr>
          <t>https://docs.aws.amazon.com/AmazonRDS/latest/APIReference/API_DescribeDBClusterParameters.html</t>
        </r>
      </text>
    </comment>
    <comment ref="E50" authorId="0">
      <text>
        <r>
          <rPr>
            <sz val="9"/>
            <color indexed="81"/>
            <rFont val="Meiryo UI"/>
            <family val="2"/>
          </rPr>
          <t>https://docs.aws.amazon.com/AmazonRDS/latest/APIReference/API_DescribeDBClusterParameters.html</t>
        </r>
      </text>
    </comment>
    <comment ref="E51" authorId="0">
      <text>
        <r>
          <rPr>
            <sz val="9"/>
            <color indexed="81"/>
            <rFont val="Meiryo UI"/>
            <family val="2"/>
          </rPr>
          <t>https://docs.aws.amazon.com/AmazonRDS/latest/APIReference/API_DescribeDBClusterParameters.html</t>
        </r>
      </text>
    </comment>
    <comment ref="E52" authorId="0">
      <text>
        <r>
          <rPr>
            <sz val="9"/>
            <color indexed="81"/>
            <rFont val="Meiryo UI"/>
            <family val="2"/>
          </rPr>
          <t>https://docs.aws.amazon.com/AmazonRDS/latest/APIReference/API_DescribeDBClusterParameters.html</t>
        </r>
      </text>
    </comment>
    <comment ref="E53" authorId="0">
      <text>
        <r>
          <rPr>
            <sz val="9"/>
            <color indexed="81"/>
            <rFont val="Meiryo UI"/>
            <family val="2"/>
          </rPr>
          <t>https://docs.aws.amazon.com/AmazonRDS/latest/APIReference/API_DescribeDBClusterParameters.html</t>
        </r>
      </text>
    </comment>
    <comment ref="E54" authorId="0">
      <text>
        <r>
          <rPr>
            <sz val="9"/>
            <color indexed="81"/>
            <rFont val="Meiryo UI"/>
            <family val="2"/>
          </rPr>
          <t>https://docs.aws.amazon.com/AmazonRDS/latest/APIReference/API_DescribeDBClusterParameters.html</t>
        </r>
      </text>
    </comment>
    <comment ref="E55" authorId="0">
      <text>
        <r>
          <rPr>
            <sz val="9"/>
            <color indexed="81"/>
            <rFont val="Meiryo UI"/>
            <family val="2"/>
          </rPr>
          <t>https://docs.aws.amazon.com/AmazonRDS/latest/APIReference/API_DescribeDBClusterParameters.html</t>
        </r>
      </text>
    </comment>
    <comment ref="E56" authorId="0">
      <text>
        <r>
          <rPr>
            <sz val="9"/>
            <color indexed="81"/>
            <rFont val="Meiryo UI"/>
            <family val="2"/>
          </rPr>
          <t>https://docs.aws.amazon.com/AmazonRDS/latest/APIReference/API_DescribeDBClusterParameters.html</t>
        </r>
      </text>
    </comment>
    <comment ref="E57" authorId="0">
      <text>
        <r>
          <rPr>
            <sz val="9"/>
            <color indexed="81"/>
            <rFont val="Meiryo UI"/>
            <family val="2"/>
          </rPr>
          <t>https://docs.aws.amazon.com/AmazonRDS/latest/APIReference/API_DescribeDBClusterParameters.html</t>
        </r>
      </text>
    </comment>
    <comment ref="E58" authorId="0">
      <text>
        <r>
          <rPr>
            <sz val="9"/>
            <color indexed="81"/>
            <rFont val="Meiryo UI"/>
            <family val="2"/>
          </rPr>
          <t>https://docs.aws.amazon.com/AmazonRDS/latest/APIReference/API_DescribeDBClusterParameters.html</t>
        </r>
      </text>
    </comment>
    <comment ref="E59" authorId="0">
      <text>
        <r>
          <rPr>
            <sz val="9"/>
            <color indexed="81"/>
            <rFont val="Meiryo UI"/>
            <family val="2"/>
          </rPr>
          <t>https://docs.aws.amazon.com/AmazonRDS/latest/APIReference/API_DescribeDBClusterParameters.html</t>
        </r>
      </text>
    </comment>
    <comment ref="E60" authorId="0">
      <text>
        <r>
          <rPr>
            <sz val="9"/>
            <color indexed="81"/>
            <rFont val="Meiryo UI"/>
            <family val="2"/>
          </rPr>
          <t>https://docs.aws.amazon.com/AmazonRDS/latest/APIReference/API_DescribeDBClusterParameters.html</t>
        </r>
      </text>
    </comment>
    <comment ref="E61" authorId="0">
      <text>
        <r>
          <rPr>
            <sz val="9"/>
            <color indexed="81"/>
            <rFont val="Meiryo UI"/>
            <family val="2"/>
          </rPr>
          <t>https://docs.aws.amazon.com/AmazonRDS/latest/APIReference/API_DescribeDBClusterParameters.html</t>
        </r>
      </text>
    </comment>
    <comment ref="E62" authorId="0">
      <text>
        <r>
          <rPr>
            <sz val="9"/>
            <color indexed="81"/>
            <rFont val="Meiryo UI"/>
            <family val="2"/>
          </rPr>
          <t>https://docs.aws.amazon.com/AmazonRDS/latest/APIReference/API_DescribeDBClusterParameters.html</t>
        </r>
      </text>
    </comment>
    <comment ref="E63" authorId="0">
      <text>
        <r>
          <rPr>
            <sz val="9"/>
            <color indexed="81"/>
            <rFont val="Meiryo UI"/>
            <family val="2"/>
          </rPr>
          <t>https://docs.aws.amazon.com/AmazonRDS/latest/APIReference/API_DescribeDBClusterParameters.html</t>
        </r>
      </text>
    </comment>
    <comment ref="E64" authorId="0">
      <text>
        <r>
          <rPr>
            <sz val="9"/>
            <color indexed="81"/>
            <rFont val="Meiryo UI"/>
            <family val="2"/>
          </rPr>
          <t>https://docs.aws.amazon.com/AmazonRDS/latest/APIReference/API_DescribeDBClusterParameters.html</t>
        </r>
      </text>
    </comment>
    <comment ref="E65" authorId="0">
      <text>
        <r>
          <rPr>
            <sz val="9"/>
            <color indexed="81"/>
            <rFont val="Meiryo UI"/>
            <family val="2"/>
          </rPr>
          <t>https://docs.aws.amazon.com/AmazonRDS/latest/APIReference/API_DescribeDBClusterParameters.html</t>
        </r>
      </text>
    </comment>
    <comment ref="E66" authorId="0">
      <text>
        <r>
          <rPr>
            <sz val="9"/>
            <color indexed="81"/>
            <rFont val="Meiryo UI"/>
            <family val="2"/>
          </rPr>
          <t>https://docs.aws.amazon.com/AmazonRDS/latest/APIReference/API_DescribeDBClusterParameters.html</t>
        </r>
      </text>
    </comment>
    <comment ref="E67" authorId="0">
      <text>
        <r>
          <rPr>
            <sz val="9"/>
            <color indexed="81"/>
            <rFont val="Meiryo UI"/>
            <family val="2"/>
          </rPr>
          <t>https://docs.aws.amazon.com/AmazonRDS/latest/APIReference/API_DescribeDBClusterParameters.html</t>
        </r>
      </text>
    </comment>
    <comment ref="E68" authorId="0">
      <text>
        <r>
          <rPr>
            <sz val="9"/>
            <color indexed="81"/>
            <rFont val="Meiryo UI"/>
            <family val="2"/>
          </rPr>
          <t>https://docs.aws.amazon.com/AmazonRDS/latest/APIReference/API_DescribeDBClusterParameters.html</t>
        </r>
      </text>
    </comment>
    <comment ref="E69" authorId="0">
      <text>
        <r>
          <rPr>
            <sz val="9"/>
            <color indexed="81"/>
            <rFont val="Meiryo UI"/>
            <family val="2"/>
          </rPr>
          <t>https://docs.aws.amazon.com/AmazonRDS/latest/APIReference/API_DescribeDBClusterParameters.html</t>
        </r>
      </text>
    </comment>
    <comment ref="E70" authorId="0">
      <text>
        <r>
          <rPr>
            <sz val="9"/>
            <color indexed="81"/>
            <rFont val="Meiryo UI"/>
            <family val="2"/>
          </rPr>
          <t>https://docs.aws.amazon.com/AmazonRDS/latest/APIReference/API_DescribeDBClusterParameters.html</t>
        </r>
      </text>
    </comment>
    <comment ref="E71" authorId="0">
      <text>
        <r>
          <rPr>
            <sz val="9"/>
            <color indexed="81"/>
            <rFont val="Meiryo UI"/>
            <family val="2"/>
          </rPr>
          <t>https://docs.aws.amazon.com/AmazonRDS/latest/APIReference/API_DescribeDBClusterParameters.html</t>
        </r>
      </text>
    </comment>
    <comment ref="E72" authorId="0">
      <text>
        <r>
          <rPr>
            <sz val="9"/>
            <color indexed="81"/>
            <rFont val="Meiryo UI"/>
            <family val="2"/>
          </rPr>
          <t>https://docs.aws.amazon.com/AmazonRDS/latest/APIReference/API_DescribeDBClusterParameters.html</t>
        </r>
      </text>
    </comment>
    <comment ref="E73" authorId="0">
      <text>
        <r>
          <rPr>
            <sz val="9"/>
            <color indexed="81"/>
            <rFont val="Meiryo UI"/>
            <family val="2"/>
          </rPr>
          <t>https://docs.aws.amazon.com/AmazonRDS/latest/APIReference/API_DescribeDBClusterParameters.html</t>
        </r>
      </text>
    </comment>
    <comment ref="E74" authorId="0">
      <text>
        <r>
          <rPr>
            <sz val="9"/>
            <color indexed="81"/>
            <rFont val="Meiryo UI"/>
            <family val="2"/>
          </rPr>
          <t>https://docs.aws.amazon.com/AmazonRDS/latest/APIReference/API_DescribeDBClusterParameters.html</t>
        </r>
      </text>
    </comment>
    <comment ref="E75" authorId="0">
      <text>
        <r>
          <rPr>
            <sz val="9"/>
            <color indexed="81"/>
            <rFont val="Meiryo UI"/>
            <family val="2"/>
          </rPr>
          <t>https://docs.aws.amazon.com/AmazonRDS/latest/APIReference/API_DescribeDBClusterParameters.html</t>
        </r>
      </text>
    </comment>
    <comment ref="E76" authorId="0">
      <text>
        <r>
          <rPr>
            <sz val="9"/>
            <color indexed="81"/>
            <rFont val="Meiryo UI"/>
            <family val="2"/>
          </rPr>
          <t>https://docs.aws.amazon.com/AmazonRDS/latest/APIReference/API_DescribeDBClusterParameters.html</t>
        </r>
      </text>
    </comment>
    <comment ref="E77" authorId="0">
      <text>
        <r>
          <rPr>
            <sz val="9"/>
            <color indexed="81"/>
            <rFont val="Meiryo UI"/>
            <family val="2"/>
          </rPr>
          <t>https://docs.aws.amazon.com/AmazonRDS/latest/APIReference/API_DescribeDBClusterParameters.html</t>
        </r>
      </text>
    </comment>
    <comment ref="E78" authorId="0">
      <text>
        <r>
          <rPr>
            <sz val="9"/>
            <color indexed="81"/>
            <rFont val="Meiryo UI"/>
            <family val="2"/>
          </rPr>
          <t>https://docs.aws.amazon.com/AmazonRDS/latest/APIReference/API_DescribeDBClusterParameters.html</t>
        </r>
      </text>
    </comment>
    <comment ref="E79" authorId="0">
      <text>
        <r>
          <rPr>
            <sz val="9"/>
            <color indexed="81"/>
            <rFont val="Meiryo UI"/>
            <family val="2"/>
          </rPr>
          <t>https://docs.aws.amazon.com/AmazonRDS/latest/APIReference/API_DescribeDBClusterParameters.html</t>
        </r>
      </text>
    </comment>
    <comment ref="E80" authorId="0">
      <text>
        <r>
          <rPr>
            <sz val="9"/>
            <color indexed="81"/>
            <rFont val="Meiryo UI"/>
            <family val="2"/>
          </rPr>
          <t>https://docs.aws.amazon.com/AmazonRDS/latest/APIReference/API_DescribeDBClusterParameters.html</t>
        </r>
      </text>
    </comment>
    <comment ref="E81" authorId="0">
      <text>
        <r>
          <rPr>
            <sz val="9"/>
            <color indexed="81"/>
            <rFont val="Meiryo UI"/>
            <family val="2"/>
          </rPr>
          <t>https://docs.aws.amazon.com/AmazonRDS/latest/APIReference/API_DescribeDBClusterParameters.html</t>
        </r>
      </text>
    </comment>
    <comment ref="E82" authorId="0">
      <text>
        <r>
          <rPr>
            <sz val="9"/>
            <color indexed="81"/>
            <rFont val="Meiryo UI"/>
            <family val="2"/>
          </rPr>
          <t>https://docs.aws.amazon.com/AmazonRDS/latest/APIReference/API_DescribeDBClusterParameters.html</t>
        </r>
      </text>
    </comment>
    <comment ref="E83" authorId="0">
      <text>
        <r>
          <rPr>
            <sz val="9"/>
            <color indexed="81"/>
            <rFont val="Meiryo UI"/>
            <family val="2"/>
          </rPr>
          <t>https://docs.aws.amazon.com/AmazonRDS/latest/APIReference/API_DescribeDBClusterParameters.html</t>
        </r>
      </text>
    </comment>
    <comment ref="E84" authorId="0">
      <text>
        <r>
          <rPr>
            <sz val="9"/>
            <color indexed="81"/>
            <rFont val="Meiryo UI"/>
            <family val="2"/>
          </rPr>
          <t>https://docs.aws.amazon.com/AmazonRDS/latest/APIReference/API_DescribeDBClusterParameters.html</t>
        </r>
      </text>
    </comment>
    <comment ref="E85" authorId="0">
      <text>
        <r>
          <rPr>
            <sz val="9"/>
            <color indexed="81"/>
            <rFont val="Meiryo UI"/>
            <family val="2"/>
          </rPr>
          <t>https://docs.aws.amazon.com/AmazonRDS/latest/APIReference/API_DescribeDBClusterParameters.html</t>
        </r>
      </text>
    </comment>
    <comment ref="E86" authorId="0">
      <text>
        <r>
          <rPr>
            <sz val="9"/>
            <color indexed="81"/>
            <rFont val="Meiryo UI"/>
            <family val="2"/>
          </rPr>
          <t>https://docs.aws.amazon.com/AmazonRDS/latest/APIReference/API_DescribeDBClusterParameters.html</t>
        </r>
      </text>
    </comment>
    <comment ref="E87" authorId="0">
      <text>
        <r>
          <rPr>
            <sz val="9"/>
            <color indexed="81"/>
            <rFont val="Meiryo UI"/>
            <family val="2"/>
          </rPr>
          <t>https://docs.aws.amazon.com/AmazonRDS/latest/APIReference/API_DescribeDBClusterParameters.html</t>
        </r>
      </text>
    </comment>
    <comment ref="E88" authorId="0">
      <text>
        <r>
          <rPr>
            <sz val="9"/>
            <color indexed="81"/>
            <rFont val="Meiryo UI"/>
            <family val="2"/>
          </rPr>
          <t>https://docs.aws.amazon.com/AmazonRDS/latest/APIReference/API_DescribeDBClusterParameters.html</t>
        </r>
      </text>
    </comment>
    <comment ref="E89" authorId="0">
      <text>
        <r>
          <rPr>
            <sz val="9"/>
            <color indexed="81"/>
            <rFont val="Meiryo UI"/>
            <family val="2"/>
          </rPr>
          <t>https://docs.aws.amazon.com/AmazonRDS/latest/APIReference/API_DescribeDBClusterParameters.html</t>
        </r>
      </text>
    </comment>
    <comment ref="E90" authorId="0">
      <text>
        <r>
          <rPr>
            <sz val="9"/>
            <color indexed="81"/>
            <rFont val="Meiryo UI"/>
            <family val="2"/>
          </rPr>
          <t>https://docs.aws.amazon.com/AmazonRDS/latest/APIReference/API_DescribeDBClusterParameters.html</t>
        </r>
      </text>
    </comment>
    <comment ref="E91" authorId="0">
      <text>
        <r>
          <rPr>
            <sz val="9"/>
            <color indexed="81"/>
            <rFont val="Meiryo UI"/>
            <family val="2"/>
          </rPr>
          <t>https://docs.aws.amazon.com/AmazonRDS/latest/APIReference/API_DescribeDBClusterParameters.html</t>
        </r>
      </text>
    </comment>
    <comment ref="E92" authorId="0">
      <text>
        <r>
          <rPr>
            <sz val="9"/>
            <color indexed="81"/>
            <rFont val="Meiryo UI"/>
            <family val="2"/>
          </rPr>
          <t>https://docs.aws.amazon.com/AmazonRDS/latest/APIReference/API_DescribeDBClusterParameters.html</t>
        </r>
      </text>
    </comment>
    <comment ref="E93" authorId="0">
      <text>
        <r>
          <rPr>
            <sz val="9"/>
            <color indexed="81"/>
            <rFont val="Meiryo UI"/>
            <family val="2"/>
          </rPr>
          <t>https://docs.aws.amazon.com/AmazonRDS/latest/APIReference/API_DescribeDBClusterParameters.html</t>
        </r>
      </text>
    </comment>
    <comment ref="E94" authorId="0">
      <text>
        <r>
          <rPr>
            <sz val="9"/>
            <color indexed="81"/>
            <rFont val="Meiryo UI"/>
            <family val="2"/>
          </rPr>
          <t>https://docs.aws.amazon.com/AmazonRDS/latest/APIReference/API_DescribeDBClusterParameters.html</t>
        </r>
      </text>
    </comment>
    <comment ref="E95" authorId="0">
      <text>
        <r>
          <rPr>
            <sz val="9"/>
            <color indexed="81"/>
            <rFont val="Meiryo UI"/>
            <family val="2"/>
          </rPr>
          <t>https://docs.aws.amazon.com/AmazonRDS/latest/APIReference/API_DescribeDBClusterParameters.html</t>
        </r>
      </text>
    </comment>
    <comment ref="E96" authorId="0">
      <text>
        <r>
          <rPr>
            <sz val="9"/>
            <color indexed="81"/>
            <rFont val="Meiryo UI"/>
            <family val="2"/>
          </rPr>
          <t>https://docs.aws.amazon.com/AmazonRDS/latest/APIReference/API_DescribeDBClusterParameters.html</t>
        </r>
      </text>
    </comment>
    <comment ref="E97" authorId="0">
      <text>
        <r>
          <rPr>
            <sz val="9"/>
            <color indexed="81"/>
            <rFont val="Meiryo UI"/>
            <family val="2"/>
          </rPr>
          <t>https://docs.aws.amazon.com/AmazonRDS/latest/APIReference/API_DescribeDBClusterParameters.html</t>
        </r>
      </text>
    </comment>
    <comment ref="E98" authorId="0">
      <text>
        <r>
          <rPr>
            <sz val="9"/>
            <color indexed="81"/>
            <rFont val="Meiryo UI"/>
            <family val="2"/>
          </rPr>
          <t>https://docs.aws.amazon.com/AmazonRDS/latest/APIReference/API_DescribeDBClusterParameters.html</t>
        </r>
      </text>
    </comment>
    <comment ref="E99" authorId="0">
      <text>
        <r>
          <rPr>
            <sz val="9"/>
            <color indexed="81"/>
            <rFont val="Meiryo UI"/>
            <family val="2"/>
          </rPr>
          <t>https://docs.aws.amazon.com/AmazonRDS/latest/APIReference/API_DescribeDBClusterParameters.html</t>
        </r>
      </text>
    </comment>
    <comment ref="E100" authorId="0">
      <text>
        <r>
          <rPr>
            <sz val="9"/>
            <color indexed="81"/>
            <rFont val="Meiryo UI"/>
            <family val="2"/>
          </rPr>
          <t>https://docs.aws.amazon.com/AmazonRDS/latest/APIReference/API_DescribeDBClusterParameters.html</t>
        </r>
      </text>
    </comment>
    <comment ref="E101" authorId="0">
      <text>
        <r>
          <rPr>
            <sz val="9"/>
            <color indexed="81"/>
            <rFont val="Meiryo UI"/>
            <family val="2"/>
          </rPr>
          <t>https://docs.aws.amazon.com/AmazonRDS/latest/APIReference/API_DescribeDBClusterParameters.html</t>
        </r>
      </text>
    </comment>
    <comment ref="E102" authorId="0">
      <text>
        <r>
          <rPr>
            <sz val="9"/>
            <color indexed="81"/>
            <rFont val="Meiryo UI"/>
            <family val="2"/>
          </rPr>
          <t>https://docs.aws.amazon.com/AmazonRDS/latest/APIReference/API_DescribeDBClusterParameters.html</t>
        </r>
      </text>
    </comment>
    <comment ref="E103" authorId="0">
      <text>
        <r>
          <rPr>
            <sz val="9"/>
            <color indexed="81"/>
            <rFont val="Meiryo UI"/>
            <family val="2"/>
          </rPr>
          <t>https://docs.aws.amazon.com/AmazonRDS/latest/APIReference/API_DescribeDBClusterParameters.html</t>
        </r>
      </text>
    </comment>
    <comment ref="E104" authorId="0">
      <text>
        <r>
          <rPr>
            <sz val="9"/>
            <color indexed="81"/>
            <rFont val="Meiryo UI"/>
            <family val="2"/>
          </rPr>
          <t>https://docs.aws.amazon.com/AmazonRDS/latest/APIReference/API_DescribeDBClusterParameters.html</t>
        </r>
      </text>
    </comment>
    <comment ref="E105" authorId="0">
      <text>
        <r>
          <rPr>
            <sz val="9"/>
            <color indexed="81"/>
            <rFont val="Meiryo UI"/>
            <family val="2"/>
          </rPr>
          <t>https://docs.aws.amazon.com/AmazonRDS/latest/APIReference/API_DescribeDBClusterParameters.html</t>
        </r>
      </text>
    </comment>
  </commentList>
</comments>
</file>

<file path=xl/sharedStrings.xml><?xml version="1.0" encoding="utf-8"?>
<sst xmlns="http://schemas.openxmlformats.org/spreadsheetml/2006/main" count="18375" uniqueCount="3701">
  <si>
    <t>Aurora Global Database
東京・大阪 DR構成 詳細評価</t>
  </si>
  <si>
    <t>Aurora MySQL 8.4.7  |  Serverless v2  |  RDS Proxy  |  JBoss EAP 8.1</t>
  </si>
  <si>
    <t>結論：各リージョンのProxyへ接続し、災害時はDB・コンテナ・入口・ジョブをまとめて大阪へ切り替える。
読み取り専用AWS APIと公式資料で確認。性能・DRの実機試験は未実施。</t>
  </si>
  <si>
    <t>430 / 299  全件一覧　　61  公式資料　　3  用途別推奨列</t>
  </si>
  <si>
    <t>430・299は現行8.4ファミリーの全行数。8.4.8専用を各1行含むため、8.4.7候補は429・298。
「既定値維持」は意図した推奨。未取得の実効値を数値で埋めていません。</t>
  </si>
  <si>
    <t>最初に読む</t>
  </si>
  <si>
    <t>採用条件と前提、実測が必要な点</t>
  </si>
  <si>
    <t>01_結論と前提</t>
  </si>
  <si>
    <t>構成をつかむ</t>
  </si>
  <si>
    <t>平常時 / 大阪昇格後の接続経路</t>
  </si>
  <si>
    <t>02_構成図</t>
  </si>
  <si>
    <t>DRを設計する</t>
  </si>
  <si>
    <t>判定から切り戻しまで</t>
  </si>
  <si>
    <t>05_DR手順</t>
  </si>
  <si>
    <t>Proxyを設定する</t>
  </si>
  <si>
    <t>設定区分・API名・既定値・推奨</t>
  </si>
  <si>
    <t>07_Proxy設定</t>
  </si>
  <si>
    <t>待ち時間を合わせる</t>
  </si>
  <si>
    <t>online / batch / 共用Proxyの比較</t>
  </si>
  <si>
    <t>10_タイムアウト</t>
  </si>
  <si>
    <t>全パラメータを探す</t>
  </si>
  <si>
    <t>21推奨 / 22インスタンス既定 / 23推奨</t>
  </si>
  <si>
    <t>20_クラスタ既定</t>
  </si>
  <si>
    <t>根拠を確認する</t>
  </si>
  <si>
    <t>公式リンクと91_API取得証跡</t>
  </si>
  <si>
    <t>90_公式出典</t>
  </si>
  <si>
    <t>調査日：2026-10-11 / 表示：Meiryo UI・モノトーン
フィルター、固定見出し、折返し、根拠リンク、印刷設定を付与。横長の全件表は横スクロールで参照。</t>
  </si>
  <si>
    <t>結論：リージョン内で完結する接続と、システム全体のDR切り替えを採用する</t>
  </si>
  <si>
    <t>調査基準日 2026-10-11。公式資料と東京・大阪の読み取り専用AWS APIに基づく設計評価。実環境の負荷試験・フェイルオーバー・DB接続は未実施。</t>
  </si>
  <si>
    <t>論点</t>
  </si>
  <si>
    <t>判定・推奨</t>
  </si>
  <si>
    <t>動作原理・判断の理由</t>
  </si>
  <si>
    <t>設計・運用・検証で具体化すること</t>
  </si>
  <si>
    <t>根拠</t>
  </si>
  <si>
    <t>全体判断</t>
  </si>
  <si>
    <t>条件付き採用</t>
  </si>
  <si>
    <t>東京を通常稼働、大阪を災害対策とするGlobal Databaseと、両リージョンのRDS Proxyを組み合わせる構成は成立する。アプリとDBを同じリージョンへまとめて切り替えることで、平常時も復旧後も通信の経路を短くできる。</t>
  </si>
  <si>
    <t>採用条件は、書き込み主体が1リージョンに限定されること、大阪の必要資源が事前配置されること、オンラインとバッチの再実行が安全であること。</t>
  </si>
  <si>
    <t>S03 S04 S15</t>
  </si>
  <si>
    <t>用語の補正</t>
  </si>
  <si>
    <t>Global Datasource → Aurora Global Database</t>
  </si>
  <si>
    <t>AWSの構成はGlobal Database / global cluster。JBossのDataSourceはJavaアプリがDB接続を借りる窓口であり、AWSの複製単位とは別。「あ＠売り」はアプリの意味として評価した。</t>
  </si>
  <si>
    <t>設計書では東京primary DB cluster、大阪secondary DB cluster、各リージョンのDataSourceと明記する。</t>
  </si>
  <si>
    <t>S15 S24</t>
  </si>
  <si>
    <t>バージョン</t>
  </si>
  <si>
    <t>Aurora 8.4.7を指定版として評価</t>
  </si>
  <si>
    <t>製品表示8.4.7、MySQL互換8.4.7、API値8.4.mysql_aurora.8.4.7、パラメータファミリーaurora-mysql8.4。指定版を「現在の最新マイナー」とは呼ばない。</t>
  </si>
  <si>
    <t>APIで東京・大阪ともavailableとdb.serverless/Global対応を確認。APIのEngineMode=provisionedはServerless v2でも正しい。</t>
  </si>
  <si>
    <t>S01 S58</t>
  </si>
  <si>
    <t>評価の前提</t>
  </si>
  <si>
    <t>オンライン30秒、バッチはチャンク方式</t>
  </si>
  <si>
    <t>RTO/RPOの契約値、ピークTPS、最大コンテナ数、バッチ量が未提示。数値はオンライン要求期限30秒、バッチ1SQL90秒以内・1チャンク180秒以内を仮定した初期案。</t>
  </si>
  <si>
    <t>これらは製品既定値でも性能保証でもない。業務SLO、同時実行数、代表SQLで確定する。RTO例15分・RPO目標5秒は検証用の仮目標。</t>
  </si>
  <si>
    <t>設計提案</t>
  </si>
  <si>
    <t>全パラメータの収録</t>
  </si>
  <si>
    <t>クラスタ430行、インスタンス299行</t>
  </si>
  <si>
    <t>default.aurora-mysql8.4を自動ページング付きで全取得。クラスタ群にはインスタンス既定も含まれる。クラスタ専用131項目だけを全件と誤認しない。</t>
  </si>
  <si>
    <t>全行に3用途の推奨、変更可否、適用条件、根拠を付ける。クラスタとインスタンスの両方に書ける項目はクラスターを基準とし、個別上書きを最小限にする。</t>
  </si>
  <si>
    <t>S56 S57</t>
  </si>
  <si>
    <t>8.4.7対象外</t>
  </si>
  <si>
    <t>aurora_transaction_timeoutは除外</t>
  </si>
  <si>
    <t>取得した同じ8.4ファミリーにはMinimumEngineVersion=8.4.mysql_aurora.8.4.8の項目が1件含まれる。8.4.7では使わない。</t>
  </si>
  <si>
    <t>8.4.7対象の候補はクラスタ429/インスタンス298。API上変更可は369/250。さらにServerless自動調整・非対応機能を区別する。</t>
  </si>
  <si>
    <t>既定値の確実性</t>
  </si>
  <si>
    <t>API既定・参考既定・実効値を分離</t>
  </si>
  <si>
    <t>APIはクラスタ430行中73行に値/式を返し、357行は具体値を省略する。省略は0でも空文字でもない。Community MySQLの参考既定は別列に置く。</t>
  </si>
  <si>
    <t>Serverlessの容量依存値や実ユーザー設定は実機のSHOW GLOBAL VARIABLESと実際のパラメータ群を照合して確定する。未取得を既定の実測値として扱わない。</t>
  </si>
  <si>
    <t>S20 S53 S54</t>
  </si>
  <si>
    <t>最重要の修正点</t>
  </si>
  <si>
    <t>ターゲットはクラスター識別子</t>
  </si>
  <si>
    <t>RDS ProxyへWriter/Reader/GlobalのDNS名を登録するという理解は不正確。Auroraでは同一リージョン・VPC内のDBクラスターを登録し、Proxyがその役割を判断する。</t>
  </si>
  <si>
    <t>DBClusterIdentifiersを使う。アプリのJDBC URLに設定するDNS名と、Proxy APIで指定する登録対象を分ける。</t>
  </si>
  <si>
    <t>S05 S08</t>
  </si>
  <si>
    <t>直接接続の意味</t>
  </si>
  <si>
    <t>アプリ → RDS Proxyの固有DNS名</t>
  </si>
  <si>
    <t>「RDS Proxy直接接続」はアプリがProxyへ直接TCP接続する方式。Auroraへの直結を意味しない。独自CNAMEを挟まず証明書のホスト名確認を成立させる。</t>
  </si>
  <si>
    <t>通常はRWエンドポイントへ接続。ROへ流す場合は別JNDI/別URLと整合性要件を設ける。</t>
  </si>
  <si>
    <t>S08 S11</t>
  </si>
  <si>
    <t>未検証範囲</t>
  </si>
  <si>
    <t>本番承認前に残る実測</t>
  </si>
  <si>
    <t>既存SG、VPC経路、ACU構成、スキーマ、JBoss設定、DB実効値は取得していない。提案構成を「既に安全」とは判定しない。</t>
  </si>
  <si>
    <t>テスト表の実測結果、RTO/RPO、キャンセル後のDB負荷と接続復旧、ローテーションを設計承認の材料にする。</t>
  </si>
  <si>
    <t>地域内の接続は同じ形。書き込み役とアプリの稼働地域を切り替える。</t>
  </si>
  <si>
    <t>東京  ap-northeast-1</t>
  </si>
  <si>
    <t>大阪  ap-northeast-3</t>
  </si>
  <si>
    <t>平常時：利用者 → 東京ALB / 入口</t>
  </si>
  <si>
    <t>DR後：利用者 → 大阪ALB / 入口</t>
  </si>
  <si>
    <t>↓</t>
  </si>
  <si>
    <t>東京コンテナ / JBoss JNDI
東京バッチ / Connector/J
同じアプリイメージ digest</t>
  </si>
  <si>
    <t>大阪コンテナ / JBoss JNDI
大阪バッチ / Connector/J
同じアプリイメージ digest</t>
  </si>
  <si>
    <t>起動時：東京SSM → 東京Proxyホスト
資格情報：東京Secrets Manager</t>
  </si>
  <si>
    <t>起動時：大阪SSM → 大阪Proxyホスト
資格情報：大阪Secrets Manager</t>
  </si>
  <si>
    <t>↓ TLS / TCP3306</t>
  </si>
  <si>
    <t>東京 RDS Proxy
既定RW → 東京Writer
必要時のみ追加RO → 東京Reader</t>
  </si>
  <si>
    <t>大阪 RDS Proxy
昇格前：ROのみ利用可 / RW失敗
昇格後：同じRW名で大阪Writerへ</t>
  </si>
  <si>
    <t>↓ 登録対象は東京クラスターID</t>
  </si>
  <si>
    <t>↓ 登録対象は大阪クラスターID</t>
  </si>
  <si>
    <t>Aurora Serverless v2 × 2 AZ
平常時：Writer + Reader
大阪昇格後：secondaryへ復帰を確認</t>
  </si>
  <si>
    <t>Aurora Serverless v2 × 2 AZ
平常時：Reader + Reader
DR昇格後：Writer + Reader</t>
  </si>
  <si>
    <t>東京の共有クラスターvolume
リージョン内3 AZの耐久ストレージ</t>
  </si>
  <si>
    <t>大阪の共有クラスターvolume
リージョン内3 AZの耐久ストレージ</t>
  </si>
  <si>
    <t>→
非同期
複製</t>
  </si>
  <si>
    <t>Global Database：平常時は東京から大阪へストレージ層で複製。大阪昇格後は新primaryからsecondaryへ複製。
RDS ProxyのターゲットにGlobal writer endpointや任意のDNS文字列は登録しない。
Global Databaseは誤削除も複製するため、独立バックアップと復元試験が必要。</t>
  </si>
  <si>
    <t>切替順序：東京の新規書込・ジョブを抑止 → 大阪DB昇格 → 大阪Proxy RW疎通 → 大阪アプリ準備 → 入口切替 → バッチ再開
DBだけ先に自動切替して東京コンテナを動かし続ける設計にはしない。既存の接続やトランザクションが地域間で移動するわけではない。</t>
  </si>
  <si>
    <t>管理経路：管理端末 → VPN / 管理ホスト等 → Proxy（通常）またはAurora直結（期限付き例外）。
app-sg / batch-sg → proxy-sg:3306 → db-sg:3306。アプリからDBへの迂回は許可しない。
VPC内でもTLS、本人確認、DB権限、監査を別々に設計する。</t>
  </si>
  <si>
    <t>根拠：S04 / S05 / S08 / S15 / S31 / S35。各リージョンDB2台、最小8・最大32 ACUは負荷未確定時の設計案。</t>
  </si>
  <si>
    <t>小学生にも説明できる動作のたとえと、技術が必要になった背景</t>
  </si>
  <si>
    <t>たとえは理解の補助。DBの実際の単位は接続、トランザクション、ログ、ストレージである。</t>
  </si>
  <si>
    <t>DBとトランザクション</t>
  </si>
  <si>
    <t>学校の帳簿と、書きかけの伝票</t>
  </si>
  <si>
    <t>データベースは皆が同じ答えを見る帳簿。送金の「Aから引く」と「Bへ足す」を別々に確定するとお金が消える。両方まとめて確定する約束がトランザクション。</t>
  </si>
  <si>
    <t>アプリの成功応答はCOMMIT確認後に返す。COMMIT後に通信が切れた場合は結果不明になるため、業務IDで確認してから再実行する。</t>
  </si>
  <si>
    <t>設計解説</t>
  </si>
  <si>
    <t>Auroraの共有領域</t>
  </si>
  <si>
    <t>先生の机と、丈夫な書庫を分ける</t>
  </si>
  <si>
    <t>DBインスタンスは計算する机、クラスターのデータ領域は書庫。WriterとReaderは同じリージョンの書庫を共有する。Readerごとに業務データを丸ごと複写する構成とは異なる。</t>
  </si>
  <si>
    <t>計算力を増やすACUと、保存量のTiBは別に設計する。ReaderにもCPU・キャッシュ・一時領域が必要。</t>
  </si>
  <si>
    <t>S35 S17</t>
  </si>
  <si>
    <t>Global Database</t>
  </si>
  <si>
    <t>大阪にも別の書庫を用意する</t>
  </si>
  <si>
    <t>東京で確定した変更記録を専用の複製経路で大阪のストレージへ運ぶ。大阪Readerは到着済みの内容を読む。通常のbinlogレプリケーションでSQLを再実行する方式とは異なる。</t>
  </si>
  <si>
    <t>輸送中の変更があるため非同期であり、地域障害時に未到着の変更が失われる可能性がある。複製遅延は保証値ではなく計測値として扱う。</t>
  </si>
  <si>
    <t>S15 S47</t>
  </si>
  <si>
    <t>Proxyの多重化</t>
  </si>
  <si>
    <t>窓口係が少ない電話を順番に貸す</t>
  </si>
  <si>
    <t>アプリの接続を受ける窓口と、DBへつなぐ実際の接続は別。処理が終わったらDB接続を別のアプリへ貸せるため、大量のコンテナが同時に接続してもDBの電話台数を抑えられる。</t>
  </si>
  <si>
    <t>SQLを実行するCPUやロックは減らない。常に処理中の接続が100本なら、Proxyを入れても1本では足りない。</t>
  </si>
  <si>
    <t>S10</t>
  </si>
  <si>
    <t>ピン留め</t>
  </si>
  <si>
    <t>机に私物を置くと次の人に貸せない</t>
  </si>
  <si>
    <t>一時表やサーバー側prepared statementなど、接続に残る状態を作ると、Proxyは正しさのため同じDB接続を占有させる。これがピン留め。</t>
  </si>
  <si>
    <t>JDBC PreparedStatementは安全なプレースホルダーのまま利用する。useServerPrepStmts=falseでクライアント側処理を基準とし、SQL文字列連結へ戻さない。</t>
  </si>
  <si>
    <t>S09 S27</t>
  </si>
  <si>
    <t>Serverless v2</t>
  </si>
  <si>
    <t>机の広さを必要に応じて変える</t>
  </si>
  <si>
    <t>接続先の名前を保ったまま計算力・メモリを増減させる仕組み。サーバーが存在しない、無制限、必ず無料で停止する、という意味ではない。</t>
  </si>
  <si>
    <t>最小ACUが小さすぎるとキャッシュが減る。最大ACUを大きくしてもその瞬間に重いSQLが必ず終わるわけではない。</t>
  </si>
  <si>
    <t>S17 S19</t>
  </si>
  <si>
    <t>接続プールが生まれた理由</t>
  </si>
  <si>
    <t>毎回の認証と通信準備を減らす</t>
  </si>
  <si>
    <t>Javaアプリは長く動くため、アプリ内の接続プールで接続作成の費用を減らした。その後、コンテナの大量増減により、各アプリが別々に持つ接続の合計がDBの上限を超えやすくなった。</t>
  </si>
  <si>
    <t>JBossプールはアプリ内の順番待ち、Proxyはアプリ群全体のDB接続管理。それぞれの役割があるため、Proxy利用時も小さなJBossプールを使う。</t>
  </si>
  <si>
    <t>S07 S48</t>
  </si>
  <si>
    <t>2018-11-27</t>
  </si>
  <si>
    <t>Global Database登場</t>
  </si>
  <si>
    <t>海外の利用者の近くで読みたい、都市全体の障害にも備えたい、という要求に対し、ストレージ層でのリージョン間複製が導入された。</t>
  </si>
  <si>
    <t>初期発表時の対象地域や典型的な復旧秒数を、現在の東京・大阪構成の契約保証と混同しない。</t>
  </si>
  <si>
    <t>S47</t>
  </si>
  <si>
    <t>2020-06-30</t>
  </si>
  <si>
    <t>RDS Proxy一般提供</t>
  </si>
  <si>
    <t>Lambdaやコンテナが急増すると接続も一斉に増える。その集中を受け止める管理された接続窓口として一般提供された。</t>
  </si>
  <si>
    <t>接続集中、認証、DB切替を改善する。業務処理の自動再実行やリージョン全体の切替は別途必要。</t>
  </si>
  <si>
    <t>S48</t>
  </si>
  <si>
    <t>2022年</t>
  </si>
  <si>
    <t>Serverless v2とGlobal Proxy対応</t>
  </si>
  <si>
    <t>4月にServerless v2が一般提供され、Global Database、Reader、Proxyを組み合わせられるようになった。12月にはGlobal Databaseのprimary/secondaryでのProxy配置が明示的に提供された。</t>
  </si>
  <si>
    <t>Serverless v1時代の「Proxyと併用不可」という古い情報を流用しない。</t>
  </si>
  <si>
    <t>S49 S50</t>
  </si>
  <si>
    <t>2026-05-21</t>
  </si>
  <si>
    <t>Aurora MySQL 8.4</t>
  </si>
  <si>
    <t>8.4.7互換で開始し、エンジン番号が分かりやすくなった。認証・TLSの既定も強化されたため、旧8.0の設定をそのままコピーすると見落としが出る。</t>
  </si>
  <si>
    <t>default_authentication_pluginからauthentication_policyへ移行。nativeプラグイン自体の有効/無効と、新規ユーザーの既定認証は別の話。</t>
  </si>
  <si>
    <t>S51 S22</t>
  </si>
  <si>
    <t>東京・大阪のGlobal Databaseと接続先の評価</t>
  </si>
  <si>
    <t>推奨する基準構成：各リージョンにAurora Serverless v2を2台、RDS Proxyを1台、コンテナ基盤と必要な依存サービスを配置する。台数・ACUは負荷検証で確定する。</t>
  </si>
  <si>
    <t>大阪の参加単位</t>
  </si>
  <si>
    <t>secondary DB clusterとして追加</t>
  </si>
  <si>
    <t>大阪は東京クラスターの同一リージョンReaderを遠くへ置くのではなく、別リージョンのクラスターとしてGlobal Databaseに参加する。大阪にも独立したストレージとDBインスタンスを持つ。</t>
  </si>
  <si>
    <t>東京Writer+別AZ Reader、大阪2 Readerを初期案とする。大阪の1台が昇格しても、もう1台がReaderとして残る。</t>
  </si>
  <si>
    <t>S15</t>
  </si>
  <si>
    <t>ヘッドレス構成</t>
  </si>
  <si>
    <t>本件では採用しない</t>
  </si>
  <si>
    <t>ストレージのみのセカンダリはコストを下げられるが、読めず、昇格前にDBインスタンスを準備する必要がある。今回はクロスリージョン読取と短いDR復旧が目的。</t>
  </si>
  <si>
    <t>大阪Readerを常設する。1台案は低コストだが昇格後にReaderが消えるのでRO利用とAZ耐障害性が弱くなる。</t>
  </si>
  <si>
    <t>S16</t>
  </si>
  <si>
    <t>Proxyの登録</t>
  </si>
  <si>
    <t>同一リージョンのクラスターID</t>
  </si>
  <si>
    <t>東京Proxy→東京クラスター、大阪Proxy→大阪クラスター。Global Databaseのwriter endpointはProxy登録対象にしない。そもそも任意ホストをターゲットとして登録するAPIではない。</t>
  </si>
  <si>
    <t>IaCの参照先はRegional DBClusterIdentifier。各ProxyはDBと同じVPCに置き、必要なら追加エンドポイントで同一リージョンの別VPCから入る。</t>
  </si>
  <si>
    <t>平常時の書き込み</t>
  </si>
  <si>
    <t>東京コンテナ→東京Proxy RW</t>
  </si>
  <si>
    <t>東京RWエンドポイントは東京Writerへ送る。SELECTもRWエンドポイント経由ならWriterへ送る。SQLの内容を見てReaderへ自動振り分けする機能ではない。</t>
  </si>
  <si>
    <t>通常JNDIはRWに統一。整合性が重要な画面表示や更新直後の確認はWriterで行う。</t>
  </si>
  <si>
    <t>S04 S11</t>
  </si>
  <si>
    <t>平常時の大阪読取</t>
  </si>
  <si>
    <t>必要な処理だけ大阪Proxy RO</t>
  </si>
  <si>
    <t>大阪のROエンドポイントは大阪Readerへ接続する。東京から大阪を読むとネットワーク遅延と複製遅延が加わるので、東京オンラインの読取拡張の第一選択にはしない。</t>
  </si>
  <si>
    <t>DR確認、現地参照、許容遅延のある集計へ限定。平常時の大阪RWエンドポイントへの接続試験は失敗が正常である。</t>
  </si>
  <si>
    <t>S04</t>
  </si>
  <si>
    <t>切替後の書き込み</t>
  </si>
  <si>
    <t>大阪コンテナ→大阪Proxy RW</t>
  </si>
  <si>
    <t>大阪DBがprimaryへ昇格すると、大阪の同じProxy RW名を使って書けるようになる。東京のProxyが大阪Writerへ転送するのではない。</t>
  </si>
  <si>
    <t>接続方式とJNDI名は変えない。実際のホスト値・接続ソケット・プロセスは大阪のものへ替わる。既存東京セッションが移動するわけではない。</t>
  </si>
  <si>
    <t>読み取り整合性</t>
  </si>
  <si>
    <t>read-your-writesはWriterで担保</t>
  </si>
  <si>
    <t>Readerはローカルでも遅延し得る。大阪の複製にはさらに地域間の遅延がある。購入直後の履歴をReaderに問い合わせると、購入が消えたように見える場合がある。</t>
  </si>
  <si>
    <t>強い整合性が必要な処理と古くてもよい参照をJNDI/処理単位で分離する。setReadOnly(true)だけでProxy RWからROへ切り替わると考えない。</t>
  </si>
  <si>
    <t>Write forwarding</t>
  </si>
  <si>
    <t>今回の基準設計は無効</t>
  </si>
  <si>
    <t>大阪アプリから東京へ書き込みを転送する機能は、通常稼働地域を固定する本方針では不要。地域障害時に東京へ依存する経路が増える。</t>
  </si>
  <si>
    <t>有効化する別案件では転送枠をProxyの接続予算から控除し、ProxyとSESSION整合性の非対応を検証する。</t>
  </si>
  <si>
    <t>Global writer endpoint</t>
  </si>
  <si>
    <t>本件ではアプリも使用しない</t>
  </si>
  <si>
    <t>Global writer endpointは地域をまたいで現在のWriterを追うDNS名。アプリとProxyを地域単位で切り替える本件では地域Proxy名を使う方が構成責務を明確にできる。</t>
  </si>
  <si>
    <t>独自DNSで東京Proxy名を大阪へ向け替える構成も採用しない。証明書のホスト名検証と、地域内完結という前提を保つ。</t>
  </si>
  <si>
    <t>S08 S16</t>
  </si>
  <si>
    <t>Serverless容量</t>
  </si>
  <si>
    <t>東京・大阪とも最小8 ACUを初期案</t>
  </si>
  <si>
    <t>AWSはGlobalのprimaryについて最小8 ACUを推奨する。大阪にも同じ値を初期設定するのは、昇格直後の余裕を確保する本資料の設計判断であり、AWSの全secondary必須条件ではない。</t>
  </si>
  <si>
    <t>最大32 ACUを仮置きし、実データ/キャッシュ/同時実行で増減。各インスタンスにACU課金が発生し、2台なら1台分の料金ではない。</t>
  </si>
  <si>
    <t>S17 S52</t>
  </si>
  <si>
    <t>自動停止</t>
  </si>
  <si>
    <t>停止によるDR費用ゼロを前提にしない</t>
  </si>
  <si>
    <t>Global Database参加やRDS Proxy接続は自動停止を妨げる条件となる。APIがMinCapacity=0を返しても、今回の組合せでゼロへ停止できる証拠にはならない。</t>
  </si>
  <si>
    <t>DR費用は常設の最小容量で見積もる。最小値を下げる変更は複製遅延・昇格後のウォームアップを測定して決める。</t>
  </si>
  <si>
    <t>S19</t>
  </si>
  <si>
    <t>地域障害以外</t>
  </si>
  <si>
    <t>誤削除・攻撃は別の防御が必要</t>
  </si>
  <si>
    <t>誤って削除したデータもGlobalの複製経路で大阪へ届く。離れた場所に同じ間違いが写されるため、Global Databaseはバックアップの代わりにならない。</t>
  </si>
  <si>
    <t>独立バックアップ、保持期間、保管先の権限分離、復元訓練を別に設計する。</t>
  </si>
  <si>
    <t>S39 S40</t>
  </si>
  <si>
    <t>DBとコンテナ環境を一体として切り替える手順</t>
  </si>
  <si>
    <t>以下は運用設計案。実施はしていない。計画切替（switchover）と非計画切替（failover）を別の手順書にする。</t>
  </si>
  <si>
    <t>平常時の準備</t>
  </si>
  <si>
    <t>大阪を独立して起動可能にする</t>
  </si>
  <si>
    <t>DBだけ存在しても、アプリのイメージ、設定、認証、外部API、DNSが東京依存なら復旧できない。</t>
  </si>
  <si>
    <t>大阪のECR、SSM、Secrets/KMS、IAM、ALB、DNS、ログ、キュー、S3、ネットワークとサービスクォータを準備。東京を参照せずに新規コンテナを起動する訓練を行う。</t>
  </si>
  <si>
    <t>S31 S33 S34</t>
  </si>
  <si>
    <t>1 障害判定</t>
  </si>
  <si>
    <t>DB単体障害と地域障害を分類</t>
  </si>
  <si>
    <t>単一DBインスタンスの障害には地域内フェイルオーバーを使う。全体切替はデータ損失の可能性があるため、単発ヘルスチェックの失敗だけで即時に実行しない。</t>
  </si>
  <si>
    <t>DB・ALB・複数AZ・外部監視の信号を組み合わせる。切替責任者、判断期限、非計画RPO受容を運用ルールで定義する。</t>
  </si>
  <si>
    <t>2 書き込み抑止</t>
  </si>
  <si>
    <t>東京の受付とジョブ起動を止める</t>
  </si>
  <si>
    <t>DNS切替だけでは既存接続や内部ジョブは止まらない。障害が部分的な場合、東京コンテナやバッチが動き続けることがある。</t>
  </si>
  <si>
    <t>入口遮断、スケジューラ停止、キューconsumer停止、独立した切替権限/書込ゲートを組み合わせる。到達不能な旧地域の停止を無限に待たず、DB昇格と旧Writer隔離を管理手順で扱う。</t>
  </si>
  <si>
    <t>S16 設計提案</t>
  </si>
  <si>
    <t>3 復旧点を確認</t>
  </si>
  <si>
    <t>大阪の複製遅延と業務チェックポイントを確認</t>
  </si>
  <si>
    <t>障害直前のメトリクスが古いこともある。遅延グラフが0というだけでは、最後に成功応答した取引がすべて届いた証拠にならない。</t>
  </si>
  <si>
    <t>最終COMMIT済み業務ID、決済先などの外部記録、バッチ実行履歴を突き合わせる。RPOを時刻と欠落件数の双方で記録する。</t>
  </si>
  <si>
    <t>S16 S44</t>
  </si>
  <si>
    <t>4 DBを昇格</t>
  </si>
  <si>
    <t>大阪をGlobal primaryへ変更</t>
  </si>
  <si>
    <t>計画時は同期を確認するswitchoverでデータ損失を避ける。地域障害時のfailoverは未複製の損失を受容する操作。API名とallow-data-lossを混同しない。</t>
  </si>
  <si>
    <t>managed切替を基準にする。大阪側から実行可能な権限・API経路を事前確認する。手動detach/promoteは通常手順と別の復旧策として扱う。</t>
  </si>
  <si>
    <t>5 Proxyと認証を検査</t>
  </si>
  <si>
    <t>大阪RWターゲットが利用可能か確認</t>
  </si>
  <si>
    <t>Proxyの状態availableだけではDBに書けるとは限らない。ターゲットの役割、到達性、TLS、Secretsとの一致を確認する。</t>
  </si>
  <si>
    <t>DescribeDBProxyTargetsの正常性と、専用業務ヘルス確認の短い書込・読戻しを行う。試験テーブルのトランザクションは終了させる。</t>
  </si>
  <si>
    <t>S04 S08</t>
  </si>
  <si>
    <t>6 大阪アプリを起動</t>
  </si>
  <si>
    <t>地域SSM値を取得して新規プールを作る</t>
  </si>
  <si>
    <t>コンテナは大阪SSMから大阪Proxy名を取得する。同じイメージでもJNDIの実URLは大阪へ変わり、新規接続プールが生成される。</t>
  </si>
  <si>
    <t>DB昇格前のreadinessはfalseにする。livenessまでDB障害連動にして再起動を連発しない。少数のcanaryから段階的に起動し接続嵐を防ぐ。</t>
  </si>
  <si>
    <t>S31 設計提案</t>
  </si>
  <si>
    <t>7 入口を切替</t>
  </si>
  <si>
    <t>大阪へ利用者の通信を誘導</t>
  </si>
  <si>
    <t>DBが書けても利用者の入口が東京ならサービスは復旧していない。Route 53や入口制御と業務ヘルス判定を合わせる。</t>
  </si>
  <si>
    <t>DNS TTLだけをRTOとしない。キャッシュ、既存HTTP接続、認証セッションを考慮。数件の実業務canary確認後に全面開放する。</t>
  </si>
  <si>
    <t>8 バッチ再開</t>
  </si>
  <si>
    <t>実行台帳とチャンクから再開</t>
  </si>
  <si>
    <t>途中まで更新済みのバッチを先頭から無条件再実行すると二重計上になり得る。単にJavaの再起動だけでは正しさを守れない。</t>
  </si>
  <si>
    <t>処理対象IDとjob_execution_idに一意制約、チェックポイントと業務更新を同じDBトランザクションで確定。外部送信にはoutboxと受信側冪等性を使う。</t>
  </si>
  <si>
    <t>9 安定化</t>
  </si>
  <si>
    <t>旧地域の自動再開を防ぐ</t>
  </si>
  <si>
    <t>東京が復旧しても自動でアプリやジョブを戻さない。旧地域の取り残された成功取引を確認する必要がある。</t>
  </si>
  <si>
    <t>managed復旧が旧東京をsecondaryとして再構成したことを確認。作成された障害時スナップショットがある場合は保全し、差分照合を行う。</t>
  </si>
  <si>
    <t>10 切り戻し</t>
  </si>
  <si>
    <t>保守時間帯に計画switchover</t>
  </si>
  <si>
    <t>大阪で新たに確定したデータを東京へ同期してから、もう一度アプリ環境ごと戻す。東京復旧と同時の自動切り戻しは障害を再拡大させる。</t>
  </si>
  <si>
    <t>同一エンジン版、設定ドリフト、秘密のローテーション主体、入口、ジョブ抑止を確認。切替と同じ受入試験を行う。</t>
  </si>
  <si>
    <t>RTOの分解</t>
  </si>
  <si>
    <t>全体の最長依存経路を計測</t>
  </si>
  <si>
    <t>RTOは障害検知、意思決定、DB昇格、アプリ準備、動作検証、入口収束で決まる。並行できる準備もあるので、単純にDBの公表秒数で代表させない。</t>
  </si>
  <si>
    <t>仮予算：検知60秒、判断180秒、DB復旧120秒、アプリ120秒、検証120秒、入口収束120秒＝720秒。15分以内は訓練で初めて評価できる。</t>
  </si>
  <si>
    <t>Parameter Storeで地域別エンドポイントを起動時に解決する</t>
  </si>
  <si>
    <t>コンテナ基盤は未指定のため、ECS/Fargateを具体例とする。EKS/OpenShiftではPod Identity等とSDK/同期機構へ置き換え、JBossとDBの原則は同じにする。</t>
  </si>
  <si>
    <t>同一パス・別の値</t>
  </si>
  <si>
    <t>/app/prod/db/proxy-rw-host</t>
  </si>
  <si>
    <t>東京SSMには東京Proxyの固有FQDN、大阪SSMには大阪Proxyの固有FQDNを保存する。パラメータ名を同じにすれば、イメージ内で地域別の分岐を持たずに済む。</t>
  </si>
  <si>
    <t>ホストだけをStringとして保存し、ポート3306・DB名・タイムアウトは別設定へ。URLへ秘密やパスワードを混ぜない。</t>
  </si>
  <si>
    <t>S31 S32</t>
  </si>
  <si>
    <t>設定は同じ値を複製しない</t>
  </si>
  <si>
    <t>地域値をIaCで個別生成</t>
  </si>
  <si>
    <t>東京のProxy DNS名を大阪へそのまま複製すると、災害時に東京へつなぐ誤設定になる。Parameter Storeに名前があるだけで自動的に地域値へ変換されるわけではない。</t>
  </si>
  <si>
    <t>各リージョンのProxy Endpoint出力を同じ地域のSSMへ登録する。配布パイプラインでregion一致・RW/RO一致を検査する。</t>
  </si>
  <si>
    <t>ECSの推奨方法</t>
  </si>
  <si>
    <t>secrets.valueFromで環境変数へ注入</t>
  </si>
  <si>
    <t>タスク起動時にECSが指定したSSMパラメータを取得し、DB_PROXY_HOSTへ渡す。秘密ではないホストでも、この参照機構を利用できる。</t>
  </si>
  <si>
    <t>task execution roleに対象パラメータのssm:GetParameters。コンテナ自身がSDKで取得する方式ではtask roleへssm:GetParameterを付ける。両者を混同しない。</t>
  </si>
  <si>
    <t>S31</t>
  </si>
  <si>
    <t>地域の決定</t>
  </si>
  <si>
    <t>配置側のリージョンを明示</t>
  </si>
  <si>
    <t>ECS/EKSのデプロイ設定でAWS_REGIONと対象パスを渡す。環境名prodだけで地域を推測しない。SDKのデフォルトリージョンが意図しない値にならないよう確認する。</t>
  </si>
  <si>
    <t>起動ログには地域、設定バージョン、論理接続先名までを出す。認証秘密は出さない。接続先の許可リストと地域整合性を起動時に検証する。</t>
  </si>
  <si>
    <t>動的の意味</t>
  </si>
  <si>
    <t>起動時に解決・稼働中は固定</t>
  </si>
  <si>
    <t>起動時注入は、Parameter Store変更後の稼働中コンテナを自動更新する機能ではない。既存のJNDIプールは古いURLを持ち続ける。</t>
  </si>
  <si>
    <t>通常はローリング再デプロイで反映。稼働中の動的変更が必要なら、新プール生成→疎通→新規受付切替→旧プール排出の別実装が必要。</t>
  </si>
  <si>
    <t>取得失敗</t>
  </si>
  <si>
    <t>起動を成功扱いにしない</t>
  </si>
  <si>
    <t>SSM障害、権限不足、KMS不可、パラメータ不存在で起動失敗し得る。東京の値やWriter直結へ自動フォールバックすると、設計した分離を破る。</t>
  </si>
  <si>
    <t>期限付き再試行とジッター。例：1/2/4秒＋乱数、合計30秒まで。失敗時はreadiness=falseで理由を通知し、再試行回数を制限する。</t>
  </si>
  <si>
    <t>地域内のAPI到達性</t>
  </si>
  <si>
    <t>SSM・Secrets・ECR等へHTTPS</t>
  </si>
  <si>
    <t>DBの3306を許可してもコンテナの起動は完成しない。SSM、Secrets Manager、ECR API/DKR、S3、ログへの通信経路が必要。</t>
  </si>
  <si>
    <t>大阪側に必要なVPCエンドポイントまたは地域内NATを配置。endpoint policy、private DNS、SG TCP443、KMS権限も含めて東京切断試験を行う。</t>
  </si>
  <si>
    <t>S31 S34</t>
  </si>
  <si>
    <t>パスワード</t>
  </si>
  <si>
    <t>Secrets Managerで管理</t>
  </si>
  <si>
    <t>ProxyはIAM認証を使わない構成でもSecrets Managerのユーザー名/パスワードを使う。アプリ用ユーザーとバッチ用ユーザーを分ける。</t>
  </si>
  <si>
    <t>大阪にも対応する秘密とKMS権限を準備。秘密のhostフィールドをJDBC接続先として盲目的に使わず、接続先は地域SSMを正とする。</t>
  </si>
  <si>
    <t>S05 S33</t>
  </si>
  <si>
    <t>ローテーション</t>
  </si>
  <si>
    <t>書き込めるprimaryを更新主体にする</t>
  </si>
  <si>
    <t>ユーザー情報はGlobal DBで複製され、秘密はSecrets Managerで別に複製される。更新順序や複製遅延の差で、一時的に認証が一致しなくなる可能性がある。</t>
  </si>
  <si>
    <t>大阪待機中に同じユーザーを独立ローテーションしない。DR後に秘密の管理主体、rotation LambdaとDB接続先を再設定。DB/Proxy/アプリの新規接続成功を確認する。</t>
  </si>
  <si>
    <t>S33</t>
  </si>
  <si>
    <t>共用イメージ</t>
  </si>
  <si>
    <t>同一digestを両地域に事前配置</t>
  </si>
  <si>
    <t>同じアプリを実行することと、東京ECRから常にpullすることは別。東京ECRが停止しても大阪の新規タスクを起動できるようにする。</t>
  </si>
  <si>
    <t>地域ECR URIは異なってもdigestを一致させる。複製設定以前のイメージは自動複製されないので、現行稼働版の大阪存在確認をリリース条件にする。</t>
  </si>
  <si>
    <t>S34</t>
  </si>
  <si>
    <t>RDS Proxyの全設計区分：既定値と明示設定</t>
  </si>
  <si>
    <t>コンソールの見出しは更新され得るためAPI名を併記する。省略時の既定が公式APIに明示されない項目は断定せず、推奨構成では明示的に設定する。</t>
  </si>
  <si>
    <t>設計区分</t>
  </si>
  <si>
    <t>設定/API名</t>
  </si>
  <si>
    <t>デフォルト・制約</t>
  </si>
  <si>
    <t>本構成の推奨初期値</t>
  </si>
  <si>
    <t>理由・相互作用・確認事項</t>
  </si>
  <si>
    <t>プロキシ設定</t>
  </si>
  <si>
    <t>EngineFamily</t>
  </si>
  <si>
    <t>必須。固定の省略値なし</t>
  </si>
  <si>
    <t>MYSQL</t>
  </si>
  <si>
    <t>Aurora MySQLを選択。8.4.7はターゲットDBのエンジン版でありProxyに8.4.7と入力する項目ではない。</t>
  </si>
  <si>
    <t>S05 S13</t>
  </si>
  <si>
    <t>DBProxyName</t>
  </si>
  <si>
    <t>必須。自動共通値なし</t>
  </si>
  <si>
    <t>app-prod-tokyo / app-prod-osaka</t>
  </si>
  <si>
    <t>同じ命名規約で地域と用途を識別。識別子と接続用FQDNを区別。</t>
  </si>
  <si>
    <t>S13</t>
  </si>
  <si>
    <t>IdleClientTimeout</t>
  </si>
  <si>
    <t>1800秒</t>
  </si>
  <si>
    <t>1800秒を基準</t>
  </si>
  <si>
    <t>SQLの実行上限ではなく、クライアントが何も要求しない接続の期限。JBoss側idleを300秒にして先に返却する。</t>
  </si>
  <si>
    <t>S05 S07</t>
  </si>
  <si>
    <t>ターゲットグループ</t>
  </si>
  <si>
    <t>TargetGroupName</t>
  </si>
  <si>
    <t>defaultを自動生成</t>
  </si>
  <si>
    <t>default</t>
  </si>
  <si>
    <t>追加ターゲットグループは作成できない。「追加のターゲットグループの設定」は既存defaultの詳細設定として整理する。</t>
  </si>
  <si>
    <t>S12</t>
  </si>
  <si>
    <t>DBClusterIdentifiers</t>
  </si>
  <si>
    <t>未登録。コンソール選択時に登録</t>
  </si>
  <si>
    <t>同じ地域のAuroraクラスターID</t>
  </si>
  <si>
    <t>1 Proxyに1 Aurora cluster。Writer/ReaderのDNS文字列やGlobal writer endpointは入力しない。</t>
  </si>
  <si>
    <t>MaxConnectionsPercent</t>
  </si>
  <si>
    <t>MySQLは100%</t>
  </si>
  <si>
    <t>80%を初期案</t>
  </si>
  <si>
    <t>管理直結等へ余裕を残す設計。DB実効max_connectionsと実測MaxDatabaseConnectionsAllowedを使用。80%自体が性能を保証するわけではない。</t>
  </si>
  <si>
    <t>S06 S07</t>
  </si>
  <si>
    <t>追加のTG設定</t>
  </si>
  <si>
    <t>MaxIdleConnectionsPercent</t>
  </si>
  <si>
    <t>MySQLはMaxConnectionsPercentの50%</t>
  </si>
  <si>
    <t>40%を明示</t>
  </si>
  <si>
    <t>80%枠の50%＝DB max_connectionsの40%。現在開いている接続の40%という意味ではない。急増と費用/メモリを検証して調整。</t>
  </si>
  <si>
    <t>ConnectionBorrowTimeout</t>
  </si>
  <si>
    <t>120秒、範囲0～300秒</t>
  </si>
  <si>
    <t>3秒</t>
  </si>
  <si>
    <t>同一Proxyをオンラインとバッチで共有するため短い側へ合わせる。SQL実行時間の上限ではない。バッチの混雑待ちはジョブ側で再計画する。</t>
  </si>
  <si>
    <t>SessionPinningFilters</t>
  </si>
  <si>
    <t>指定なし</t>
  </si>
  <si>
    <t>空配列を維持</t>
  </si>
  <si>
    <t>EXCLUDE_VARIABLE_SETSは無条件に使わない。セッション状態を別利用者に流す正しさのリスクを作ってまで多重化率を上げない。</t>
  </si>
  <si>
    <t>S05 S09</t>
  </si>
  <si>
    <t>InitQuery</t>
  </si>
  <si>
    <t>なし</t>
  </si>
  <si>
    <t>原則空。共通値はDBパラメータで管理</t>
  </si>
  <si>
    <t>必要時だけ全利用者共通のSETを使用。アプリ利用者別のSQLや秘密を入れない。online/batchの異なる時間制限はInitQuery一つでは分離できない。</t>
  </si>
  <si>
    <t>S05 S06</t>
  </si>
  <si>
    <t>認証</t>
  </si>
  <si>
    <t>DefaultAuthScheme</t>
  </si>
  <si>
    <t>NONE</t>
  </si>
  <si>
    <t>IAM DB認証を使用しないという本件の前提。NONEは無認証を意味せず、Secrets ManagerのDB資格情報を使う。</t>
  </si>
  <si>
    <t>Auth[].AuthScheme</t>
  </si>
  <si>
    <t>有効な指定はSECRETS</t>
  </si>
  <si>
    <t>SECRETS</t>
  </si>
  <si>
    <t>Proxy→DB間のパスワードをSecrets Managerから取得。Parameter Storeのホスト情報だけでは代用できない。</t>
  </si>
  <si>
    <t>S14</t>
  </si>
  <si>
    <t>Auth[].SecretArn</t>
  </si>
  <si>
    <t>NONE方式では指定必須</t>
  </si>
  <si>
    <t>同じ地域のonline/batch用秘密を登録</t>
  </si>
  <si>
    <t>通常ユーザーとバッチユーザーを別にし、必要権限だけ付与。全権限のmasterをアプリに使用しない。</t>
  </si>
  <si>
    <t>S05</t>
  </si>
  <si>
    <t>Auth[].ClientPasswordAuthType</t>
  </si>
  <si>
    <t>APIのMySQL既定はMYSQL_CACHING_SHA2_PASSWORD</t>
  </si>
  <si>
    <t>MYSQL_CACHING_SHA2_PASSWORDを明示</t>
  </si>
  <si>
    <t>DBユーザーもcaching_sha2_password、クライアントも対応ドライバとTLS。古い画面のnative選択例を流用しない。</t>
  </si>
  <si>
    <t>S14 S22</t>
  </si>
  <si>
    <t>Auth[].IAMAuth</t>
  </si>
  <si>
    <t>APIで統一省略値は明示されない</t>
  </si>
  <si>
    <t>DISABLEDを明示</t>
  </si>
  <si>
    <t>コンソールではNot Allowed相当。DB認証をIAMにしないことと、AWS APIのIAM権限を使わないことは別。</t>
  </si>
  <si>
    <t>S05 S14</t>
  </si>
  <si>
    <t>RoleArn</t>
  </si>
  <si>
    <t>Secrets参照等のロールが必要</t>
  </si>
  <si>
    <t>Proxy専用ロール</t>
  </si>
  <si>
    <t>rds.amazonaws.comの引受け、対象秘密のGetSecretValue、必要時のみ対象KMS鍵のDecryptを許可。AWSアカウント全秘密への権限を付けない。</t>
  </si>
  <si>
    <t>接続</t>
  </si>
  <si>
    <t>RequireTLS</t>
  </si>
  <si>
    <t>API資料は省略時の固定値を明示しない</t>
  </si>
  <si>
    <t>trueを必須指定</t>
  </si>
  <si>
    <t>暗号化を既定の画面チェック状態へ依存させない。DB側require_secure_transport=ONとクライアントVERIFY_IDENTITYも併用。</t>
  </si>
  <si>
    <t>S05 S13 S30</t>
  </si>
  <si>
    <t>VPC</t>
  </si>
  <si>
    <t>DBと同一VPCが必要</t>
  </si>
  <si>
    <t>地域内のDBと同一VPC</t>
  </si>
  <si>
    <t>Proxyはpublic endpointを持たない。アプリの別VPCアクセスは追加Proxyエンドポイント等を明示して設計。</t>
  </si>
  <si>
    <t>S08</t>
  </si>
  <si>
    <t>VpcSubnetIds</t>
  </si>
  <si>
    <t>2つ以上の適切なサブネットが必要</t>
  </si>
  <si>
    <t>2 AZ以上のprivate subnet</t>
  </si>
  <si>
    <t>IP余裕を確保。現行既定endpointは選ばれた2 AZへ配置される。3 subnetを指定しても既定endpointが3 AZ配置とは限らない。</t>
  </si>
  <si>
    <t>VpcSecurityGroupIds</t>
  </si>
  <si>
    <t>作成経路やVPCに依存</t>
  </si>
  <si>
    <t>Proxy専用SGを明示</t>
  </si>
  <si>
    <t>デフォルトSGに依存しない。app/batch/許可された管理ホストから3306、DB SGへ3306を許可。</t>
  </si>
  <si>
    <t>追加の接続設定</t>
  </si>
  <si>
    <t>EndpointNetworkType</t>
  </si>
  <si>
    <t>IPV4</t>
  </si>
  <si>
    <t>IPV4を基準</t>
  </si>
  <si>
    <t>IPv6採用要件がある場合に限りDUAL/IPV6を選び、DNS、SG、サブネット、経路を同時設計する。</t>
  </si>
  <si>
    <t>TargetConnectionNetworkType</t>
  </si>
  <si>
    <t>現在のターゲット側選択はIPV4/IPV6。DUALはターゲット側の値ではない。IPv6はDBのdual-stack対応が必要。</t>
  </si>
  <si>
    <t>既定エンドポイントの役割</t>
  </si>
  <si>
    <t>READ_WRITE</t>
  </si>
  <si>
    <t>オンラインと更新バッチの共通入口</t>
  </si>
  <si>
    <t>SQLのSELECTもWriterへ向かう。書込主体の昇格が済んでいるかをreadinessで確認する。</t>
  </si>
  <si>
    <t>追加ROエンドポイント</t>
  </si>
  <si>
    <t>作成されない</t>
  </si>
  <si>
    <t>読取専用処理があるときだけ作成</t>
  </si>
  <si>
    <t>Readerへ向ける別DNS。追加料金・SG・独立接続設定が必要。ReaderがないときのWriterフォールバックを前提にしない。</t>
  </si>
  <si>
    <t>S11 S52</t>
  </si>
  <si>
    <t>追加RWエンドポイント</t>
  </si>
  <si>
    <t>別VPC等の要件がなければ不要</t>
  </si>
  <si>
    <t>追加endpointでターゲットグループを増やせるわけではない。online/batch別の借用期限が必須なら別Proxyを評価する。</t>
  </si>
  <si>
    <t>S11 S12</t>
  </si>
  <si>
    <t>待受ポート</t>
  </si>
  <si>
    <t>MySQL Proxyは3306</t>
  </si>
  <si>
    <t>3306</t>
  </si>
  <si>
    <t>Proxy→DBはターゲットに設定されたポートを使う。今回はDBも3306に統一してSGを明確化する。</t>
  </si>
  <si>
    <t>詳細設定</t>
  </si>
  <si>
    <t>DebugLogging</t>
  </si>
  <si>
    <t>API上の省略時値は未明示。通常設計は無効</t>
  </si>
  <si>
    <t>falseを明示</t>
  </si>
  <si>
    <t>調査時のみ期限付きで有効化。現行作成資料では24時間後に自動無効化。SQL・個人情報・コストへの影響を管理する。</t>
  </si>
  <si>
    <t>Tags</t>
  </si>
  <si>
    <t>任意、固定値なし</t>
  </si>
  <si>
    <t>System/Environment/Region/Owner/CostCenter/DRRole</t>
  </si>
  <si>
    <t>障害時の識別とコスト集計用。タグにパスワード、個人名等の秘密を入れない。</t>
  </si>
  <si>
    <t>サービス制約</t>
  </si>
  <si>
    <t>クライアント接続最大寿命</t>
  </si>
  <si>
    <t>24時間、変更不可</t>
  </si>
  <si>
    <t>24時間未満で計画的に更新</t>
  </si>
  <si>
    <t>EAPへ存在しないmaxLifetime属性を追加しない。idle排出、validate-on-match、12時間以内の計画的なコンテナ更新等で対処し、利用中切断にも備える。</t>
  </si>
  <si>
    <t>S07</t>
  </si>
  <si>
    <t>Proxyが保持するidle DB接続</t>
  </si>
  <si>
    <t>通常5分でidle判定</t>
  </si>
  <si>
    <t>サービス管理のまま</t>
  </si>
  <si>
    <t>MaxIdleConnectionsPercentは保持枠を調整する。DB wait_timeoutを短くしてProxyの裏側接続を無闇に切らない。</t>
  </si>
  <si>
    <t>変更反映</t>
  </si>
  <si>
    <t>DBパラメータ変更のProxy反映</t>
  </si>
  <si>
    <t>DBではdynamicでもProxy側再起動要件あり</t>
  </si>
  <si>
    <t>DB再起動・プール再接続を変更手順へ含める</t>
  </si>
  <si>
    <t>公式Proxy制約ではインスタンス再起動が必要。クラスタレベルは全体を対象にする。東京大阪の順次変更・復帰確認を手順化する。</t>
  </si>
  <si>
    <t>TCP3306とSecurity Groupだけでは接続設計の合格条件にならない</t>
  </si>
  <si>
    <t>記載された構成の実設定は未取得。以下は設計記述への評価であり、実際のSGが過剰開放されていると断定するものではない。</t>
  </si>
  <si>
    <t>総合評価</t>
  </si>
  <si>
    <t>要改善・条件付き採用</t>
  </si>
  <si>
    <t>「VPC内部通信でSGにより3306制御」だけでは、誰が、どの経路で、何の権限で、どの証明書を検証して接続するかが不明。暗号化と操作追跡も保証されない。</t>
  </si>
  <si>
    <t>経路表、送信元SG、接続対象、IAM、DBユーザー、TLS、監査、承認済み保守作業を揃えて判断する。</t>
  </si>
  <si>
    <t>S08 S10 設計提案</t>
  </si>
  <si>
    <t>アプリの経路</t>
  </si>
  <si>
    <t>app-sg → proxy-sg:3306のみ</t>
  </si>
  <si>
    <t>本件の通常接続はProxyで統一。app-sgからdb-sgへの3306を常時許可すると、アプリがProxyを迂回でき、接続数制御の前提が崩れる。</t>
  </si>
  <si>
    <t>proxy-sg inbound: app-sg/batch-sg。db-sg inbound: proxy-sg。送信元0.0.0.0/0、全社CIDR、VPC全体CIDRの一括許可を避ける。</t>
  </si>
  <si>
    <t>バッチの経路</t>
  </si>
  <si>
    <t>batch-sg → proxy-sg:3306</t>
  </si>
  <si>
    <t>バッチが東京に残り大阪Writerへ書く構成は「環境ごと大阪へ切替」の例外になる。長い通信経路、東京障害、重複起動を再評価する必要がある。</t>
  </si>
  <si>
    <t>バッチ実行基盤とジョブスケジューラも大阪に切替可能にする。共有ファイルや外部データ入口も地域依存を除く。</t>
  </si>
  <si>
    <t>運用端末</t>
  </si>
  <si>
    <t>恒常的なDB直結は推奨しない</t>
  </si>
  <si>
    <t>インターネット上の端末は、そのままではVPC内部に存在しない。VPN/Direct Connect/踏み台/SSM管理ホスト等の経路を示す必要がある。</t>
  </si>
  <si>
    <t>通常参照は個人別読取権限と許可された管理経路。MFA、端末管理、短時間セッション、接続元の記録を設ける。</t>
  </si>
  <si>
    <t>S08 設計提案</t>
  </si>
  <si>
    <t>Writer/Readerへの管理直結</t>
  </si>
  <si>
    <t>期限付きの例外として残す</t>
  </si>
  <si>
    <t>Proxy異常調査や特定セッション観測ではDBインスタンスへ直接接続する経路が必要な場合がある。常用経路と同じSGにまとめない。</t>
  </si>
  <si>
    <t>admin-breakglass-sgからdb-sg:3306を保守時間だけ許可。変更記録と期限を自動管理。Writer/ReaderのDNS名だけでは個別SG制御できない。</t>
  </si>
  <si>
    <t>SGの限界</t>
  </si>
  <si>
    <t>DNS名・SQL種別・本人を制御しない</t>
  </si>
  <si>
    <t>SGはIP/ポート/プロトコル等で通信を許可する仕組み。DBエンドポイント文字列ごとのSQL許可や、同じポートのSELECT/DELETEの区別はできない。</t>
  </si>
  <si>
    <t>同一クラスター内のWriter/Readerは役割が変わる。読取専用性はDB権限で守り、DNS名がreaderだから安全という運用をしない。</t>
  </si>
  <si>
    <t>TLS</t>
  </si>
  <si>
    <t>クライアントとDBの両区間で有効</t>
  </si>
  <si>
    <t>private IPでも誤接続や盗聴のリスクがゼロになるわけではない。暗号化だけで相手の身元を確認しない設定は不十分。</t>
  </si>
  <si>
    <t>RequireTLS=true、require_secure_transport=ON、Connector/J sslMode=VERIFY_IDENTITY、TLSv1.2/TLSv1.3。IP直書きと独自CNAMEを避ける。</t>
  </si>
  <si>
    <t>S08 S10 S30</t>
  </si>
  <si>
    <t>証明書</t>
  </si>
  <si>
    <t>Proxy用とAurora直結用を区別</t>
  </si>
  <si>
    <t>ProxyはACM/Amazon Trust Services系の証明書、Aurora直結はRDS CA。片方のCAだけを詰めた独自truststoreでは他方の接続が失敗し得る。</t>
  </si>
  <si>
    <t>JDKの信頼ストアを確認しProxyの実FQDNでTLS検証。保守用直結はRDS CA更新手順も持つ。verify=false等で回避しない。</t>
  </si>
  <si>
    <t>S10 S30</t>
  </si>
  <si>
    <t>SSMトンネル</t>
  </si>
  <si>
    <t>localhost名による証明書不一致に注意</t>
  </si>
  <si>
    <t>SSMポート転送はVPC内へ到達させるが、クライアントURLをlocalhostにするとホスト名検証と証明書が一致しない。</t>
  </si>
  <si>
    <t>検証対象ホスト名を保持できるツール/トンネル設定を検証。難しい場合は管理ホスト内で実FQDNに接続。ポート転送はSQL内容の監査を代替しない。</t>
  </si>
  <si>
    <t>S30 設計提案</t>
  </si>
  <si>
    <t>NACL・ルート・DNS</t>
  </si>
  <si>
    <t>SGだけで疎通を断定しない</t>
  </si>
  <si>
    <t>往路3306に加えNACLの戻り通信、ルート、DNS解決、サブネットのIP容量が必要。SGはstateful、NACLはstatelessという性質を区別する。</t>
  </si>
  <si>
    <t>公式Proxyのcross-AZ NACL要件に従い必要範囲を設定。TCP疎通、TLS、認証、SQLまで段階別に試験する。</t>
  </si>
  <si>
    <t>監査</t>
  </si>
  <si>
    <t>ネットワークとSQLのログを分ける</t>
  </si>
  <si>
    <t>VPC Flow Logsは許可/拒否や通信量、CloudTrailはAWS API操作、DB監査ログはDBユーザーの操作を記録する。どれか一つですべては分からない。</t>
  </si>
  <si>
    <t>online/batch/個人管理者のDBアカウントを分離。監査ログには必要なイベントだけを出し、SQL中の機密値、保存期間、アクセス権を管理する。</t>
  </si>
  <si>
    <t>S20 設計提案</t>
  </si>
  <si>
    <t>極めて厳しい合格条件</t>
  </si>
  <si>
    <t>東京遮断状態でも大阪で起動・認証・更新</t>
  </si>
  <si>
    <t>設定上privateでもDNSやSecretsが東京に依存していれば不合格。ネットワークの成功はDBトランザクションの成功と別。</t>
  </si>
  <si>
    <t>アプリ直結拒否、管理例外期限切れ、非TLS拒否、誤CA/誤FQDN拒否、大阪書込、接続数制限、SQL監査を証跡付きで確認する。</t>
  </si>
  <si>
    <t>パラメータグループの継承、Serverless固有動作、用途別の設定責任</t>
  </si>
  <si>
    <t>全件表は後半4シート。直接接続オンライン・直接接続バッチは比較用。採用構成では共用Proxy列を使う。</t>
  </si>
  <si>
    <t>設定の階層</t>
  </si>
  <si>
    <t>クラスター → インスタンス → セッション</t>
  </si>
  <si>
    <t>クラスターパラメータ群は全体の既定を持つ。一部はインスタンス群で上書きでき、さらにSESSION対応値は接続ごとに変更できる。単なるファイルの設定順ではない。</t>
  </si>
  <si>
    <t>同一DBへonline/batchが接続する場合、ユーザー別に別インスタンス群を自動選択する機能はない。DB共通値と接続/SQLごとの値に分離する。</t>
  </si>
  <si>
    <t>S17 S21</t>
  </si>
  <si>
    <t>設定値の表記</t>
  </si>
  <si>
    <t>APIの型・許容値に変換して投入</t>
  </si>
  <si>
    <t>本文のON/OFFは有効/無効の意味。API許容値が0,1なら1/0を使用する。秒・ms等の単位表記は説明であり、数値パラメータへ単位文字列を含めない。</t>
  </si>
  <si>
    <t>既定/推奨一覧は設計資料。適用前にAllowedValues、IsModifiable、MinimumEngineVersion、ApplyTypeを確認して変更要求を作成する。</t>
  </si>
  <si>
    <t>全件と変更可能の区別</t>
  </si>
  <si>
    <t>表示される全行を残して適用条件を付記</t>
  </si>
  <si>
    <t>クラスタ専用131、共通/インスタンス299を合わせて430。IsModifiable=falseも一覧にはある。これを「すべて変更できる」とは説明しない。</t>
  </si>
  <si>
    <t>取得API、リージョン、時刻、MinimumEngineVersion、ApplyTypeを保存。8.4.8専用の1行は対象外として推奨設定を出さない。</t>
  </si>
  <si>
    <t>デフォルト式</t>
  </si>
  <si>
    <t>式を実数へ勝手に置き換えない</t>
  </si>
  <si>
    <t>DBInstanceClassMemory、AllocatedStorage、ServerId等はAWSが解決する式や置換値。ACU×2GiBをそのまま入れた暗算が実効値と一致するとは限らない。</t>
  </si>
  <si>
    <t>実機の@@GLOBAL.max_connections等を記録する。APIにParameterValueがないものはengine-defaultと表示しCommunityの参考値と分離する。</t>
  </si>
  <si>
    <t>S17 S20</t>
  </si>
  <si>
    <t>自動調整の4項目</t>
  </si>
  <si>
    <t>固定値上書きは採用しない</t>
  </si>
  <si>
    <t>innodb_buffer_pool_size、innodb_purge_threads、table_definition_cache、table_open_cacheはServerless v2が容量に合わせて調整し、カスタム値を使わない。</t>
  </si>
  <si>
    <t>全件表ではAPI上変更可でも「v2自動調整」と表示する。プロビジョンド向けの固定メモリ最適化をそのまま適用しない。</t>
  </si>
  <si>
    <t>S17</t>
  </si>
  <si>
    <t>max_connections</t>
  </si>
  <si>
    <t>最大ACUで決まり、変更後の再起動を考慮</t>
  </si>
  <si>
    <t>スケールダウンのたびに接続を落とさないよう最大ACUを基準に算出する。API一般メタデータはdynamicでもv2で最大ACU変更後の反映には再起動が必要。</t>
  </si>
  <si>
    <t>最大32 ACU時の公式参考値は3000だが実機確認が必要。3000接続を同時に動かすCPU能力の保証ではない。アプリ同時実行は別に小さく制限する。</t>
  </si>
  <si>
    <t>sql_mode</t>
  </si>
  <si>
    <t>厳格モードを明示</t>
  </si>
  <si>
    <t>今回のAWS API返値は0であり、Communityの既定文字列をAuroraの実測値として転記しない。業務データの桁落ちや不正日付を黙認しないため明示設定する。</t>
  </si>
  <si>
    <t>ONLY_FULL_GROUP_BY,STRICT_TRANS_TABLES,NO_ZERO_IN_DATE,NO_ZERO_DATE,ERROR_FOR_DIVISION_BY_ZERO,NO_ENGINE_SUBSTITUTIONを候補とし、既存SQLと取込ファイルを回帰試験する。</t>
  </si>
  <si>
    <t>S53 S56</t>
  </si>
  <si>
    <t>分離レベル</t>
  </si>
  <si>
    <t>REPEATABLE-READを基準に継続</t>
  </si>
  <si>
    <t>ロック待ちだけを理由にREAD-COMMITTEDへ全面変更すると、同じ処理の読み直し結果が変わる。Reader向けのaurora_read_replica_read_committedはさらに別の最適化である。</t>
  </si>
  <si>
    <t>オンラインは既存整合性を守る。バッチRCは業務上の読み取り一貫性を確認した専用処理に限定。共用Proxyの基準値はRRのまま。</t>
  </si>
  <si>
    <t>S53 S20</t>
  </si>
  <si>
    <t>耐久性</t>
  </si>
  <si>
    <t>コミットの安全性を弱めない</t>
  </si>
  <si>
    <t>innodb_flush_log_at_trx_commit=1、innodb_trx_commit_allow_data_loss=0。Auroraは独自ストレージで耐久性を実装するため、通常MySQLのディスク最適化を機械的に流用しない。</t>
  </si>
  <si>
    <t>sync_binlogはbinlog利用時の話。Globalのストレージ複製を高速化するためbinlogをONにする、という説明は誤り。</t>
  </si>
  <si>
    <t>S20 S15</t>
  </si>
  <si>
    <t>同居のロック上限</t>
  </si>
  <si>
    <t>共通5秒、バッチは分割・再実行</t>
  </si>
  <si>
    <t>オンライン5秒、バッチ専用DBなら30秒という比較は可能。しかし共有Writerに同居する基準設計は5秒に揃え、バッチが長いロックを抱えないようにする。</t>
  </si>
  <si>
    <t>innodb_rollback_on_timeout=ONを候補にし、アプリもトランザクション全体をrollback。デッドロック再試行は冪等なチャンク単位で行う。</t>
  </si>
  <si>
    <t>S54 設計提案</t>
  </si>
  <si>
    <t>SESSION変更とProxy</t>
  </si>
  <si>
    <t>必要性とピン留めを両方評価</t>
  </si>
  <si>
    <t>SET SESSION innodb_lock_wait_timeout等を接続ごとに変えるとピン留めを招く場合がある。安全を捨てるフィルターで回避することは推奨しない。</t>
  </si>
  <si>
    <t>オンラインのSELECT時間制限はMAX_EXECUTION_TIMEヒント、JDBC期限、業務期限を組み合わせる。必要なら別Proxyと接続予算を持つ。</t>
  </si>
  <si>
    <t>S09 S53</t>
  </si>
  <si>
    <t>変更の配布</t>
  </si>
  <si>
    <t>両地域を同じIaCから生成</t>
  </si>
  <si>
    <t>Global複製はパラメータ群、SG、Secrets、SSMをすべて同一に維持する機能ではない。大阪だけ古い設定のままだと昇格後に別の動作になる。</t>
  </si>
  <si>
    <t>同じ意味のパラメータ値を地域別に管理。差分検査で業務値の一致と、地域ARN等の意図的差分を区別。static、v2例外、Proxy再起動要件を個別確認する。</t>
  </si>
  <si>
    <t>S08 S21</t>
  </si>
  <si>
    <t>タイムアウトの既定値と用途別推奨：区間・単位・効き方を分ける</t>
  </si>
  <si>
    <t>数値はSLO未確定時の初期案。online: SELECT 5秒 → JDBC 8秒 → socket 12秒 → JTA 20秒 → 業務30秒。各タイマーは開始点と対象が異なり、単に数値の大小だけで整合性を証明できない。</t>
  </si>
  <si>
    <t>層</t>
  </si>
  <si>
    <t>パラメータ</t>
  </si>
  <si>
    <t>デフォルトの根拠</t>
  </si>
  <si>
    <t>オンライン直結</t>
  </si>
  <si>
    <t>バッチ直結</t>
  </si>
  <si>
    <t>共用Proxy経由</t>
  </si>
  <si>
    <t>意味と注意点</t>
  </si>
  <si>
    <t>DB</t>
  </si>
  <si>
    <t>connect_timeout</t>
  </si>
  <si>
    <t>MySQL参考10秒。AWS値はengine-default</t>
  </si>
  <si>
    <t>10秒</t>
  </si>
  <si>
    <t>初回ハンドシェイクのDB側待ち。JDBC TCP接続の期限ではない。</t>
  </si>
  <si>
    <t>S53</t>
  </si>
  <si>
    <t>wait_timeout</t>
  </si>
  <si>
    <t>MySQL参考28800秒</t>
  </si>
  <si>
    <t>600秒</t>
  </si>
  <si>
    <t>3600秒</t>
  </si>
  <si>
    <t>28800秒を維持</t>
  </si>
  <si>
    <t>非対話セッションの無通信時間。実行中SQLを止める値ではない。Proxyが保持するDB接続を短時間で切らない。</t>
  </si>
  <si>
    <t>S53 S07</t>
  </si>
  <si>
    <t>interactive_timeout</t>
  </si>
  <si>
    <t>Connector/J interactiveClient=falseが既定のため通常はこちらではなくwait_timeout。管理端末は個別の短い期限を検討。</t>
  </si>
  <si>
    <t>S27 S53</t>
  </si>
  <si>
    <t>innodb_lock_wait_timeout</t>
  </si>
  <si>
    <t>MySQL参考50秒</t>
  </si>
  <si>
    <t>5秒</t>
  </si>
  <si>
    <t>30秒</t>
  </si>
  <si>
    <t>InnoDB行ロックの待ち。共有DBでは短い値とバッチ分割を優先。デッドロック検出やmetadata lockとは別。</t>
  </si>
  <si>
    <t>S54</t>
  </si>
  <si>
    <t>lock_wait_timeout</t>
  </si>
  <si>
    <t>MySQL参考31536000秒</t>
  </si>
  <si>
    <t>DDLなどのメタデータロック待ち。DDLバッチだけ別セッションの保守期限を検討。長い既定値の放置を避ける。</t>
  </si>
  <si>
    <t>max_execution_time</t>
  </si>
  <si>
    <t>MySQL参考0ms＝上限なし</t>
  </si>
  <si>
    <t>5000ms</t>
  </si>
  <si>
    <t>90000ms</t>
  </si>
  <si>
    <t>90000ms + onlineのSELECTに5000msヒント</t>
  </si>
  <si>
    <t>主に読取専用SELECTの上限。INSERT/UPDATE/DELETE全体やストアド内処理の万能タイマーではない。</t>
  </si>
  <si>
    <t>innodb_rollback_on_timeout</t>
  </si>
  <si>
    <t>MySQL参考OFF</t>
  </si>
  <si>
    <t>ON（要回帰）</t>
  </si>
  <si>
    <t>行ロックタイムアウト時の部分成功を避ける。staticなので再起動。アプリ側rollback・接続廃棄の責任も残る。</t>
  </si>
  <si>
    <t>net_read_timeout</t>
  </si>
  <si>
    <t>MySQL参考30秒</t>
  </si>
  <si>
    <t>30秒、実測で60秒を検討</t>
  </si>
  <si>
    <t>DBがクライアントからデータを受け取る途中の待ち。SQLの計算時間と関係を混同しない。</t>
  </si>
  <si>
    <t>net_write_timeout</t>
  </si>
  <si>
    <t>MySQL参考60秒</t>
  </si>
  <si>
    <t>60秒</t>
  </si>
  <si>
    <t>60秒、遅い消費を改善</t>
  </si>
  <si>
    <t>DBが結果をクライアントへ送る途中の待ち。大量一括取得の代わりにページング・チャンクを使う。</t>
  </si>
  <si>
    <t>aurora_transaction_timeout</t>
  </si>
  <si>
    <t>8.4.8以降専用</t>
  </si>
  <si>
    <t>8.4.7では不可</t>
  </si>
  <si>
    <t>一覧に見えてもMinimumEngineVersionで除外。8.4.7のトランザクション期限はJTA/アプリ側で設計する。</t>
  </si>
  <si>
    <t>Proxy</t>
  </si>
  <si>
    <t>120秒</t>
  </si>
  <si>
    <t>直結では該当なし</t>
  </si>
  <si>
    <t>接続不足やWriter切替中の待ち。バッチSQLを3秒で止める設定ではない。</t>
  </si>
  <si>
    <t>該当なし</t>
  </si>
  <si>
    <t>アプリ側idle300秒を先にする。DB側wait_timeoutとの接続区間の違いに注意。</t>
  </si>
  <si>
    <t>EAP</t>
  </si>
  <si>
    <t>blocking-timeout-wait-millis</t>
  </si>
  <si>
    <t>モデル/明示設定を確認</t>
  </si>
  <si>
    <t>1000ms</t>
  </si>
  <si>
    <t>DriverManagerではプールなし</t>
  </si>
  <si>
    <t>online=1000ms</t>
  </si>
  <si>
    <t>ローカルプールの借用待ち。新規物理接続の全時間を制限できない。別途JDBC connectTimeoutが必要。</t>
  </si>
  <si>
    <t>S25</t>
  </si>
  <si>
    <t>JDBC</t>
  </si>
  <si>
    <t>connectTimeout</t>
  </si>
  <si>
    <t>0ms＝無期限</t>
  </si>
  <si>
    <t>3000ms</t>
  </si>
  <si>
    <t>online=3000ms / batch=5000ms</t>
  </si>
  <si>
    <t>TCP接続確立。SSM取得、DNS、全SQL、業務処理をまとめて制限するものではない。</t>
  </si>
  <si>
    <t>S28</t>
  </si>
  <si>
    <t>socketTimeout</t>
  </si>
  <si>
    <t>12000ms</t>
  </si>
  <si>
    <t>150000ms</t>
  </si>
  <si>
    <t>online=12000ms / batch=150000ms</t>
  </si>
  <si>
    <t>ソケットの通信待ち上限。DBのSQL中断が即時に完了した保証にはしない。HTTP中断後のDB処理残留も検査する。</t>
  </si>
  <si>
    <t>JDBC/EAP</t>
  </si>
  <si>
    <t>query-timeout / setQueryTimeout</t>
  </si>
  <si>
    <t>未指定0＝制限なしが基準</t>
  </si>
  <si>
    <t>8秒</t>
  </si>
  <si>
    <t>online=8秒 / batch=120秒</t>
  </si>
  <si>
    <t>SQLごとのタイムアウト。単位は秒。ResultSetの全消費時間や複数SQLの総時間は別に管理。</t>
  </si>
  <si>
    <t>S25 S29</t>
  </si>
  <si>
    <t>set-tx-query-timeout</t>
  </si>
  <si>
    <t>実機モデルを確認</t>
  </si>
  <si>
    <t>online=falseを基準</t>
  </si>
  <si>
    <t>trueは残りJTA時間をstatement期限に使うため、query-timeout=8との単純なmin動作と断定しない。基準設計は固定8秒とJTA20秒を別々に管理。</t>
  </si>
  <si>
    <t>EAP/JTA</t>
  </si>
  <si>
    <t>default-timeout</t>
  </si>
  <si>
    <t>300秒</t>
  </si>
  <si>
    <t>20秒</t>
  </si>
  <si>
    <t>直接JDBCにはJTAなし</t>
  </si>
  <si>
    <t>online=20秒</t>
  </si>
  <si>
    <t>全トランザクションの期限。CMT/BMTと他の資源も含む。timeoutでマークされてもDB処理が瞬時に消えるとは限らない。</t>
  </si>
  <si>
    <t>EAP pool</t>
  </si>
  <si>
    <t>idle-timeout-minutes</t>
  </si>
  <si>
    <t>5分</t>
  </si>
  <si>
    <t>DriverManagerではなし</t>
  </si>
  <si>
    <t>online=5分</t>
  </si>
  <si>
    <t>未使用の物理接続を閉じる。プール上限と最小値0、計画的な更新も合わせて24時間のProxy寿命に備える。</t>
  </si>
  <si>
    <t>S07 S25</t>
  </si>
  <si>
    <t>アプリ</t>
  </si>
  <si>
    <t>オンライン要求全体</t>
  </si>
  <si>
    <t>業務仕様による</t>
  </si>
  <si>
    <t>接続待ち・SQL・整形・応答の合計。1SQLの8秒を何回でも使える設計にしない。残り期限を引き継ぐ。</t>
  </si>
  <si>
    <t>バッチ</t>
  </si>
  <si>
    <t>チャンク/ジョブ全体</t>
  </si>
  <si>
    <t>180秒 / 仮60分</t>
  </si>
  <si>
    <t>1ジョブを1トランザクションにしない。中断後に確定済みチャンクから再開し、ジョブの許容時間を処理量で決める。</t>
  </si>
  <si>
    <t>再試行</t>
  </si>
  <si>
    <t>回数とバックオフ</t>
  </si>
  <si>
    <t>製品間で異なる</t>
  </si>
  <si>
    <t>原則1要求内0回、冪等時のみ期限内再試行</t>
  </si>
  <si>
    <t>1チャンク最大3回、1/2/4秒+jitter</t>
  </si>
  <si>
    <t>onlineは予算内、batchは最大3回</t>
  </si>
  <si>
    <t>認証失敗・SQL誤りを再試行しない。COMMIT結果不明は業務IDで照合。障害時の連続再接続を防ぐ。</t>
  </si>
  <si>
    <t>JBoss EAP 8.1とJavaバッチの接続設定</t>
  </si>
  <si>
    <t>どちらも採用構成では地域RDS Proxyへ接続する。パスワードをJDBC URL、コード、コンテナイメージ、通常ログに埋め込まない。</t>
  </si>
  <si>
    <t>分類</t>
  </si>
  <si>
    <t>設定</t>
  </si>
  <si>
    <t>製品既定/確認した事実</t>
  </si>
  <si>
    <t>推奨</t>
  </si>
  <si>
    <t>判断・検証</t>
  </si>
  <si>
    <t>ドライバ</t>
  </si>
  <si>
    <t>com.mysql.cj.jdbc.Driver</t>
  </si>
  <si>
    <t>MySQL Connector/J</t>
  </si>
  <si>
    <t>online/batch共通</t>
  </si>
  <si>
    <t>旧com.mysql.jdbc.Driverを新規採用しない。JNDIは接続管理を抽象化するが、実際のMySQL通信はドライバが行う。</t>
  </si>
  <si>
    <t>S24</t>
  </si>
  <si>
    <t>版選択</t>
  </si>
  <si>
    <t>EAP 8.1検証組合せ</t>
  </si>
  <si>
    <t>MySQL 8.4.5 / Connector/J 9.4.0を公式表で確認</t>
  </si>
  <si>
    <t>この組合せを比較基準に、保守対象の修正版を固定</t>
  </si>
  <si>
    <t>Aurora8.4.7+Proxyが同じ認定組合せであると断定しない。ドライバの現在最新版とRed Hat検証版は別。採用JAR/JDK/EAPパッチを固定し相互接続試験。</t>
  </si>
  <si>
    <t>S26 S27</t>
  </si>
  <si>
    <t>sslMode</t>
  </si>
  <si>
    <t>PREFERRED</t>
  </si>
  <si>
    <t>VERIFY_IDENTITY</t>
  </si>
  <si>
    <t>PREFERREDは暗号化も本人確認も必須にしない。実際のProxy FQDNをURLに指定する。</t>
  </si>
  <si>
    <t>S27 S30</t>
  </si>
  <si>
    <t>tlsVersions</t>
  </si>
  <si>
    <t>JDK/ドライバ依存</t>
  </si>
  <si>
    <t>TLSv1.2,TLSv1.3</t>
  </si>
  <si>
    <t>古いTLSを明示的に候補から外す。ProxyとDBで使う暗号スイートの共通集合を維持する。</t>
  </si>
  <si>
    <t>allowPublicKeyRetrieval</t>
  </si>
  <si>
    <t>false</t>
  </si>
  <si>
    <t>検証付きTLSを使う構成で、公開鍵を無条件取得する緩和設定は不要。認証エラーをtrueで隠さない。</t>
  </si>
  <si>
    <t>文字</t>
  </si>
  <si>
    <t>characterEncoding</t>
  </si>
  <si>
    <t>未指定</t>
  </si>
  <si>
    <t>UTF-8</t>
  </si>
  <si>
    <t>Connector/J側のJava文字コード名。DBはutf8mb4。絵文字・異体字・サロゲートペアを試験する。</t>
  </si>
  <si>
    <t>S27</t>
  </si>
  <si>
    <t>connectionCollation</t>
  </si>
  <si>
    <t>新規はutf8mb4_0900_ai_ciを候補</t>
  </si>
  <si>
    <t>業務コードの大小文字やアクセントの区別は列単位で明示。既存照合順序を変更すると一意性や並びが変わるため移行試験が必要。</t>
  </si>
  <si>
    <t>時刻</t>
  </si>
  <si>
    <t>connectionTimeZone</t>
  </si>
  <si>
    <t>LOCAL</t>
  </si>
  <si>
    <t>UTC</t>
  </si>
  <si>
    <t>DB time_zone=UTCと併用。TIMESTAMPとDATETIMEの意味を分け、日本向け画面表示でAsia/Tokyoへ変換する。</t>
  </si>
  <si>
    <t>forceConnectionTimeZoneToSession</t>
  </si>
  <si>
    <t>falseを基準</t>
  </si>
  <si>
    <t>DB共通UTCなら接続ごとのSETを増やさない。DB設定が異なる環境では明示的なsession設定を行い、Proxyへの影響を評価する。</t>
  </si>
  <si>
    <t>S27 S09</t>
  </si>
  <si>
    <t>復旧</t>
  </si>
  <si>
    <t>autoReconnect</t>
  </si>
  <si>
    <t>失われたトランザクションやセッション状態を透過復元できない。壊れた接続はプールが捨て、業務単位で再実行判断する。</t>
  </si>
  <si>
    <t>SQL安全</t>
  </si>
  <si>
    <t>allowMultiQueries</t>
  </si>
  <si>
    <t>SQL文字列連結を許す方向でバッチ化しない。PreparedStatementとaddBatch/executeBatchを使用する。</t>
  </si>
  <si>
    <t>ローカルファイル</t>
  </si>
  <si>
    <t>allowLoadLocalInfile</t>
  </si>
  <si>
    <t>DB local_infile=0とも整合。必要な取込は専用ユーザー・専用経路で個別設計する。</t>
  </si>
  <si>
    <t>prepared statement</t>
  </si>
  <si>
    <t>useServerPrepStmts</t>
  </si>
  <si>
    <t>online=false、batch=falseを基準</t>
  </si>
  <si>
    <t>JDBC PreparedStatement自体は使い続ける。サーバーpreparedはProxyピン留めを招くため、必要性を測定して有効化する。</t>
  </si>
  <si>
    <t>cachePrepStmts</t>
  </si>
  <si>
    <t>online=true/キャッシュ100程度を試験、batchは既定開始</t>
  </si>
  <si>
    <t>パース等の再利用。EAPのprepared-statement-cache-sizeと二重に大きくしない。メモリ増加とSQL種類数を測定する。</t>
  </si>
  <si>
    <t>S27 S25</t>
  </si>
  <si>
    <t>大量取得</t>
  </si>
  <si>
    <t>useCursorFetch</t>
  </si>
  <si>
    <t>基準false</t>
  </si>
  <si>
    <t>trueにするとサーバーpreparedを使い、ピン留めやカーソル時間の影響が出る。大きい全件一括取得よりキー範囲ページングを先に検討する。</t>
  </si>
  <si>
    <t>バッチ送信</t>
  </si>
  <si>
    <t>rewriteBatchedStatements</t>
  </si>
  <si>
    <t>false開始、計測後に必要時true</t>
  </si>
  <si>
    <t>巨大な一括SQLは16KB超のピン留めやpacket上限を招く。1回100～1000行は仮の開始値で、行サイズとロック時間で上限を決める。</t>
  </si>
  <si>
    <t>バッチ失敗</t>
  </si>
  <si>
    <t>continueBatchOnError</t>
  </si>
  <si>
    <t>true</t>
  </si>
  <si>
    <t>batch=false</t>
  </si>
  <si>
    <t>途中失敗後にどこまで実行したかを扱いやすくする。自動commitは止め、1チャンクをrollbackできる設計にする。</t>
  </si>
  <si>
    <t>S29</t>
  </si>
  <si>
    <t>中断</t>
  </si>
  <si>
    <t>queryTimeoutKillsConnection</t>
  </si>
  <si>
    <t>trueを候補に実機試験</t>
  </si>
  <si>
    <t>query timeout時に接続を破棄する方式。別接続からのKILLだけに依存しない。DB側SQLの停止・ロールバック完了までを負荷試験で観測する。</t>
  </si>
  <si>
    <t>健全性</t>
  </si>
  <si>
    <t>validate-on-match / background-validation</t>
  </si>
  <si>
    <t>EAPモデルで確認</t>
  </si>
  <si>
    <t>true / false</t>
  </si>
  <si>
    <t>貸出時に検証。両方を有効にして重複検証を増やさない。検証直後の障害は防げないため実SQLの例外も処理する。</t>
  </si>
  <si>
    <t>S24 S25</t>
  </si>
  <si>
    <t>ValidConnectionChecker / ExceptionSorter</t>
  </si>
  <si>
    <t>未設定の場合は個別追加</t>
  </si>
  <si>
    <t>MySQLValidConnectionChecker / MySQLExceptionSorter</t>
  </si>
  <si>
    <t>EAP公式MySQL例の拡張クラスを採用。例外の種類に応じて壊れた物理接続をプールから除去する。</t>
  </si>
  <si>
    <t>EAPプール</t>
  </si>
  <si>
    <t>min-pool-size / max-pool-size</t>
  </si>
  <si>
    <t>0 / 20を初期案、prefill=false</t>
  </si>
  <si>
    <t>最大コンテナ数とデプロイ中の新旧重複を掛けた合計を計算する。Proxyがあるから各Pod数百本にする設計は採らない。</t>
  </si>
  <si>
    <t>S07 設計提案</t>
  </si>
  <si>
    <t>バッチ接続</t>
  </si>
  <si>
    <t>DriverManagerから直接ドライバ使用</t>
  </si>
  <si>
    <t>アプリの実装による</t>
  </si>
  <si>
    <t>最大8 worker、各workerで1接続/チャンク</t>
  </si>
  <si>
    <t>Proxy経由でもAPIはDriverManagerでよい。DriverManager自体にプールはない。try-with-resourcesで閉じ、全行ごとに接続作成しない。</t>
  </si>
  <si>
    <t>S27 設計提案</t>
  </si>
  <si>
    <t>トランザクション</t>
  </si>
  <si>
    <t>online JTA / batch local transaction</t>
  </si>
  <si>
    <t>autocommitは通常true</t>
  </si>
  <si>
    <t>onlineはコンテナ管理、batchは明示開始・commit・rollback</t>
  </si>
  <si>
    <t>CMT内で勝手にConnection.commit()しない。複数DBやJMSの原子性が必要ならXA等の別設計が必要で、非XAのまま原子性を約束しない。</t>
  </si>
  <si>
    <t>Aurora 8.4.7の認証：Nativeは利用できるが、新規採用はSHA-2を推奨</t>
  </si>
  <si>
    <t>IAMデータベース認証を使わなくても、安全なパスワード認証を選択できる。IAMはAWS APIの権限管理として引き続き必要。</t>
  </si>
  <si>
    <t>明確な回答</t>
  </si>
  <si>
    <t>mysql_native_passwordは設定可能</t>
  </si>
  <si>
    <t>Aurora 8.4.7ではmysql_native_password=ONが既定で、APIでもIsModifiable=falseを確認。通常のMySQL 8.4で既定無効という説明を、そのままAuroraへ当てはめてはいけない。</t>
  </si>
  <si>
    <t>特定ユーザーをIDENTIFIED WITH mysql_native_passwordで作成/変更できる。旧ドライバ救済の例外用途に留め、恒久標準にはしない。</t>
  </si>
  <si>
    <t>S02 S22</t>
  </si>
  <si>
    <t>新規の推奨</t>
  </si>
  <si>
    <t>caching_sha2_password + TLS</t>
  </si>
  <si>
    <t>新規ユーザーの既定はauthentication_policy=*:caching_sha2_password。パスワード照合のための認証方式であり、IAMトークンを要求する方式ではない。</t>
  </si>
  <si>
    <t>DBユーザー、Proxy ClientPasswordAuthType、Connector/Jの対応を一致させる。接続ごとにTLSを必須にして相手のホスト名も確認する。</t>
  </si>
  <si>
    <t>S22 S14</t>
  </si>
  <si>
    <t>プラグインと既定ポリシー</t>
  </si>
  <si>
    <t>ONにすることと新規既定は別</t>
  </si>
  <si>
    <t>mysql_native_password=ONは機能が存在し有効という意味。authentication_policyは新しく作るユーザーが省略時にどの方式を使うかを決める。</t>
  </si>
  <si>
    <t>既存ユーザーはポリシー変更だけでSHA-2へ自動移行しない。SELECT user,host,pluginで管理者が確認する。取得結果は機密管理する。</t>
  </si>
  <si>
    <t>S22</t>
  </si>
  <si>
    <t>nativeが使えない環境</t>
  </si>
  <si>
    <t>SHA-2対応ドライバへ更新</t>
  </si>
  <si>
    <t>通常MySQL8.4や将来Aurora版等でnativeが使えないときは、caching_sha2_passwordへ移行するのが第一選択。IAM導入だけが唯一の代替ではない。</t>
  </si>
  <si>
    <t>Connector/JとJDKを保守対象版にし、秘密をローテーション。TLS無効化やallowPublicKeyRetrieval=trueによる場当たり対応は行わない。</t>
  </si>
  <si>
    <t>S22 S30</t>
  </si>
  <si>
    <t>弱い互換策を避ける</t>
  </si>
  <si>
    <t>古いドライバの延命を本設計にしない</t>
  </si>
  <si>
    <t>SHA-2認証とTLSに非対応のクライアントを残すために、全ユーザーをnativeへ戻すと更新の目的が失われる。</t>
  </si>
  <si>
    <t>移行期間だけ対象ユーザーを限定。終了日、影響アプリ、更新担当、テスト証跡を記録し、SHA-2へ統一する。</t>
  </si>
  <si>
    <t>ローテーションとdual password</t>
  </si>
  <si>
    <t>Proxy非対応機能を前提にしない</t>
  </si>
  <si>
    <t>通常MySQLには二つのパスワードを同時に保持する移行方法があるが、RDS ProxyはMySQL dual passwordsをサポートしない。</t>
  </si>
  <si>
    <t>単一ユーザーの更新手順、または明示的に二つのアプリ用ユーザーを切替える方式を別途検証。秘密の更新と新規接続成功を両地域で確認。</t>
  </si>
  <si>
    <t>S08 S33</t>
  </si>
  <si>
    <t>パスワード規則</t>
  </si>
  <si>
    <t>validate_password componentを検討</t>
  </si>
  <si>
    <t>8.4.7はaurora_enable_validate_password_componentで有効化する。SQLのINSTALL COMPONENTを前提にせずAWSの管理方式へ合わせる。</t>
  </si>
  <si>
    <t>新規構成では長さ20以上の機械生成、ユーザー名との一致禁止、必要な文字種をポリシー化。Secretsの生成条件も合わせ、更新失敗で停止しないよう試験する。</t>
  </si>
  <si>
    <t>S23 S20</t>
  </si>
  <si>
    <t>特権の分離</t>
  </si>
  <si>
    <t>online/batch/管理/Proxy内部を分ける</t>
  </si>
  <si>
    <t>アプリは必要表のSELECT/INSERT/UPDATE/DELETEだけを基準にする。バッチにも不要なDDL、FILE、管理権限は渡さない。</t>
  </si>
  <si>
    <t>rdsproxyadminはAWSの予約・保護ユーザー。変更・削除・パスワード更新を運用スクリプトへ含めない。</t>
  </si>
  <si>
    <t>S23</t>
  </si>
  <si>
    <t>証明書更新</t>
  </si>
  <si>
    <t>信頼先を維持して計画更新</t>
  </si>
  <si>
    <t>Proxy経由とAurora直結では証明書管理の責任範囲が違う。古いJDKの信頼ストアや証明書pinningは更新時の停止原因になる。</t>
  </si>
  <si>
    <t>独自固定のサーバー証明書を埋め込まず、管理されたCA trustを更新する。TLSネゴシエーション結果はクライアント側でも確認する。Proxy越しのDB SSL変数だけを暗号化判定にしない。</t>
  </si>
  <si>
    <t>データ格納領域・表スペース・容量・パーティション・バックアップ</t>
  </si>
  <si>
    <t>ストレージの物理配置はAuroraが管理する。利用者が主に設計するのは論理スキーマ、索引、保持期間、負荷、復旧可能性である。</t>
  </si>
  <si>
    <t>保存方式</t>
  </si>
  <si>
    <t>Aurora共有クラスターvolume + InnoDB</t>
  </si>
  <si>
    <t>地域内では3 AZに複製した耐久ストレージを使い、WriterとReaderは同じクラスターのデータを共有する。大阪はGlobal複製で別のvolumeを持つ。</t>
  </si>
  <si>
    <t>EBS gp3のIOPSやOSディスクのRAIDを設計するサービスではない。ACU、volume使用量、ローカル一時領域を別々に監視する。</t>
  </si>
  <si>
    <t>S35</t>
  </si>
  <si>
    <t>Standard / I/O-Optimized</t>
  </si>
  <si>
    <t>初期はStandard、実績で比較</t>
  </si>
  <si>
    <t>StandardはI/O料金を含む従量制、I/O-Optimizedは計算/保存の料金体系が異なる。速そうな名前だけで選ぶものではない。</t>
  </si>
  <si>
    <t>同じ30日分のACU時間・保存量・読書I/O・Global複製・Proxy・バックアップを積算する。オンラインと大量バッチを含めて損益分岐を比較する。</t>
  </si>
  <si>
    <t>S60 S52</t>
  </si>
  <si>
    <t>表スペース定義</t>
  </si>
  <si>
    <t>innodb_file_per_table=1</t>
  </si>
  <si>
    <t>新規テーブル/各partitionに対応する論理的な領域を使う。DROP後の容量回収や個々の表の保守を扱いやすくする。</t>
  </si>
  <si>
    <t>DBクラスターパラメータで明示し、既存表は値変更だけで自動移動しないことに注意。変換は再構築・作業領域・停止影響を計測する。</t>
  </si>
  <si>
    <t>S37 S54</t>
  </si>
  <si>
    <t>物理配置</t>
  </si>
  <si>
    <t>任意ディスクへの配置は行わない</t>
  </si>
  <si>
    <t>Oracleの業務別表領域やOSパス別I/O分散をそのまま持ち込めない。Auroraは物理ファイル/ストレージノードを利用者が管理する形ではない。</t>
  </si>
  <si>
    <t>DATA DIRECTORYや一般表スペースの作成を標準設計にしない。AWSのAurora向け手引きのfile-per-table方針に合わせ、業務分離はschemaと権限で行う。</t>
  </si>
  <si>
    <t>S41</t>
  </si>
  <si>
    <t>行形式</t>
  </si>
  <si>
    <t>ROW_FORMAT=DYNAMIC</t>
  </si>
  <si>
    <t>可変長列を扱う標準案。索引は同じInnoDBテーブル領域に属し、別の高速ディスクへ索引だけ移す配置を利用者が指定するわけではない。</t>
  </si>
  <si>
    <t>長大なJSON/BLOBは必要性を精査。バイナリ本体をS3、DBはID/メタデータ/整合性管理とする案も業務条件で比較。</t>
  </si>
  <si>
    <t>容量上限</t>
  </si>
  <si>
    <t>8.4系は256 TiB対応範囲として設計確認</t>
  </si>
  <si>
    <t>現行AWS容量表はAurora MySQL 3.10以降を256 TiBとする。8.4は同系列の現行機能を継承する。無制限の拡張ではない。</t>
  </si>
  <si>
    <t>採用環境のAuroraVolumeBytesLeftTotalで実効上限と残量を確認。単一InnoDB表領域は通常16KiB pageで64TiB制約も考慮し、そこまで巨大化する前に分割する。</t>
  </si>
  <si>
    <t>S02 S36 S54</t>
  </si>
  <si>
    <t>拡張と縮小</t>
  </si>
  <si>
    <t>DELETEだけで請求量はすぐ減らない</t>
  </si>
  <si>
    <t>行DELETEは領域内の再利用可能な空きを増やすが、物理的な表領域の返却と同義ではない。DROP/TRUNCATE/partition削除/再編成が回収の契機になる。</t>
  </si>
  <si>
    <t>回収は非同期で即時ではない。OPTIMIZE TABLEを自動日次実行せず、表サイズ・追加作業容量・ロック・レプリケーション負荷を測定して計画する。</t>
  </si>
  <si>
    <t>S37</t>
  </si>
  <si>
    <t>容量計画</t>
  </si>
  <si>
    <t>使用量と使い切るまでの日数</t>
  </si>
  <si>
    <t>単に使用率80%だけでは、月1TB増加と1時間1TB増加を区別できない。重いDDLや長いトランザクションで一時的に領域が増える。</t>
  </si>
  <si>
    <t>データ+索引+undo+一時再構築+成長分を見積もる。警告例は残日数90/30日、容量70/85%。保守再構築の必要量と両地域の請求量も計画する。</t>
  </si>
  <si>
    <t>S37 設計提案</t>
  </si>
  <si>
    <t>ローカル一時領域</t>
  </si>
  <si>
    <t>クラスター容量と別の上限</t>
  </si>
  <si>
    <t>ソート、大きい集計、一時表はDBインスタンス側のメモリやローカル領域を使う。永続volumeに空きがあってもtemporary tableが満杯になることがある。</t>
  </si>
  <si>
    <t>FreeLocalStorage、temp table、spill、実行計画を監視。Serverlessの最小/最大容量とSQL同時実行で試験し、tmp_table_size等を一律巨大化しない。</t>
  </si>
  <si>
    <t>S38 S23</t>
  </si>
  <si>
    <t>8.4一時表の違い</t>
  </si>
  <si>
    <t>temptable_max_mmapはAurora固有の式</t>
  </si>
  <si>
    <t>AuroraはLEAST(4294967296,{AllocatedStorage*3/100})。Community MySQL8.4の既定0と異なる。資料から1GB等を固定コピーしない。</t>
  </si>
  <si>
    <t>temptable_max_ramはメモリ依存の既定を尊重。ReaderとWriterでspill動作が異なり得るため、バッチをROへ動かす前に実データで検証する。</t>
  </si>
  <si>
    <t>S23 S38</t>
  </si>
  <si>
    <t>分割の対象</t>
  </si>
  <si>
    <t>期間で消す大きな履歴表を優先</t>
  </si>
  <si>
    <t>パーティションはデータの整理箱。WHEREが分割キーを使えば読む箱を減らせるが、すべてのSQLが自動で速くなるわけではない。</t>
  </si>
  <si>
    <t>月単位RANGE COLUMNS(created_on)を候補。小さいマスターや外部キー中心の業務表は未分割を基準にする。分割数をむやみに増やさない。</t>
  </si>
  <si>
    <t>S42 S43</t>
  </si>
  <si>
    <t>一意制約</t>
  </si>
  <si>
    <t>すべてのUNIQUEに分割列が必要</t>
  </si>
  <si>
    <t>日付で分割する表のPRIMARY KEYをidだけにできない場合がある。PRIMARY KEY(created_on,id)へ変えると、id単独の一意性は保証されなくなる。</t>
  </si>
  <si>
    <t>業務IDの全期間一意性が必須なら未分割の受付台帳で一意性を保証する等、論理設計から検討。パーティションのために不変条件を黙って弱めない。</t>
  </si>
  <si>
    <t>S42</t>
  </si>
  <si>
    <t>外部キー</t>
  </si>
  <si>
    <t>分割InnoDB表の制限を確認</t>
  </si>
  <si>
    <t>MySQL8.4のpartitioned InnoDB tableは外部キーの利用に制約があり、非分割表と同じ感覚で参照整合性を定義できない。</t>
  </si>
  <si>
    <t>FKが必須の注文/明細等は分割しない案を優先。監査・ログ・履歴等で独立性が高い表から採用する。</t>
  </si>
  <si>
    <t>S43</t>
  </si>
  <si>
    <t>分割保守</t>
  </si>
  <si>
    <t>将来分割を事前に作成</t>
  </si>
  <si>
    <t>必要な月のpartitionがないと書き込み失敗につながる。MAXVALUEの逃がし箱を用意しても、運用忘れを隠すだけではいけない。</t>
  </si>
  <si>
    <t>例：2～3か月先まで作成、月次で保持期限到来分をDROP。DDLのmetadata lock待ちとGlobal複製遅延、スキーマ一致を監視する。</t>
  </si>
  <si>
    <t>S42 設計提案</t>
  </si>
  <si>
    <t>自動バックアップ</t>
  </si>
  <si>
    <t>保持35日を初期推奨</t>
  </si>
  <si>
    <t>AWSの通常既定は1日、設定範囲1～35日。PITRは指定時刻の別クラスターを復元する操作で、既存DBの時間を巻き戻す操作ではない。</t>
  </si>
  <si>
    <t>業務の検知遅延に合う保持期間を選ぶ。35日は設計案であり法令保持期間ではない。復元時はDBインスタンス、Proxy、設定、DNSも復旧対象。</t>
  </si>
  <si>
    <t>S39</t>
  </si>
  <si>
    <t>長期/地域/アカウント保護</t>
  </si>
  <si>
    <t>独立スナップショットを保管</t>
  </si>
  <si>
    <t>Global DBと別に、誤削除・ランサムウェア・権限侵害に耐える復旧点が必要。地域のコピーだけでは同じ管理権限から消される可能性がある。</t>
  </si>
  <si>
    <t>AWS Backup等で保持とアクセスを分離し、必要なら別アカウントとVault Lockを評価。KMSの鍵を失うと復元できないので鍵の保護も含める。</t>
  </si>
  <si>
    <t>S39 S40 設計提案</t>
  </si>
  <si>
    <t>大阪のバックアップ</t>
  </si>
  <si>
    <t>地域単位の保持と復旧点を確認</t>
  </si>
  <si>
    <t>Globalのsecondaryにもバックアップ領域・保持費用がある。東京の設定を指定しただけで大阪の復旧要件が満たされるとしない。</t>
  </si>
  <si>
    <t>両地域のBackupRetentionPeriod、LatestRestorableTime、暗号鍵、スナップショットコピーを確認。DR後の新primaryでバックアップが継続しているか確認する。</t>
  </si>
  <si>
    <t>S40</t>
  </si>
  <si>
    <t>復元試験</t>
  </si>
  <si>
    <t>復元できたDBで業務処理を実行</t>
  </si>
  <si>
    <t>スナップショットが作れたことと、業務復旧できることは違う。schema、認証、Parameter Store、Proxy、外部データの時刻整合が必要。</t>
  </si>
  <si>
    <t>四半期を仮の頻度に、隔離環境でPITR/長期コピーを復元。件数・チェックサム・主要取引・RTOを記録。8.4.7の接続互換性も確認する。</t>
  </si>
  <si>
    <t>S39 設計提案</t>
  </si>
  <si>
    <t>採用の根拠にする試験と、継続的な監視</t>
  </si>
  <si>
    <t>ここに記すものは実施予定の受入項目。本資料作成時に実施した文書・API・ファイル検証とは明確に区別する。</t>
  </si>
  <si>
    <t>T01 正常系</t>
  </si>
  <si>
    <t>東京RW/ROと大阪RO</t>
  </si>
  <si>
    <t>同じコンテナdigestで地域SSM値を使い、TLS、認証、JNDI、SQL、commitを確認する。大阪RWは昇格前には業務受付に使わない。</t>
  </si>
  <si>
    <t>合格：経路とDBユーザーが設計どおり。RW/ROの使い分けと読取遅延を記録。</t>
  </si>
  <si>
    <t>S04 S31</t>
  </si>
  <si>
    <t>T02 異常認証</t>
  </si>
  <si>
    <t>不正パスワード/失効/誤CA</t>
  </si>
  <si>
    <t>認証エラーを無限再試行しない。TLSの誤CA・誤ホスト・無TLSが確実に拒否されるか確認。</t>
  </si>
  <si>
    <t>合格：秘密がログへ出ず、準備完了にならず、適切な通知が出る。</t>
  </si>
  <si>
    <t>S08 S30</t>
  </si>
  <si>
    <t>T03 タイムアウト</t>
  </si>
  <si>
    <t>ロック・長いSQL・通信断を別に試験</t>
  </si>
  <si>
    <t>行ロック5秒、metadata lock10秒、SELECTヒント5秒、JDBC8秒、ネットワーク12秒を個別に誘発。</t>
  </si>
  <si>
    <t>合格：SQLState、業務応答、DB側処理終了、rollback、接続廃棄、次の正常接続を確認。タイムアウトしたからSQLも止まったと推測しない。</t>
  </si>
  <si>
    <t>S25 S29 S53 S54</t>
  </si>
  <si>
    <t>T04 接続集中</t>
  </si>
  <si>
    <t>最大コンテナ数+バッチ+更新中の重複</t>
  </si>
  <si>
    <t>online20本/コンテナ、batch8 workerは仮定。デプロイ時の新旧同時稼働も試す。</t>
  </si>
  <si>
    <t>合格：BorrowLatency、プール待ち、CPU、ACU、メモリ、SQL p95/p99がSLO内。CPU余裕なく接続枠だけ増やす調整はしない。</t>
  </si>
  <si>
    <t>S07 S17</t>
  </si>
  <si>
    <t>T05 ピン留め</t>
  </si>
  <si>
    <t>prepared/一時表/SET/16KB超</t>
  </si>
  <si>
    <t>通常処理と、カーソル・大きいバッチ等のピン留め条件を分ける。ピン留め自体は障害ではない。</t>
  </si>
  <si>
    <t>合格：DatabaseConnectionsCurrentlySessionPinnedの実測が想定内。多重化が効かなくてもピークを処理できる予算を持つ。</t>
  </si>
  <si>
    <t>S09 S59</t>
  </si>
  <si>
    <t>T06 地域内障害</t>
  </si>
  <si>
    <t>Writerの入替とReader障害</t>
  </si>
  <si>
    <t>Proxy同一endpointのまま再接続/処理復帰を試験。実行中トランザクションの失敗と業務重複を確認。</t>
  </si>
  <si>
    <t>合格：期待時間内の復旧、破損接続の排除、COMMIT結果不明の照合ができる。</t>
  </si>
  <si>
    <t>T07 計画DR</t>
  </si>
  <si>
    <t>東京から大阪へシステム全体を切替</t>
  </si>
  <si>
    <t>Writer、コンテナ、入口、ジョブ、Secretsローテーション主体を含む訓練。</t>
  </si>
  <si>
    <t>合格：書込主体が同時二重稼働せずRPO=0、全体RTOを測定。切り戻しまで完了。</t>
  </si>
  <si>
    <t>T08 非計画DR</t>
  </si>
  <si>
    <t>東京依存を遮断して大阪を新規起動</t>
  </si>
  <si>
    <t>東京のECR/SSM/Secrets等へ接続できない条件を再現。大阪で事前に起動済みだっただけの試験で済ませない。</t>
  </si>
  <si>
    <t>合格：大阪だけで起動、DB昇格、業務取引、バッチ再開ができる。損失候補を業務IDで特定。</t>
  </si>
  <si>
    <t>T09 ローテーション</t>
  </si>
  <si>
    <t>両地域の新規接続と既存プール</t>
  </si>
  <si>
    <t>ローテーション中・直後・DR後それぞれで試験する。古い接続が残るだけで成功と判断しない。</t>
  </si>
  <si>
    <t>合格：online/batchの新規認証が成功し、地域の秘密とDBユーザーが一致。回復手順も試験。</t>
  </si>
  <si>
    <t>T10 長時間バッチ</t>
  </si>
  <si>
    <t>中断・再開・データ量増大</t>
  </si>
  <si>
    <t>100/1000行などのチャンク幅、BLOB、遅い結果消費、statement rewriteの有無を比較。</t>
  </si>
  <si>
    <t>合格：二重更新なし、上限時間内、メモリと一時領域に余裕、online応答へ悪影響なし。</t>
  </si>
  <si>
    <t>T11 設定変更</t>
  </si>
  <si>
    <t>static/v2/Proxyの反映</t>
  </si>
  <si>
    <t>クラスタ群と個別群の競合、再起動、接続プール再生成を試験。</t>
  </si>
  <si>
    <t>合格：writer/reader/両地域のGLOBAL/SESSION値が期待どおり。APIに書けただけで完了にしない。</t>
  </si>
  <si>
    <t>S08 S17</t>
  </si>
  <si>
    <t>監視 DB</t>
  </si>
  <si>
    <t>ACU、メモリ、ロック、SQL負荷</t>
  </si>
  <si>
    <t>CloudWatch Database Insightsを現行の分析基盤として設計。CPUだけでなく待機種別、Top SQL、接続数、最小ACU時の負荷を追う。</t>
  </si>
  <si>
    <t>暫定警告：最大ACUの80%以上が5分、空きメモリ急減、反復restart、長いtransaction。値は通常時のベースラインから調整。</t>
  </si>
  <si>
    <t>S17 S45 S46</t>
  </si>
  <si>
    <t>監視 Proxy</t>
  </si>
  <si>
    <t>DB接続とクライアント接続を分ける</t>
  </si>
  <si>
    <t>ClientConnections、DatabaseConnections、MaxDatabaseConnectionsAllowed、借用遅延、pinningを同じ時間軸で見る。</t>
  </si>
  <si>
    <t>DatabaseConnectionsBorrowLatencyは単位を確認してmsへ変換。枠の80%接近は予兆。onlineの要求期限に近づく前に縮退する。</t>
  </si>
  <si>
    <t>S59</t>
  </si>
  <si>
    <t>監視 Global</t>
  </si>
  <si>
    <t>地域間遅延とアプリの観測を併用</t>
  </si>
  <si>
    <t>AuroraGlobalDBReplicationLag等のメトリクスを、last successful transactionや複製確認用の業務時刻と照合する。</t>
  </si>
  <si>
    <t>欠測は0として扱わない。RPO目標5秒ならその手前で警告し、データ転送停止も検知。現行APIでメトリクス名/単位/ディメンションを確認。</t>
  </si>
  <si>
    <t>S44</t>
  </si>
  <si>
    <t>費用と隔離</t>
  </si>
  <si>
    <t>単一Proxyで不足なら分割を評価</t>
  </si>
  <si>
    <t>onlineとbatchで別Proxyを持てばborrow timeoutや認証・接続枠を分けられるが、DBのCPU/ロックは共有のまま。</t>
  </si>
  <si>
    <t>2 Proxyを両方80%にしない。例online55%+batch20%+管理余裕。料金増と効果を測定し、重い分析は別データ基盤も比較する。</t>
  </si>
  <si>
    <t>S07 S52 設計提案</t>
  </si>
  <si>
    <t>接続数の試算：最悪時は多重化が効かない前提で確認する</t>
  </si>
  <si>
    <t>灰色の入力は仮定値。実測値へ置換して使う。WriterとReaderは別々に計算する。
これは接続枠の必要条件であり、CPU・ロック・SQL応答時間の合格を意味しない。</t>
  </si>
  <si>
    <t>DB実効max_connections</t>
  </si>
  <si>
    <t>最大32 ACU時の公式参考値。実機で置換。</t>
  </si>
  <si>
    <t>Proxy MaxConnectionsPercent</t>
  </si>
  <si>
    <t>DBの接続上限に対する割合 [%]。</t>
  </si>
  <si>
    <t>実測MaxDatabaseConnectionsAllowed</t>
  </si>
  <si>
    <t>未実測の仮値。監視用予約等を差し引いたメトリクスで置換。</t>
  </si>
  <si>
    <t>オンライン最大コンテナ数</t>
  </si>
  <si>
    <t>オートスケールの上限。</t>
  </si>
  <si>
    <t>1コンテナの最大プール接続</t>
  </si>
  <si>
    <t>JNDI DataSource単位。複数DSがあれば合算。</t>
  </si>
  <si>
    <t>新旧重複係数</t>
  </si>
  <si>
    <t>ローリング更新中の同時稼働。</t>
  </si>
  <si>
    <t>バッチ接続数</t>
  </si>
  <si>
    <t>同時worker数×worker当たり接続数。</t>
  </si>
  <si>
    <t>Proxy外の接続予算</t>
  </si>
  <si>
    <t>管理・監視・例外直結等。</t>
  </si>
  <si>
    <t>余裕係数</t>
  </si>
  <si>
    <t>観測ピーク/保守的な上限に30%の余裕を積む。</t>
  </si>
  <si>
    <t>Proxy配下の最大接続候補</t>
  </si>
  <si>
    <t>全接続がpinningしたときの保守的な必要数。</t>
  </si>
  <si>
    <t>30%余裕込みの必要枠</t>
  </si>
  <si>
    <t>接続多重化を割引として先に見込まない。</t>
  </si>
  <si>
    <t>実測許容枠との差</t>
  </si>
  <si>
    <t>正でも性能試験は必要。負ならプール/同時実行/ACUを再設計。</t>
  </si>
  <si>
    <t>Proxy設定上限（概算）</t>
  </si>
  <si>
    <t>予約接続を除く実測値とは一致しない。</t>
  </si>
  <si>
    <t>DBに残す概算接続枠</t>
  </si>
  <si>
    <t>複数Proxyやwrite forwardingがある場合は追加控除。</t>
  </si>
  <si>
    <t>仮の接続枠判定</t>
  </si>
  <si>
    <t>DB CPUと実行中SQLの上限は別。</t>
  </si>
  <si>
    <t>概算費用 = 両地域・全DBのACU時間 + 保存量 + I/O + Global複製 + Proxy + 追加endpoint + backup + logs。
単価は地域・料金方式で変わるため固定額を置かない。I/O-Optimizedの比較は同じ負荷で行う。
出典 S07 / S17 / S52 / S60。入力セルを変えるとExcelで自動再計算。</t>
  </si>
  <si>
    <t>同梱の設定例・参照SQL・再生成スクリプト</t>
  </si>
  <si>
    <t>設定例は設計レビュー用。クラウドリソース変更やDBへのDDL実行は行っていない。完全なデプロイ定義ではない。</t>
  </si>
  <si>
    <t>ファイル</t>
  </si>
  <si>
    <t>目的</t>
  </si>
  <si>
    <t>事前条件・読むポイント</t>
  </si>
  <si>
    <t>検証の範囲</t>
  </si>
  <si>
    <t>examples/ecs-container-fragment.json</t>
  </si>
  <si>
    <t>SSM起動時注入</t>
  </si>
  <si>
    <t>両地域に同じパス、地域別Proxyホスト。execution role、ネットワーク、秘密供給は別定義。</t>
  </si>
  <si>
    <t>JSON構文を検証。ECS起動は未実施。</t>
  </si>
  <si>
    <t>examples/online-datasource.cli</t>
  </si>
  <si>
    <t>JBoss JNDI設定</t>
  </si>
  <si>
    <t>ドライバmodule、Elytron store、環境変数を先に用意。global JTA期限の影響範囲に注意。</t>
  </si>
  <si>
    <t>資料仕様との整合を静的確認。EAP管理モデルへの適用は未実施。</t>
  </si>
  <si>
    <t>examples/BatchConnectionExample.java</t>
  </si>
  <si>
    <t>Java直接ドライバ接続</t>
  </si>
  <si>
    <t>Proxy固有FQDN、Secretsから供給する秘密ファイル、承認済みConnector/Jが必要。</t>
  </si>
  <si>
    <t>JDK 17でコンパイル確認。実DBへ接続はしていない。</t>
  </si>
  <si>
    <t>examples/runtime-verification.sql</t>
  </si>
  <si>
    <t>実効値の採取</t>
  </si>
  <si>
    <t>Writer/Reader/地域/Proxyで別々に確認する。アカウント情報の出力は機密扱い。</t>
  </si>
  <si>
    <t>参照SQLのみ。未実行。</t>
  </si>
  <si>
    <t>S20</t>
  </si>
  <si>
    <t>examples/partition-example.sql</t>
  </si>
  <si>
    <t>月単位RANGE分割例</t>
  </si>
  <si>
    <t>複合主キーが業務ID単独の一意性を保証しない点と外部キー制約を確認。</t>
  </si>
  <si>
    <t>DDLは未実行。業務スキーマ用の設計例。</t>
  </si>
  <si>
    <t>scripts/collect_aws_evidence.py</t>
  </si>
  <si>
    <t>既定値の再取得</t>
  </si>
  <si>
    <t>AWS CLIの読み取り権限が必要。AWSプロファイルは実行者が選ぶ。</t>
  </si>
  <si>
    <t>Describeのみ。既定群とengine metadataを取得。</t>
  </si>
  <si>
    <t>scripts/build_deliverables.py</t>
  </si>
  <si>
    <t>同じデータからExcel/MDを生成</t>
  </si>
  <si>
    <t>Python、XlsxWriter、Pillow、Meiryo UI。openpyxlは検証で使用。</t>
  </si>
  <si>
    <t>1つの内容集合で両成果物を同期する。</t>
  </si>
  <si>
    <t>作成処理</t>
  </si>
  <si>
    <t>クラスタパラメータ全件・既定値と変更条件（430行）</t>
  </si>
  <si>
    <t>AWS APIの生値を保持。Community参考値はAuroraの実効値を保証しない。8.4.8専用行も隠さず除外表示。全件の原データはevidenceフォルダー。</t>
  </si>
  <si>
    <t>ID</t>
  </si>
  <si>
    <t>パラメータ名</t>
  </si>
  <si>
    <t>日本語での役割</t>
  </si>
  <si>
    <t>AWS API既定値/式</t>
  </si>
  <si>
    <t>MySQL 8.4参考既定（別物）</t>
  </si>
  <si>
    <t>設定位置・8.4.7適用</t>
  </si>
  <si>
    <t>変更可</t>
  </si>
  <si>
    <t>反映メタデータ</t>
  </si>
  <si>
    <t>型</t>
  </si>
  <si>
    <t>許容値（API）</t>
  </si>
  <si>
    <t>SQL Scope参考</t>
  </si>
  <si>
    <t>Serverless/Proxy注意</t>
  </si>
  <si>
    <t>C001</t>
  </si>
  <si>
    <t>activate_all_roles_on_login</t>
  </si>
  <si>
    <t>ログイン時に付与済みロールを一括有効化するか</t>
  </si>
  <si>
    <t>0</t>
  </si>
  <si>
    <t>Community参考: OFF</t>
  </si>
  <si>
    <t>クラスタ既定/個別上書き可
8.4.7候補</t>
  </si>
  <si>
    <t>可</t>
  </si>
  <si>
    <t>dynamic
返値ApplyMethod=pending-reboot</t>
  </si>
  <si>
    <t>boolean</t>
  </si>
  <si>
    <t>0,1</t>
  </si>
  <si>
    <t>Global</t>
  </si>
  <si>
    <t>DBはdynamic。Proxy反映には再起動要件を確認。</t>
  </si>
  <si>
    <t>S56 / S20 S53</t>
  </si>
  <si>
    <t>C002</t>
  </si>
  <si>
    <t>allow-suspicious-udfs</t>
  </si>
  <si>
    <t>安全性に疑義のあるユーザー定義関数のロード</t>
  </si>
  <si>
    <t>engine-default（APIは具体値を省略）</t>
  </si>
  <si>
    <t>参考値未取得。AWS実効値は実機確認</t>
  </si>
  <si>
    <t>不可</t>
  </si>
  <si>
    <t>static
返値ApplyMethod=pending-reboot</t>
  </si>
  <si>
    <t>MySQLのSQL scope参考値なし</t>
  </si>
  <si>
    <t>AWS管理。設定変更の対象外。</t>
  </si>
  <si>
    <t>C003</t>
  </si>
  <si>
    <t>aurora_binlog_replication_max_yield_seconds</t>
  </si>
  <si>
    <t>binlog複製の処理を他処理へ譲る間隔</t>
  </si>
  <si>
    <t>クラスタ専用
8.4.7候補</t>
  </si>
  <si>
    <t>integer</t>
  </si>
  <si>
    <t>0-36000</t>
  </si>
  <si>
    <t>C004</t>
  </si>
  <si>
    <t>aurora_binlog_replication_sec_index_parallel_workers</t>
  </si>
  <si>
    <t>binlog適用時の二次索引更新の並列数</t>
  </si>
  <si>
    <t>0-1024</t>
  </si>
  <si>
    <t>C005</t>
  </si>
  <si>
    <t>aurora_enable_memory_management</t>
  </si>
  <si>
    <t>メモリ圧迫時のAurora自動回復制御</t>
  </si>
  <si>
    <t>S56 / S20</t>
  </si>
  <si>
    <t>C006</t>
  </si>
  <si>
    <t>aurora_enable_staggered_replica_restart</t>
  </si>
  <si>
    <t>Readerの段階的再起動に関する互換設定</t>
  </si>
  <si>
    <t>C007</t>
  </si>
  <si>
    <t>aurora_enable_validate_password_component</t>
  </si>
  <si>
    <t>新しいパスワード検証componentの有効化</t>
  </si>
  <si>
    <t>S56 / S23</t>
  </si>
  <si>
    <t>C008</t>
  </si>
  <si>
    <t>aurora_enhanced_binlog</t>
  </si>
  <si>
    <t>強化binlog方式の利用</t>
  </si>
  <si>
    <t>DB再起動が必要。新規接続で実効値を確認。</t>
  </si>
  <si>
    <t>C009</t>
  </si>
  <si>
    <t>aurora_full_double_precision_in_json</t>
  </si>
  <si>
    <t>JSONの浮動小数点を高い精度で解析</t>
  </si>
  <si>
    <t>C010</t>
  </si>
  <si>
    <t>aurora_fwd_writer_idle_timeout</t>
  </si>
  <si>
    <t>write forwardingでWriterに保持する無通信接続の期限</t>
  </si>
  <si>
    <t>60</t>
  </si>
  <si>
    <t>1-86400</t>
  </si>
  <si>
    <t>S56 / S53 S54</t>
  </si>
  <si>
    <t>C011</t>
  </si>
  <si>
    <t>aurora_fwd_writer_max_connections_pct</t>
  </si>
  <si>
    <t>write forwardingがWriterで使える接続割合</t>
  </si>
  <si>
    <t>10</t>
  </si>
  <si>
    <t>0-90</t>
  </si>
  <si>
    <t>C012</t>
  </si>
  <si>
    <t>aurora_in_memory_relaylog</t>
  </si>
  <si>
    <t>binlog受信ログのメモリ処理</t>
  </si>
  <si>
    <t>OFF</t>
  </si>
  <si>
    <t>string</t>
  </si>
  <si>
    <t>OFF,ON</t>
  </si>
  <si>
    <t>C013</t>
  </si>
  <si>
    <t>aurora_jemalloc_background_thread</t>
  </si>
  <si>
    <t>メモリ管理処理の背景スレッド</t>
  </si>
  <si>
    <t>C014</t>
  </si>
  <si>
    <t>aurora_jemalloc_dirty_decay_ms</t>
  </si>
  <si>
    <t>解放済みメモリを再利用する保持時間</t>
  </si>
  <si>
    <t>0-18446744073709551615</t>
  </si>
  <si>
    <t>C015</t>
  </si>
  <si>
    <t>aurora_jemalloc_tcache_enabled</t>
  </si>
  <si>
    <t>小さいメモリ割当のスレッドキャッシュ</t>
  </si>
  <si>
    <t>S56 / S17 S38</t>
  </si>
  <si>
    <t>C016</t>
  </si>
  <si>
    <t>aurora_lambda_request_timeout</t>
  </si>
  <si>
    <t>DBからLambdaを呼ぶ際の待ち期限</t>
  </si>
  <si>
    <t>10000-900000</t>
  </si>
  <si>
    <t>C017</t>
  </si>
  <si>
    <t>aurora_ml_inference_timeout</t>
  </si>
  <si>
    <t>機械学習推論の呼出し待ち期限</t>
  </si>
  <si>
    <t>3000</t>
  </si>
  <si>
    <t>3000-30000</t>
  </si>
  <si>
    <t>C018</t>
  </si>
  <si>
    <t>aurora_oom_response</t>
  </si>
  <si>
    <t>メモリ不足時の回復動作（自動管理有効時は無視）</t>
  </si>
  <si>
    <t>API未返却</t>
  </si>
  <si>
    <t>C019</t>
  </si>
  <si>
    <t>aurora_parallel_query</t>
  </si>
  <si>
    <t>ストレージ側へ分析処理を分担するParallel Query</t>
  </si>
  <si>
    <t>OFF基準。現行仕様で採否を検証。古い非対応説明を流用しない。</t>
  </si>
  <si>
    <t>S56 / S61</t>
  </si>
  <si>
    <t>C020</t>
  </si>
  <si>
    <t>aurora_read_replica_read_committed</t>
  </si>
  <si>
    <t>Reader固有のREAD COMMITTED最適化</t>
  </si>
  <si>
    <t>ON,OFF</t>
  </si>
  <si>
    <t>C021</t>
  </si>
  <si>
    <t>aurora_replica_read_consistency</t>
  </si>
  <si>
    <t>write forwarding利用時の読み取り整合性</t>
  </si>
  <si>
    <t>GLOBAL,SESSION,EVENTUAL</t>
  </si>
  <si>
    <t>S56 / S04</t>
  </si>
  <si>
    <t>C022</t>
  </si>
  <si>
    <t>aurora_tmptable_enable_per_table_limit</t>
  </si>
  <si>
    <t>内部一時表ごとのサイズ上限制御</t>
  </si>
  <si>
    <t>C023</t>
  </si>
  <si>
    <t>トランザクション全体の期限（8.4.8以降）</t>
  </si>
  <si>
    <t>クラスタ既定/個別上書き可
8.4.7対象外</t>
  </si>
  <si>
    <t>0-604800</t>
  </si>
  <si>
    <t>8.4.7対象外。最低版=8.4.mysql_aurora.8.4.8</t>
  </si>
  <si>
    <t>S56 / S56 S57</t>
  </si>
  <si>
    <t>C024</t>
  </si>
  <si>
    <t>aurora_use_vector_instructions</t>
  </si>
  <si>
    <t>対応するCPU命令による処理高速化</t>
  </si>
  <si>
    <t>C025</t>
  </si>
  <si>
    <t>authentication_policy</t>
  </si>
  <si>
    <t>新規ユーザーの既定認証方式</t>
  </si>
  <si>
    <t>*:caching_sha2_password</t>
  </si>
  <si>
    <t>Community参考: *,,</t>
  </si>
  <si>
    <t>*:caching_sha2_password,*:mysql_native_password</t>
  </si>
  <si>
    <t>S56 / S22</t>
  </si>
  <si>
    <t>C026</t>
  </si>
  <si>
    <t>autocommit</t>
  </si>
  <si>
    <t>SQLごとの自動コミット</t>
  </si>
  <si>
    <t>Community参考: ON</t>
  </si>
  <si>
    <t>Global, Session</t>
  </si>
  <si>
    <t>S56 / S10</t>
  </si>
  <si>
    <t>C027</t>
  </si>
  <si>
    <t>auto_increment_increment</t>
  </si>
  <si>
    <t>AUTO_INCREMENTの増分</t>
  </si>
  <si>
    <t>1-65535</t>
  </si>
  <si>
    <t>C028</t>
  </si>
  <si>
    <t>auto_increment_offset</t>
  </si>
  <si>
    <t>AUTO_INCREMENTの開始オフセット</t>
  </si>
  <si>
    <t>C029</t>
  </si>
  <si>
    <t>automatic_sp_privileges</t>
  </si>
  <si>
    <t>ストアド作成者へ自動付与する権限</t>
  </si>
  <si>
    <t>C030</t>
  </si>
  <si>
    <t>aws_default_bedrock_role</t>
  </si>
  <si>
    <t>bedrockをDBから呼び出すIAMロール</t>
  </si>
  <si>
    <t>C031</t>
  </si>
  <si>
    <t>aws_default_comprehend_role</t>
  </si>
  <si>
    <t>comprehendをDBから呼び出すIAMロール</t>
  </si>
  <si>
    <t>C032</t>
  </si>
  <si>
    <t>aws_default_lambda_role</t>
  </si>
  <si>
    <t>lambdaをDBから呼び出すIAMロール</t>
  </si>
  <si>
    <t>C033</t>
  </si>
  <si>
    <t>aws_default_logs_role</t>
  </si>
  <si>
    <t>logsをDBから呼び出すIAMロール</t>
  </si>
  <si>
    <t>C034</t>
  </si>
  <si>
    <t>aws_default_s3_role</t>
  </si>
  <si>
    <t>s3をDBから呼び出すIAMロール</t>
  </si>
  <si>
    <t>C035</t>
  </si>
  <si>
    <t>aws_default_sagemaker_role</t>
  </si>
  <si>
    <t>sagemakerをDBから呼び出すIAMロール</t>
  </si>
  <si>
    <t>C036</t>
  </si>
  <si>
    <t>back_log</t>
  </si>
  <si>
    <t>接続要求の受付待ちキュー</t>
  </si>
  <si>
    <t>Community参考: -1 (signifies autosizing; do not assign this literal value)</t>
  </si>
  <si>
    <t>C037</t>
  </si>
  <si>
    <t>basedir</t>
  </si>
  <si>
    <t>AWS管理のエンジン配置ディレクトリ</t>
  </si>
  <si>
    <t>/rdsdbbin/oscar</t>
  </si>
  <si>
    <t>Community参考: parent of mysqld installation directory</t>
  </si>
  <si>
    <t>C038</t>
  </si>
  <si>
    <t>binlog_backup</t>
  </si>
  <si>
    <t>binlogのバックアップとの連携</t>
  </si>
  <si>
    <t>1</t>
  </si>
  <si>
    <t>S56 / S20 S15</t>
  </si>
  <si>
    <t>C039</t>
  </si>
  <si>
    <t>binlog_cache_size</t>
  </si>
  <si>
    <t>トランザクション用binlogメモリバッファ</t>
  </si>
  <si>
    <t>32768</t>
  </si>
  <si>
    <t>Community参考: 32768</t>
  </si>
  <si>
    <t>4096-18446744073709547520</t>
  </si>
  <si>
    <t>C040</t>
  </si>
  <si>
    <t>binlog_checksum</t>
  </si>
  <si>
    <t>binlogの破損検知チェックサム</t>
  </si>
  <si>
    <t>Community参考: CRC32</t>
  </si>
  <si>
    <t>NONE,CRC32</t>
  </si>
  <si>
    <t>C041</t>
  </si>
  <si>
    <t>binlog-do-db</t>
  </si>
  <si>
    <t>binlogに含めるDBの選択</t>
  </si>
  <si>
    <t>list</t>
  </si>
  <si>
    <t>C042</t>
  </si>
  <si>
    <t>binlog_error_action</t>
  </si>
  <si>
    <t>binlog書込エラー時の動作</t>
  </si>
  <si>
    <t>Community参考: ABORT_SERVER</t>
  </si>
  <si>
    <t>IGNORE_ERROR,ABORT_SERVER</t>
  </si>
  <si>
    <t>C043</t>
  </si>
  <si>
    <t>binlog_format</t>
  </si>
  <si>
    <t>binlogの有効化とイベント形式</t>
  </si>
  <si>
    <t>Community参考: ROW</t>
  </si>
  <si>
    <t>ROW,STATEMENT,MIXED,OFF</t>
  </si>
  <si>
    <t>S56 / S15 S20</t>
  </si>
  <si>
    <t>C044</t>
  </si>
  <si>
    <t>binlog_group_commit_sync_delay</t>
  </si>
  <si>
    <t>グループコミット同期の待ち時間</t>
  </si>
  <si>
    <t>Community参考: 0</t>
  </si>
  <si>
    <t>0-1000000</t>
  </si>
  <si>
    <t>C045</t>
  </si>
  <si>
    <t>binlog_group_commit_sync_no_delay_count</t>
  </si>
  <si>
    <t>グループコミット待ちを打ち切る件数</t>
  </si>
  <si>
    <t>0-100000</t>
  </si>
  <si>
    <t>C046</t>
  </si>
  <si>
    <t>binlog-ignore-db</t>
  </si>
  <si>
    <t>binlogから除外するDBの選択</t>
  </si>
  <si>
    <t>C047</t>
  </si>
  <si>
    <t>binlog_max_flush_queue_time</t>
  </si>
  <si>
    <t>binlogフラッシュ待ちキューの時間</t>
  </si>
  <si>
    <t>C048</t>
  </si>
  <si>
    <t>binlog_order_commits</t>
  </si>
  <si>
    <t>binlog順とトランザクション確定順の一致</t>
  </si>
  <si>
    <t>C049</t>
  </si>
  <si>
    <t>binlog_replication_globaldb</t>
  </si>
  <si>
    <t>binlogとGlobal Databaseの連携</t>
  </si>
  <si>
    <t>C050</t>
  </si>
  <si>
    <t>binlog_row_image</t>
  </si>
  <si>
    <t>binlogへ記録する変更行の列範囲</t>
  </si>
  <si>
    <t>Community参考: full</t>
  </si>
  <si>
    <t>full,minimal,noblob</t>
  </si>
  <si>
    <t>C051</t>
  </si>
  <si>
    <t>binlog_row_metadata</t>
  </si>
  <si>
    <t>binlogに含む行のメタデータ</t>
  </si>
  <si>
    <t>Community参考: MINIMAL</t>
  </si>
  <si>
    <t>full,minimal</t>
  </si>
  <si>
    <t>C052</t>
  </si>
  <si>
    <t>binlog_rows_query_log_events</t>
  </si>
  <si>
    <t>元SQLをbinlogへ含めるか</t>
  </si>
  <si>
    <t>C053</t>
  </si>
  <si>
    <t>binlog_row_value_options</t>
  </si>
  <si>
    <t>binlogの部分的な値の記録方式</t>
  </si>
  <si>
    <t xml:space="preserve">Community参考: </t>
  </si>
  <si>
    <t xml:space="preserve">PARTIAL_JSON, </t>
  </si>
  <si>
    <t>C054</t>
  </si>
  <si>
    <t>binlog_stmt_cache_size</t>
  </si>
  <si>
    <t>非トランザクション系binlogのキャッシュ</t>
  </si>
  <si>
    <t>C055</t>
  </si>
  <si>
    <t>binlog_transaction_compression</t>
  </si>
  <si>
    <t>binlogトランザクションの圧縮</t>
  </si>
  <si>
    <t>C056</t>
  </si>
  <si>
    <t>binlog_transaction_compression_level_zstd</t>
  </si>
  <si>
    <t>binlogのZstandard圧縮レベル</t>
  </si>
  <si>
    <t>Community参考: 3</t>
  </si>
  <si>
    <t>1-22</t>
  </si>
  <si>
    <t>C057</t>
  </si>
  <si>
    <t>binlog_transaction_dependency_history_size</t>
  </si>
  <si>
    <t>並列複製用の変更行依存履歴の大きさ</t>
  </si>
  <si>
    <t>Community参考: 25000</t>
  </si>
  <si>
    <t>1-1000000</t>
  </si>
  <si>
    <t>C058</t>
  </si>
  <si>
    <t>bulk_insert_buffer_size</t>
  </si>
  <si>
    <t>MyISAM一括挿入用バッファ（業務InnoDBでは調整不要）</t>
  </si>
  <si>
    <t>Community参考: 8388608</t>
  </si>
  <si>
    <t>0-18446744073709547520</t>
  </si>
  <si>
    <t>C059</t>
  </si>
  <si>
    <t>character_set_client</t>
  </si>
  <si>
    <t>クライアントSQLを解釈する文字集合</t>
  </si>
  <si>
    <t>Community参考: utf8mb4</t>
  </si>
  <si>
    <t>big5,dec8,cp850,hp8,koi8r,latin1,latin2,swe7,ascii,ujis,sjis,hebrew,tis620,euckr,koi8u,gb2312,greek,cp1250,gbk,latin5,armscii8,utf8,cp866,keybcs2,macce,macroman,cp852,latin7,utf8mb4,cp1251,cp1256,cp1257,binary,geostd8,cp932,eucjpms</t>
  </si>
  <si>
    <t>S56 / S27</t>
  </si>
  <si>
    <t>C060</t>
  </si>
  <si>
    <t>character_set_connection</t>
  </si>
  <si>
    <t>SQL処理時の接続文字集合</t>
  </si>
  <si>
    <t>big5,dec8,cp850,hp8,koi8r,latin1,latin2,swe7,ascii,ujis,sjis,hebrew,tis620,euckr,koi8u,gb2312,greek,cp1250,gbk,latin5,armscii8,utf8,ucs2,cp866,keybcs2,macce,macroman,cp852,latin7,utf8mb4,cp1251,utf16,cp1256,cp1257,utf32,binary,geostd8,cp932,eucjpms</t>
  </si>
  <si>
    <t>C061</t>
  </si>
  <si>
    <t>character_set_database</t>
  </si>
  <si>
    <t>選択DBの既定文字集合</t>
  </si>
  <si>
    <t>S56 / S53</t>
  </si>
  <si>
    <t>C062</t>
  </si>
  <si>
    <t>character_set_filesystem</t>
  </si>
  <si>
    <t>ファイル名解釈の文字集合</t>
  </si>
  <si>
    <t>Community参考: binary</t>
  </si>
  <si>
    <t>C063</t>
  </si>
  <si>
    <t>character_set_results</t>
  </si>
  <si>
    <t>結果セットの文字集合</t>
  </si>
  <si>
    <t>C064</t>
  </si>
  <si>
    <t>character_set_server</t>
  </si>
  <si>
    <t>新規DBの既定文字集合</t>
  </si>
  <si>
    <t>C065</t>
  </si>
  <si>
    <t>check_proxy_users</t>
  </si>
  <si>
    <t>MySQL PROXY権限の確認（RDS Proxyとは別概念）</t>
  </si>
  <si>
    <t>C066</t>
  </si>
  <si>
    <t>collation_connection</t>
  </si>
  <si>
    <t>接続内の文字列比較規則</t>
  </si>
  <si>
    <t>全199値を「25_長い許容値」に省略せず掲載。</t>
  </si>
  <si>
    <t>S56 / S27 S53</t>
  </si>
  <si>
    <t>C067</t>
  </si>
  <si>
    <t>collation_server</t>
  </si>
  <si>
    <t>新規DBの既定照合順序</t>
  </si>
  <si>
    <t>Community参考: utf8mb4_0900_ai_ci</t>
  </si>
  <si>
    <t>C068</t>
  </si>
  <si>
    <t>completion_type</t>
  </si>
  <si>
    <t>COMMIT/ROLLBACK後の接続・次トランザクション動作</t>
  </si>
  <si>
    <t>Community参考: NO_CHAIN</t>
  </si>
  <si>
    <t>0-2</t>
  </si>
  <si>
    <t>C069</t>
  </si>
  <si>
    <t>concurrent_insert</t>
  </si>
  <si>
    <t>MyISAMの同時挿入</t>
  </si>
  <si>
    <t>Community参考: AUTO</t>
  </si>
  <si>
    <t>C070</t>
  </si>
  <si>
    <t>初回DBハンドシェイクを待つ秒数</t>
  </si>
  <si>
    <t>Community参考: 10</t>
  </si>
  <si>
    <t>2-31536000</t>
  </si>
  <si>
    <t>C071</t>
  </si>
  <si>
    <t>core-file</t>
  </si>
  <si>
    <t>障害時のcoreファイル生成</t>
  </si>
  <si>
    <t>C072</t>
  </si>
  <si>
    <t>cte_max_recursion_depth</t>
  </si>
  <si>
    <t>再帰CTEの深さ上限</t>
  </si>
  <si>
    <t>Community参考: 1000</t>
  </si>
  <si>
    <t>0-4294967295</t>
  </si>
  <si>
    <t>C073</t>
  </si>
  <si>
    <t>datadir</t>
  </si>
  <si>
    <t>AWS管理のデータディレクトリ</t>
  </si>
  <si>
    <t>/rdsdbdata/db/</t>
  </si>
  <si>
    <t>C074</t>
  </si>
  <si>
    <t>default_password_lifetime</t>
  </si>
  <si>
    <t>パスワードの自動有効期限</t>
  </si>
  <si>
    <t>0-65535</t>
  </si>
  <si>
    <t>S56 / S22 S33</t>
  </si>
  <si>
    <t>C075</t>
  </si>
  <si>
    <t>default_storage_engine</t>
  </si>
  <si>
    <t>既定ストレージエンジン</t>
  </si>
  <si>
    <t>InnoDB</t>
  </si>
  <si>
    <t>Community参考: InnoDB</t>
  </si>
  <si>
    <t>InnoDB,MRG_MYISAM,BLACKHOLE,CSV,MEMORY,FEDERATED,ARCHIVE,MyISAM</t>
  </si>
  <si>
    <t>C076</t>
  </si>
  <si>
    <t>default_time_zone</t>
  </si>
  <si>
    <t>起動時の既定タイムゾーン</t>
  </si>
  <si>
    <t>C077</t>
  </si>
  <si>
    <t>default_tmp_storage_engine</t>
  </si>
  <si>
    <t>ユーザー作成一時表の既定エンジン</t>
  </si>
  <si>
    <t>InnoDB,MyISAM</t>
  </si>
  <si>
    <t>C078</t>
  </si>
  <si>
    <t>default_week_format</t>
  </si>
  <si>
    <t>週番号計算の規則</t>
  </si>
  <si>
    <t>0-7</t>
  </si>
  <si>
    <t>C079</t>
  </si>
  <si>
    <t>delayed_insert_limit</t>
  </si>
  <si>
    <t>旧式遅延挿入の処理件数</t>
  </si>
  <si>
    <t>Community参考: 100</t>
  </si>
  <si>
    <t>1-9223372036854775807</t>
  </si>
  <si>
    <t>C080</t>
  </si>
  <si>
    <t>delayed_insert_timeout</t>
  </si>
  <si>
    <t>旧式遅延挿入スレッドの期限</t>
  </si>
  <si>
    <t>Community参考: 300</t>
  </si>
  <si>
    <t>1-31536000</t>
  </si>
  <si>
    <t>C081</t>
  </si>
  <si>
    <t>delayed_queue_size</t>
  </si>
  <si>
    <t>旧式遅延挿入の待ち行列</t>
  </si>
  <si>
    <t>C082</t>
  </si>
  <si>
    <t>delay_key_write</t>
  </si>
  <si>
    <t>MyISAM索引の遅延書込</t>
  </si>
  <si>
    <t>OFF,ON,ALL</t>
  </si>
  <si>
    <t>C083</t>
  </si>
  <si>
    <t>disconnect_on_expired_password</t>
  </si>
  <si>
    <t>期限切れパスワード時の切断動作</t>
  </si>
  <si>
    <t>C084</t>
  </si>
  <si>
    <t>div_precision_increment</t>
  </si>
  <si>
    <t>除算の小数精度の増分</t>
  </si>
  <si>
    <t>Community参考: 4</t>
  </si>
  <si>
    <t>0-30</t>
  </si>
  <si>
    <t>C085</t>
  </si>
  <si>
    <t>end_markers_in_json</t>
  </si>
  <si>
    <t>JSON形式診断出力の終端マーカー</t>
  </si>
  <si>
    <t>C086</t>
  </si>
  <si>
    <t>enforce_gtid_consistency</t>
  </si>
  <si>
    <t>GTIDと矛盾するSQLの抑止</t>
  </si>
  <si>
    <t>OFF,WARN,ON</t>
  </si>
  <si>
    <t>C087</t>
  </si>
  <si>
    <t>eq_range_index_dive_limit</t>
  </si>
  <si>
    <t>等価範囲条件の索引見積もり方式</t>
  </si>
  <si>
    <t>Community参考: 200</t>
  </si>
  <si>
    <t>C088</t>
  </si>
  <si>
    <t>event_scheduler</t>
  </si>
  <si>
    <t>DB内部の定時イベント実行</t>
  </si>
  <si>
    <t>C089</t>
  </si>
  <si>
    <t>explain_format</t>
  </si>
  <si>
    <t>EXPLAINの既定出力形式</t>
  </si>
  <si>
    <t>Community参考: TRADITIONAL</t>
  </si>
  <si>
    <t>TRADITIONAL,JSON,TREE</t>
  </si>
  <si>
    <t>C090</t>
  </si>
  <si>
    <t>explicit_defaults_for_timestamp</t>
  </si>
  <si>
    <t>TIMESTAMPの暗黙挙動を抑止</t>
  </si>
  <si>
    <t>C091</t>
  </si>
  <si>
    <t>flush</t>
  </si>
  <si>
    <t>表変更ごとの強制フラッシュ</t>
  </si>
  <si>
    <t>C092</t>
  </si>
  <si>
    <t>flush_time</t>
  </si>
  <si>
    <t>表の定期フラッシュ間隔</t>
  </si>
  <si>
    <t>0-31536000</t>
  </si>
  <si>
    <t>C093</t>
  </si>
  <si>
    <t>ft_boolean_syntax</t>
  </si>
  <si>
    <t>旧式全文検索の演算子定義</t>
  </si>
  <si>
    <t>Community参考: + -&gt;&lt;()~*:""&amp;|</t>
  </si>
  <si>
    <t>C094</t>
  </si>
  <si>
    <t>ft_max_word_len</t>
  </si>
  <si>
    <t>MyISAM全文索引の最大語長</t>
  </si>
  <si>
    <t>Community参考: 84</t>
  </si>
  <si>
    <t>10-84</t>
  </si>
  <si>
    <t>C095</t>
  </si>
  <si>
    <t>ft_min_word_len</t>
  </si>
  <si>
    <t>MyISAM全文索引の最小語長</t>
  </si>
  <si>
    <t>1-84</t>
  </si>
  <si>
    <t>C096</t>
  </si>
  <si>
    <t>ft_query_expansion_limit</t>
  </si>
  <si>
    <t>全文検索のクエリ拡張件数</t>
  </si>
  <si>
    <t>Community参考: 20</t>
  </si>
  <si>
    <t>0-1000</t>
  </si>
  <si>
    <t>C097</t>
  </si>
  <si>
    <t>ft_stopword_file</t>
  </si>
  <si>
    <t>全文検索の除外語ファイル</t>
  </si>
  <si>
    <t>/dev/null</t>
  </si>
  <si>
    <t>C098</t>
  </si>
  <si>
    <t>general_log</t>
  </si>
  <si>
    <t>全SQLログの出力</t>
  </si>
  <si>
    <t>C099</t>
  </si>
  <si>
    <t>general_log_file</t>
  </si>
  <si>
    <t>全SQLログの管理パス</t>
  </si>
  <si>
    <t>/rdsdbdata/log/general/mysql-general.log</t>
  </si>
  <si>
    <t>Community参考: host_name.log</t>
  </si>
  <si>
    <t>C100</t>
  </si>
  <si>
    <t>generated_random_password_length</t>
  </si>
  <si>
    <t>DBが生成するランダムパスワードの長さ</t>
  </si>
  <si>
    <t>20</t>
  </si>
  <si>
    <t>5-255</t>
  </si>
  <si>
    <t>C101</t>
  </si>
  <si>
    <t>group_concat_max_len</t>
  </si>
  <si>
    <t>GROUP_CONCATの結果長上限</t>
  </si>
  <si>
    <t>Community参考: 1024</t>
  </si>
  <si>
    <t>4-18446744073709547520</t>
  </si>
  <si>
    <t>C102</t>
  </si>
  <si>
    <t>gtid_executed_compression_period</t>
  </si>
  <si>
    <t>実行済みGTID履歴の圧縮間隔</t>
  </si>
  <si>
    <t>C103</t>
  </si>
  <si>
    <t>gtid-mode</t>
  </si>
  <si>
    <t>binlogレプリケーションのGTIDモード</t>
  </si>
  <si>
    <t>OFF_PERMISSIVE</t>
  </si>
  <si>
    <t>OFF,OFF_PERMISSIVE,ON_PERMISSIVE,ON</t>
  </si>
  <si>
    <t>C104</t>
  </si>
  <si>
    <t>gtid_purged</t>
  </si>
  <si>
    <t>削除済みbinlogに属するGTID集合</t>
  </si>
  <si>
    <t>C105</t>
  </si>
  <si>
    <t>histogram_generation_max_mem_size</t>
  </si>
  <si>
    <t>ヒストグラム作成時のメモリ上限</t>
  </si>
  <si>
    <t>Community参考: 20000000</t>
  </si>
  <si>
    <t>1000000-18446744073709551615</t>
  </si>
  <si>
    <t>C106</t>
  </si>
  <si>
    <t>host_cache_size</t>
  </si>
  <si>
    <t>接続元ホスト情報のキャッシュ</t>
  </si>
  <si>
    <t>0-65536</t>
  </si>
  <si>
    <t>C107</t>
  </si>
  <si>
    <t>information_schema_stats_expiry</t>
  </si>
  <si>
    <t>表統計のキャッシュ有効秒数</t>
  </si>
  <si>
    <t>Community参考: 86400</t>
  </si>
  <si>
    <t>C108</t>
  </si>
  <si>
    <t>init_connect</t>
  </si>
  <si>
    <t>新しいDB接続の初期化SQL</t>
  </si>
  <si>
    <t>S56 / S08</t>
  </si>
  <si>
    <t>C109</t>
  </si>
  <si>
    <t>innodb_adaptive_flushing</t>
  </si>
  <si>
    <t>汚れたページの自動フラッシュ調整</t>
  </si>
  <si>
    <t>S56 / S54 S35</t>
  </si>
  <si>
    <t>C110</t>
  </si>
  <si>
    <t>innodb_adaptive_hash_index</t>
  </si>
  <si>
    <t>適応型ハッシュ索引</t>
  </si>
  <si>
    <t>C111</t>
  </si>
  <si>
    <t>innodb_adaptive_hash_index_parts</t>
  </si>
  <si>
    <t>適応型ハッシュ索引の分割数</t>
  </si>
  <si>
    <t>Community参考: 8</t>
  </si>
  <si>
    <t>1-512</t>
  </si>
  <si>
    <t>C112</t>
  </si>
  <si>
    <t>innodb_adaptive_max_sleep_delay</t>
  </si>
  <si>
    <t>InnoDBスレッドの自動待機上限</t>
  </si>
  <si>
    <t>Community参考: 150000</t>
  </si>
  <si>
    <t>C113</t>
  </si>
  <si>
    <t>innodb_aurora_instant_alter_column_allowed</t>
  </si>
  <si>
    <t>列変更時のINSTANTアルゴリズム許可</t>
  </si>
  <si>
    <t>C114</t>
  </si>
  <si>
    <t>innodb_aurora_max_partitions_for_range</t>
  </si>
  <si>
    <t>範囲検索でのパーティション最適化制御</t>
  </si>
  <si>
    <t>0-8192</t>
  </si>
  <si>
    <t>C115</t>
  </si>
  <si>
    <t>innodb_autoextend_increment</t>
  </si>
  <si>
    <t>内部領域の自動拡張単位</t>
  </si>
  <si>
    <t>Community参考: 64</t>
  </si>
  <si>
    <t>1-1000</t>
  </si>
  <si>
    <t>C116</t>
  </si>
  <si>
    <t>innodb_autoinc_lock_mode</t>
  </si>
  <si>
    <t>自動採番のロック方式</t>
  </si>
  <si>
    <t>Community参考: 2</t>
  </si>
  <si>
    <t>C117</t>
  </si>
  <si>
    <t>innodb_buffer_pool_dump_at_shutdown</t>
  </si>
  <si>
    <t>停止時のキャッシュ情報保存</t>
  </si>
  <si>
    <t>C118</t>
  </si>
  <si>
    <t>innodb_buffer_pool_dump_now</t>
  </si>
  <si>
    <t>キャッシュ情報の即時保存指示</t>
  </si>
  <si>
    <t>C119</t>
  </si>
  <si>
    <t>innodb_buffer_pool_filename</t>
  </si>
  <si>
    <t>キャッシュ情報ファイル名</t>
  </si>
  <si>
    <t>Community参考: ib_buffer_pool</t>
  </si>
  <si>
    <t>C120</t>
  </si>
  <si>
    <t>innodb_buffer_pool_load_abort</t>
  </si>
  <si>
    <t>キャッシュ情報読込の中断</t>
  </si>
  <si>
    <t>C121</t>
  </si>
  <si>
    <t>innodb_buffer_pool_load_at_startup</t>
  </si>
  <si>
    <t>起動時のキャッシュ情報読込</t>
  </si>
  <si>
    <t>C122</t>
  </si>
  <si>
    <t>innodb_buffer_pool_load_now</t>
  </si>
  <si>
    <t>キャッシュ情報の即時読込指示</t>
  </si>
  <si>
    <t>C123</t>
  </si>
  <si>
    <t>innodb_buffer_pool_size</t>
  </si>
  <si>
    <t>データページキャッシュのサイズ</t>
  </si>
  <si>
    <t>{DBInstanceClassMemory*3/4}</t>
  </si>
  <si>
    <t>Community参考: 134217728</t>
  </si>
  <si>
    <t>335544320-9223372036854775807</t>
  </si>
  <si>
    <t>v2が自動調整。カスタム値を採用しない。</t>
  </si>
  <si>
    <t>S56 / S17</t>
  </si>
  <si>
    <t>C124</t>
  </si>
  <si>
    <t>innodb_change_buffer_max_size</t>
  </si>
  <si>
    <t>変更バッファの最大割合</t>
  </si>
  <si>
    <t>Community参考: 25</t>
  </si>
  <si>
    <t>0-50</t>
  </si>
  <si>
    <t>C125</t>
  </si>
  <si>
    <t>innodb_checksum_algorithm</t>
  </si>
  <si>
    <t>InnoDBページのチェックサム方式</t>
  </si>
  <si>
    <t>none</t>
  </si>
  <si>
    <t>Community参考: crc32</t>
  </si>
  <si>
    <t>crc32,innodb,none,strict_crc32,strict_innodb,strict_none</t>
  </si>
  <si>
    <t>C126</t>
  </si>
  <si>
    <t>innodb_commit_concurrency</t>
  </si>
  <si>
    <t>同時コミット処理数</t>
  </si>
  <si>
    <t>C127</t>
  </si>
  <si>
    <t>innodb_concurrency_tickets</t>
  </si>
  <si>
    <t>InnoDB実行スレッドの処理割当</t>
  </si>
  <si>
    <t>Community参考: 5000</t>
  </si>
  <si>
    <t>1-4294967295</t>
  </si>
  <si>
    <t>C128</t>
  </si>
  <si>
    <t>innodb_data_home_dir</t>
  </si>
  <si>
    <t>内部データ領域のパス</t>
  </si>
  <si>
    <t>C129</t>
  </si>
  <si>
    <t>innodb_deadlock_detect</t>
  </si>
  <si>
    <t>デッドロックの検出</t>
  </si>
  <si>
    <t>ON</t>
  </si>
  <si>
    <t>S56 / S54</t>
  </si>
  <si>
    <t>C130</t>
  </si>
  <si>
    <t>innodb_default_row_format</t>
  </si>
  <si>
    <t>新規InnoDB表の行形式</t>
  </si>
  <si>
    <t>Community参考: DYNAMIC</t>
  </si>
  <si>
    <t>DYNAMIC,COMPACT,REDUNDANT</t>
  </si>
  <si>
    <t>C131</t>
  </si>
  <si>
    <t>innodb_doublewrite</t>
  </si>
  <si>
    <t>二重書込バッファ（Aurora独自ストレージ管理）</t>
  </si>
  <si>
    <t>C132</t>
  </si>
  <si>
    <t>innodb_file_per_table</t>
  </si>
  <si>
    <t>表ごとの表スペース利用</t>
  </si>
  <si>
    <t>S56 / S37</t>
  </si>
  <si>
    <t>C133</t>
  </si>
  <si>
    <t>innodb_fill_factor</t>
  </si>
  <si>
    <t>索引構築時に残すページ空き率</t>
  </si>
  <si>
    <t>10-100</t>
  </si>
  <si>
    <t>C134</t>
  </si>
  <si>
    <t>innodb_flushing_avg_loops</t>
  </si>
  <si>
    <t>フラッシュの平均化期間</t>
  </si>
  <si>
    <t>Community参考: 30</t>
  </si>
  <si>
    <t>C135</t>
  </si>
  <si>
    <t>innodb_flush_log_at_timeout</t>
  </si>
  <si>
    <t>redoフラッシュの周期</t>
  </si>
  <si>
    <t>Community参考: 1</t>
  </si>
  <si>
    <t>0-2700</t>
  </si>
  <si>
    <t>C136</t>
  </si>
  <si>
    <t>innodb_flush_log_at_trx_commit</t>
  </si>
  <si>
    <t>コミット時のredo耐久性</t>
  </si>
  <si>
    <t>C137</t>
  </si>
  <si>
    <t>innodb_flush_method</t>
  </si>
  <si>
    <t>OSへの書込方式</t>
  </si>
  <si>
    <t>O_DIRECT</t>
  </si>
  <si>
    <t>Community参考: 既定値 (Unix): O_DIRECT if supported, otherwise fsync; 既定値 (Windows): unbuffered</t>
  </si>
  <si>
    <t>C138</t>
  </si>
  <si>
    <t>innodb_flush_neighbors</t>
  </si>
  <si>
    <t>周辺ページのまとめ書込</t>
  </si>
  <si>
    <t>C139</t>
  </si>
  <si>
    <t>innodb_force_load_corrupted</t>
  </si>
  <si>
    <t>破損表の強制ロード</t>
  </si>
  <si>
    <t>C140</t>
  </si>
  <si>
    <t>innodb_ft_aux_table</t>
  </si>
  <si>
    <t>全文索引の診断対象テーブル</t>
  </si>
  <si>
    <t>C141</t>
  </si>
  <si>
    <t>innodb_ft_cache_size</t>
  </si>
  <si>
    <t>全文索引のキャッシュサイズ</t>
  </si>
  <si>
    <t>Community参考: 8000000</t>
  </si>
  <si>
    <t>C142</t>
  </si>
  <si>
    <t>innodb_ft_enable_stopword</t>
  </si>
  <si>
    <t>全文索引の除外語の有効化</t>
  </si>
  <si>
    <t>C143</t>
  </si>
  <si>
    <t>innodb_ft_max_token_size</t>
  </si>
  <si>
    <t>InnoDB全文索引の最大語長</t>
  </si>
  <si>
    <t>10-252</t>
  </si>
  <si>
    <t>C144</t>
  </si>
  <si>
    <t>innodb_ft_min_token_size</t>
  </si>
  <si>
    <t>InnoDB全文索引の最小語長</t>
  </si>
  <si>
    <t>0-16</t>
  </si>
  <si>
    <t>C145</t>
  </si>
  <si>
    <t>innodb_ft_num_word_optimize</t>
  </si>
  <si>
    <t>全文索引最適化の処理語数</t>
  </si>
  <si>
    <t>Community参考: 2000</t>
  </si>
  <si>
    <t>C146</t>
  </si>
  <si>
    <t>innodb_ft_server_stopword_table</t>
  </si>
  <si>
    <t>全体の全文索引除外語テーブル</t>
  </si>
  <si>
    <t>Community参考: NULL</t>
  </si>
  <si>
    <t>C147</t>
  </si>
  <si>
    <t>innodb_ft_sort_pll_degree</t>
  </si>
  <si>
    <t>全文索引構築の並列度</t>
  </si>
  <si>
    <t>1-32</t>
  </si>
  <si>
    <t>C148</t>
  </si>
  <si>
    <t>innodb_ft_user_stopword_table</t>
  </si>
  <si>
    <t>利用者の全文索引除外語テーブル</t>
  </si>
  <si>
    <t>C149</t>
  </si>
  <si>
    <t>innodb_io_capacity</t>
  </si>
  <si>
    <t>背景I/O処理の容量目安</t>
  </si>
  <si>
    <t>Community参考: 10000</t>
  </si>
  <si>
    <t>100-18446744073709551615</t>
  </si>
  <si>
    <t>C150</t>
  </si>
  <si>
    <t>innodb_io_capacity_max</t>
  </si>
  <si>
    <t>背景I/O処理の最大容量目安</t>
  </si>
  <si>
    <t>Community参考: 2 * innodb_io_capacity</t>
  </si>
  <si>
    <t>2000-18446744073709547520</t>
  </si>
  <si>
    <t>C151</t>
  </si>
  <si>
    <t>行ロックを待つ秒数</t>
  </si>
  <si>
    <t>Community参考: 50</t>
  </si>
  <si>
    <t>1-1073741824</t>
  </si>
  <si>
    <t>C152</t>
  </si>
  <si>
    <t>innodb_log_compressed_pages</t>
  </si>
  <si>
    <t>圧縮ページのログ処理</t>
  </si>
  <si>
    <t>C153</t>
  </si>
  <si>
    <t>innodb_lru_scan_depth</t>
  </si>
  <si>
    <t>ページキャッシュ回収時の探索深さ</t>
  </si>
  <si>
    <t>C154</t>
  </si>
  <si>
    <t>innodb_max_dirty_pages_pct</t>
  </si>
  <si>
    <t>未書込ページの割合の目安</t>
  </si>
  <si>
    <t>Community参考: 90</t>
  </si>
  <si>
    <t>0-99</t>
  </si>
  <si>
    <t>C155</t>
  </si>
  <si>
    <t>innodb_max_purge_lag</t>
  </si>
  <si>
    <t>不要履歴削除の遅延しきい値</t>
  </si>
  <si>
    <t>C156</t>
  </si>
  <si>
    <t>innodb_max_purge_lag_delay</t>
  </si>
  <si>
    <t>履歴削除遅延時のDML待機上限</t>
  </si>
  <si>
    <t>C157</t>
  </si>
  <si>
    <t>innodb_monitor_disable</t>
  </si>
  <si>
    <t>InnoDB内部計測の無効化</t>
  </si>
  <si>
    <t>C158</t>
  </si>
  <si>
    <t>innodb_monitor_enable</t>
  </si>
  <si>
    <t>InnoDB内部計測の有効化</t>
  </si>
  <si>
    <t>C159</t>
  </si>
  <si>
    <t>innodb_monitor_reset</t>
  </si>
  <si>
    <t>InnoDB計測値のリセット</t>
  </si>
  <si>
    <t>C160</t>
  </si>
  <si>
    <t>innodb_monitor_reset_all</t>
  </si>
  <si>
    <t>InnoDB計測値の全リセット</t>
  </si>
  <si>
    <t>C161</t>
  </si>
  <si>
    <t>innodb_old_blocks_pct</t>
  </si>
  <si>
    <t>ページキャッシュの古い領域割合</t>
  </si>
  <si>
    <t>Community参考: 37</t>
  </si>
  <si>
    <t>5-95</t>
  </si>
  <si>
    <t>C162</t>
  </si>
  <si>
    <t>innodb_old_blocks_time</t>
  </si>
  <si>
    <t>全件走査がキャッシュを汚すのを防ぐ待ち時間</t>
  </si>
  <si>
    <t>C163</t>
  </si>
  <si>
    <t>innodb_online_alter_log_max_size</t>
  </si>
  <si>
    <t>オンラインDDLの変更ログ上限</t>
  </si>
  <si>
    <t>65536-18446744073709551615</t>
  </si>
  <si>
    <t>C164</t>
  </si>
  <si>
    <t>innodb_open_files</t>
  </si>
  <si>
    <t>開いておくInnoDBファイル数</t>
  </si>
  <si>
    <t>-1,10-4294967295</t>
  </si>
  <si>
    <t>C165</t>
  </si>
  <si>
    <t>innodb_optimize_fulltext_only</t>
  </si>
  <si>
    <t>全文索引のみ最適化する動作</t>
  </si>
  <si>
    <t>C166</t>
  </si>
  <si>
    <t>innodb_page_cleaners</t>
  </si>
  <si>
    <t>ページを掃除するスレッド数</t>
  </si>
  <si>
    <t>Community参考: innodb_buffer_pool_instances</t>
  </si>
  <si>
    <t>1-64</t>
  </si>
  <si>
    <t>C167</t>
  </si>
  <si>
    <t>innodb_page_size</t>
  </si>
  <si>
    <t>InnoDBのページサイズ</t>
  </si>
  <si>
    <t>Community参考: 16384</t>
  </si>
  <si>
    <t>C168</t>
  </si>
  <si>
    <t>innodb_parallel_read_threads</t>
  </si>
  <si>
    <t>InnoDB並列読取スレッド数</t>
  </si>
  <si>
    <t>Community参考: (available logical processors / 8), min of 4</t>
  </si>
  <si>
    <t>1-256</t>
  </si>
  <si>
    <t>Session</t>
  </si>
  <si>
    <t>C169</t>
  </si>
  <si>
    <t>innodb_print_all_deadlocks</t>
  </si>
  <si>
    <t>すべてのデッドロックのログ記録</t>
  </si>
  <si>
    <t>C170</t>
  </si>
  <si>
    <t>innodb_purge_batch_size</t>
  </si>
  <si>
    <t>不要な行履歴を削除するバッチサイズ</t>
  </si>
  <si>
    <t>1-5000</t>
  </si>
  <si>
    <t>C171</t>
  </si>
  <si>
    <t>innodb_purge_threads</t>
  </si>
  <si>
    <t>不要な行履歴を削除するスレッド数</t>
  </si>
  <si>
    <t>Community参考: 1 if # of available logical processors is &lt;= 16; otherwise 4</t>
  </si>
  <si>
    <t>C172</t>
  </si>
  <si>
    <t>innodb_read_io_threads</t>
  </si>
  <si>
    <t>読取I/Oスレッド数</t>
  </si>
  <si>
    <t>Community参考: (available logical processors / 2), min of 4</t>
  </si>
  <si>
    <t>C173</t>
  </si>
  <si>
    <t>innodb_read_only</t>
  </si>
  <si>
    <t>InnoDB内部の読取専用動作</t>
  </si>
  <si>
    <t>C174</t>
  </si>
  <si>
    <t>innodb_replication_delay</t>
  </si>
  <si>
    <t>複製処理の待機調整</t>
  </si>
  <si>
    <t>C175</t>
  </si>
  <si>
    <t>ロック待ち期限超過で全トランザクションを戻すか</t>
  </si>
  <si>
    <t>C176</t>
  </si>
  <si>
    <t>innodb_rollback_segments</t>
  </si>
  <si>
    <t>ロールバックセグメント数</t>
  </si>
  <si>
    <t>Community参考: 128</t>
  </si>
  <si>
    <t>1-128</t>
  </si>
  <si>
    <t>C177</t>
  </si>
  <si>
    <t>innodb_sort_buffer_size</t>
  </si>
  <si>
    <t>索引作成のソート領域</t>
  </si>
  <si>
    <t>Community参考: 1048576</t>
  </si>
  <si>
    <t>65536-67108864</t>
  </si>
  <si>
    <t>C178</t>
  </si>
  <si>
    <t>innodb_spin_wait_delay</t>
  </si>
  <si>
    <t>競合ロックのspin待ち間隔</t>
  </si>
  <si>
    <t>Community参考: 6</t>
  </si>
  <si>
    <t>C179</t>
  </si>
  <si>
    <t>innodb_spin_wait_pause_multiplier</t>
  </si>
  <si>
    <t>CPU pauseによるspin待ち調整</t>
  </si>
  <si>
    <t>1-100</t>
  </si>
  <si>
    <t>C180</t>
  </si>
  <si>
    <t>innodb_stats_auto_recalc</t>
  </si>
  <si>
    <t>統計の自動再計算</t>
  </si>
  <si>
    <t>S56 / S02 S54</t>
  </si>
  <si>
    <t>C181</t>
  </si>
  <si>
    <t>innodb_stats_include_delete_marked</t>
  </si>
  <si>
    <t>削除マーク行を統計へ含めるか</t>
  </si>
  <si>
    <t>C182</t>
  </si>
  <si>
    <t>innodb_stats_method</t>
  </si>
  <si>
    <t>NULLの統計計算方式</t>
  </si>
  <si>
    <t>Community参考: nulls_equal</t>
  </si>
  <si>
    <t>nulls_equal,nulls_unequal,nulls_ignored</t>
  </si>
  <si>
    <t>C183</t>
  </si>
  <si>
    <t>innodb_stats_on_metadata</t>
  </si>
  <si>
    <t>メタデータ参照時の統計再計算</t>
  </si>
  <si>
    <t>C184</t>
  </si>
  <si>
    <t>innodb_stats_persistent</t>
  </si>
  <si>
    <t>最適化統計の永続化</t>
  </si>
  <si>
    <t>OFF,ON,0,1</t>
  </si>
  <si>
    <t>C185</t>
  </si>
  <si>
    <t>innodb_stats_persistent_sample_pages</t>
  </si>
  <si>
    <t>永続統計の標本ページ数</t>
  </si>
  <si>
    <t>C186</t>
  </si>
  <si>
    <t>innodb_stats_transient_sample_pages</t>
  </si>
  <si>
    <t>一時統計の標本ページ数</t>
  </si>
  <si>
    <t>C187</t>
  </si>
  <si>
    <t>innodb_status_output</t>
  </si>
  <si>
    <t>InnoDB状態の定期ログ</t>
  </si>
  <si>
    <t>C188</t>
  </si>
  <si>
    <t>innodb_status_output_locks</t>
  </si>
  <si>
    <t>ロック状態の定期ログ</t>
  </si>
  <si>
    <t>C189</t>
  </si>
  <si>
    <t>innodb_strict_mode</t>
  </si>
  <si>
    <t>InnoDB設定・DDLの厳格な検査</t>
  </si>
  <si>
    <t>C190</t>
  </si>
  <si>
    <t>innodb_sync_array_size</t>
  </si>
  <si>
    <t>内部待機配列のサイズ</t>
  </si>
  <si>
    <t>1-1024</t>
  </si>
  <si>
    <t>C191</t>
  </si>
  <si>
    <t>innodb_sync_spin_loops</t>
  </si>
  <si>
    <t>競合ロックのspin回数</t>
  </si>
  <si>
    <t>30</t>
  </si>
  <si>
    <t>0-9223372036854775807</t>
  </si>
  <si>
    <t>C192</t>
  </si>
  <si>
    <t>innodb_table_locks</t>
  </si>
  <si>
    <t>InnoDBとSQL表ロックの連携</t>
  </si>
  <si>
    <t>C193</t>
  </si>
  <si>
    <t>innodb_thread_concurrency</t>
  </si>
  <si>
    <t>内部実行スレッドの同時数</t>
  </si>
  <si>
    <t>C194</t>
  </si>
  <si>
    <t>innodb_thread_sleep_delay</t>
  </si>
  <si>
    <t>実行スレッドの待機間隔</t>
  </si>
  <si>
    <t>C195</t>
  </si>
  <si>
    <t>innodb_trx_commit_allow_data_loss</t>
  </si>
  <si>
    <t>コミット耐久性を弱める変更の許可</t>
  </si>
  <si>
    <t>C196</t>
  </si>
  <si>
    <t>innodb_undo_directory</t>
  </si>
  <si>
    <t>undo領域の管理パス</t>
  </si>
  <si>
    <t>C197</t>
  </si>
  <si>
    <t>innodb_use_native_aio</t>
  </si>
  <si>
    <t>OS非同期I/Oの利用</t>
  </si>
  <si>
    <t>C198</t>
  </si>
  <si>
    <t>innodb_write_io_threads</t>
  </si>
  <si>
    <t>書込I/Oスレッド数</t>
  </si>
  <si>
    <t>C199</t>
  </si>
  <si>
    <t>対話型接続の無通信期限</t>
  </si>
  <si>
    <t>Community参考: 28800</t>
  </si>
  <si>
    <t>C200</t>
  </si>
  <si>
    <t>internal_tmp_mem_storage_engine</t>
  </si>
  <si>
    <t>内部一時表のメモリエンジン</t>
  </si>
  <si>
    <t>TempTable</t>
  </si>
  <si>
    <t>Community参考: TempTable</t>
  </si>
  <si>
    <t>TempTable,MEMORY</t>
  </si>
  <si>
    <t>C201</t>
  </si>
  <si>
    <t>join_buffer_size</t>
  </si>
  <si>
    <t>索引を使えない結合等の作業メモリ</t>
  </si>
  <si>
    <t>Community参考: 262144</t>
  </si>
  <si>
    <t>128-18446744073709547520</t>
  </si>
  <si>
    <t>C202</t>
  </si>
  <si>
    <t>keep_files_on_create</t>
  </si>
  <si>
    <t>表作成時の既存ファイル取扱い</t>
  </si>
  <si>
    <t>C203</t>
  </si>
  <si>
    <t>key_buffer_size</t>
  </si>
  <si>
    <t>MyISAM索引のキャッシュ</t>
  </si>
  <si>
    <t>16777216</t>
  </si>
  <si>
    <t>4096-4294967295</t>
  </si>
  <si>
    <t>C204</t>
  </si>
  <si>
    <t>key_cache_age_threshold</t>
  </si>
  <si>
    <t>MyISAM索引キャッシュの古さ判定</t>
  </si>
  <si>
    <t>100-18446744073709547520</t>
  </si>
  <si>
    <t>C205</t>
  </si>
  <si>
    <t>key_cache_block_size</t>
  </si>
  <si>
    <t>MyISAM索引キャッシュのブロックサイズ</t>
  </si>
  <si>
    <t>512-16384</t>
  </si>
  <si>
    <t>C206</t>
  </si>
  <si>
    <t>key_cache_division_limit</t>
  </si>
  <si>
    <t>MyISAM索引キャッシュの分割率</t>
  </si>
  <si>
    <t>C207</t>
  </si>
  <si>
    <t>lc_time_names</t>
  </si>
  <si>
    <t>日付の月・曜日名の言語</t>
  </si>
  <si>
    <t>ar_AE,ar_BH,ar_DZ,ar_EG,ar_IN,ar_IQ,ar_JO,ar_KW,ar_LB,ar_LY,ar_MA,ar_OM,ar_QA,ar_SA,ar_SD,ar_SY,ar_TN,ar_YE,be_BY,bg_BG,ca_ES,cs_CZ,da_DK,de_AT,de_BE,de_CH,de_DE,de_LU,el_GR,en_AU,en_CA,en_GB,en_IN,en_NZ,en_PH,en_US,en_ZA,en_ZW,es_AR,es_BO,es_CL,es_CO,es_CR,es_DO,es_EC,es_ES,es_GT,es_HN,es_MX,es_NI,es_PA,es_PE,es_PR,es_PY,es_SV,es_US,es_UY,es_VE,et_EE,eu_ES,fi_FI,fo_FO,fr_BE,fr_CA,fr_CH,fr_FR,fr_LU,gl_ES,gu_IN,he_IL,hi_IN,hr_HR,hu_HU,id_ID,is_IS,it_CH,it_IT,ja_JP,ko_KR,lt_LT,lv_LV,mk_MK,mn_MN,ms_MY,nb_NO,nl_BE,nl_NL,no_NO,pl_PL,pt_BR,pt_PT,ro_RO,ru_RU,ru_UA,sk_SK,sl_SI,sq_AL,sr_RS,sv_FI,sv_SE,ta_IN,te_IN,th_TH,tr_TR,uk_UA,ur_PK,vi_VN,zh_CN,zh_HK,zh_TW</t>
  </si>
  <si>
    <t>C208</t>
  </si>
  <si>
    <t>local_infile</t>
  </si>
  <si>
    <t>クライアントからのローカルファイル取込許可</t>
  </si>
  <si>
    <t>C209</t>
  </si>
  <si>
    <t>メタデータロックの待ち期限</t>
  </si>
  <si>
    <t>Community参考: 31536000</t>
  </si>
  <si>
    <t>C210</t>
  </si>
  <si>
    <t>log-bin</t>
  </si>
  <si>
    <t>binlogの管理ファイル名</t>
  </si>
  <si>
    <t>/rdsdbdata/log/binlog/mysql-bin-changelog</t>
  </si>
  <si>
    <t>C211</t>
  </si>
  <si>
    <t>log_bin_trust_function_creators</t>
  </si>
  <si>
    <t>binlog利用時のストアド作成者の信頼</t>
  </si>
  <si>
    <t>C212</t>
  </si>
  <si>
    <t>log_error</t>
  </si>
  <si>
    <t>エラーログの管理パス</t>
  </si>
  <si>
    <t>/rdsdbdata/log/error/mysql-error.log</t>
  </si>
  <si>
    <t>C213</t>
  </si>
  <si>
    <t>log_error_suppression_list</t>
  </si>
  <si>
    <t>記録しないエラーコード</t>
  </si>
  <si>
    <t>Community参考: empty string</t>
  </si>
  <si>
    <t>MY-013360</t>
  </si>
  <si>
    <t>C214</t>
  </si>
  <si>
    <t>log_error_verbosity</t>
  </si>
  <si>
    <t>エラーログの詳細度</t>
  </si>
  <si>
    <t>1-3</t>
  </si>
  <si>
    <t>C215</t>
  </si>
  <si>
    <t>log_output</t>
  </si>
  <si>
    <t>SQLログの出力先</t>
  </si>
  <si>
    <t>FILE</t>
  </si>
  <si>
    <t>Community参考: FILE</t>
  </si>
  <si>
    <t>TABLE,FILE,NONE</t>
  </si>
  <si>
    <t>C216</t>
  </si>
  <si>
    <t>log_queries_not_using_indexes</t>
  </si>
  <si>
    <t>索引未使用SQLの記録</t>
  </si>
  <si>
    <t>C217</t>
  </si>
  <si>
    <t>log_replica_updates</t>
  </si>
  <si>
    <t>複製適用イベントをbinlogへ記録</t>
  </si>
  <si>
    <t>C218</t>
  </si>
  <si>
    <t>log_slow_admin_statements</t>
  </si>
  <si>
    <t>遅い管理SQLの記録</t>
  </si>
  <si>
    <t>C219</t>
  </si>
  <si>
    <t>log_slow_extra</t>
  </si>
  <si>
    <t>slow logの追加情報</t>
  </si>
  <si>
    <t>C220</t>
  </si>
  <si>
    <t>log_slow_replica_statements</t>
  </si>
  <si>
    <t>複製に関する遅いSQLの記録</t>
  </si>
  <si>
    <t>C221</t>
  </si>
  <si>
    <t>log_throttle_queries_not_using_indexes</t>
  </si>
  <si>
    <t>索引未使用SQLログの件数制限</t>
  </si>
  <si>
    <t>C222</t>
  </si>
  <si>
    <t>long_query_time</t>
  </si>
  <si>
    <t>slow logへ記録する実行秒数のしきい値</t>
  </si>
  <si>
    <t>float</t>
  </si>
  <si>
    <t>C223</t>
  </si>
  <si>
    <t>lower_case_table_names</t>
  </si>
  <si>
    <t>テーブル名の大小文字の扱い</t>
  </si>
  <si>
    <t>Community参考: 既定値 (macOS): 2; 既定値 (Unix): 0; 既定値 (Windows): 1</t>
  </si>
  <si>
    <t>0-1</t>
  </si>
  <si>
    <t>C224</t>
  </si>
  <si>
    <t>low_priority_updates</t>
  </si>
  <si>
    <t>MyISAM等の表ロックで更新の優先度を下げる</t>
  </si>
  <si>
    <t>C225</t>
  </si>
  <si>
    <t>mandatory_roles</t>
  </si>
  <si>
    <t>全ユーザーへの必須ロール</t>
  </si>
  <si>
    <t>C226</t>
  </si>
  <si>
    <t>max_allowed_packet</t>
  </si>
  <si>
    <t>通信/SQLパケットの最大サイズ</t>
  </si>
  <si>
    <t>Community参考: 67108864</t>
  </si>
  <si>
    <t>1024-1073741824</t>
  </si>
  <si>
    <t>S56 / S09 S53</t>
  </si>
  <si>
    <t>C227</t>
  </si>
  <si>
    <t>max_binlog_cache_size</t>
  </si>
  <si>
    <t>トランザクション用binlogキャッシュの上限</t>
  </si>
  <si>
    <t>Community参考: 既定値 (64-bit platforms): 18446744073709547520; 既定値 (32-bit platforms): 4294967295</t>
  </si>
  <si>
    <t>C228</t>
  </si>
  <si>
    <t>max_binlog_size</t>
  </si>
  <si>
    <t>binlogファイルのサイズ</t>
  </si>
  <si>
    <t>134217728</t>
  </si>
  <si>
    <t>Community参考: 1073741824</t>
  </si>
  <si>
    <t>4096-1073741824</t>
  </si>
  <si>
    <t>C229</t>
  </si>
  <si>
    <t>max_binlog_stmt_cache_size</t>
  </si>
  <si>
    <t>非トランザクション用binlogキャッシュ上限</t>
  </si>
  <si>
    <t>Community参考: 18446744073709547520</t>
  </si>
  <si>
    <t>C230</t>
  </si>
  <si>
    <t>max_connect_errors</t>
  </si>
  <si>
    <t>接続元を遮断する連続通信エラー回数</t>
  </si>
  <si>
    <t>1-18446744073709547520</t>
  </si>
  <si>
    <t>C231</t>
  </si>
  <si>
    <t>DBが受け付ける同時接続数の上限</t>
  </si>
  <si>
    <t>GREATEST({log(DBInstanceClassMemory/805306368)*45},{log(DBInstanceClassMemory/8187281408)*1000})</t>
  </si>
  <si>
    <t>Community参考: 151</t>
  </si>
  <si>
    <t>1-50000</t>
  </si>
  <si>
    <t>最大ACU変更による自動再計算は再起動で反映。カスタム値の直接変更は別条件。</t>
  </si>
  <si>
    <t>S56 / S17 S08</t>
  </si>
  <si>
    <t>C232</t>
  </si>
  <si>
    <t>max_delayed_threads</t>
  </si>
  <si>
    <t>旧式遅延挿入スレッド数</t>
  </si>
  <si>
    <t>0-16384</t>
  </si>
  <si>
    <t>C233</t>
  </si>
  <si>
    <t>max_digest_length</t>
  </si>
  <si>
    <t>SQL集約用digestの入力サイズ</t>
  </si>
  <si>
    <t>0-1048576</t>
  </si>
  <si>
    <t>C234</t>
  </si>
  <si>
    <t>max_error_count</t>
  </si>
  <si>
    <t>保持する警告・エラーの件数</t>
  </si>
  <si>
    <t>C235</t>
  </si>
  <si>
    <t>読取SELECTの実行上限ミリ秒</t>
  </si>
  <si>
    <t>C236</t>
  </si>
  <si>
    <t>max_heap_table_size</t>
  </si>
  <si>
    <t>MEMORY表のサイズ上限</t>
  </si>
  <si>
    <t>Community参考: 16777216</t>
  </si>
  <si>
    <t>16384-1844674407370954752</t>
  </si>
  <si>
    <t>C237</t>
  </si>
  <si>
    <t>max_insert_delayed_threads</t>
  </si>
  <si>
    <t>旧式遅延挿入スレッド数の互換名</t>
  </si>
  <si>
    <t>C238</t>
  </si>
  <si>
    <t>max_join_size</t>
  </si>
  <si>
    <t>巨大結合の処理量制限</t>
  </si>
  <si>
    <t>Community参考: 18446744073709551615</t>
  </si>
  <si>
    <t>1-18446744073709551615</t>
  </si>
  <si>
    <t>C239</t>
  </si>
  <si>
    <t>max_points_in_geometry</t>
  </si>
  <si>
    <t>空間処理で許可する点の数</t>
  </si>
  <si>
    <t>Community参考: 65536</t>
  </si>
  <si>
    <t>3-1048576</t>
  </si>
  <si>
    <t>C240</t>
  </si>
  <si>
    <t>max_prepared_stmt_count</t>
  </si>
  <si>
    <t>サーバーprepared statement数の上限</t>
  </si>
  <si>
    <t>Community参考: 16382</t>
  </si>
  <si>
    <t>0-4194304</t>
  </si>
  <si>
    <t>C241</t>
  </si>
  <si>
    <t>max_seeks_for_key</t>
  </si>
  <si>
    <t>索引アクセスのコスト見積もり</t>
  </si>
  <si>
    <t>Community参考: 既定値 (Windows): 4294967295; 既定値 (Other, 64-bit platforms): 18446744073709551615; 既定値 (Other, 32-bit platforms): 4294967295</t>
  </si>
  <si>
    <t>C242</t>
  </si>
  <si>
    <t>max_sort_length</t>
  </si>
  <si>
    <t>ソート時に比較する値の長さ</t>
  </si>
  <si>
    <t>4-8388608</t>
  </si>
  <si>
    <t>C243</t>
  </si>
  <si>
    <t>max_sp_recursion_depth</t>
  </si>
  <si>
    <t>ストアドの再帰深さ</t>
  </si>
  <si>
    <t>0-255</t>
  </si>
  <si>
    <t>C244</t>
  </si>
  <si>
    <t>max_user_connections</t>
  </si>
  <si>
    <t>ユーザーごとの同時接続上限</t>
  </si>
  <si>
    <t>S56 / S53 S07</t>
  </si>
  <si>
    <t>C245</t>
  </si>
  <si>
    <t>max_write_lock_count</t>
  </si>
  <si>
    <t>書込ロックの優先回数</t>
  </si>
  <si>
    <t>C246</t>
  </si>
  <si>
    <t>min_examined_row_limit</t>
  </si>
  <si>
    <t>slow log記録対象の最小走査行数</t>
  </si>
  <si>
    <t>C247</t>
  </si>
  <si>
    <t>myisam_data_pointer_size</t>
  </si>
  <si>
    <t>旧MyISAMエンジン用の内部調整（myisam_data_pointer_size）</t>
  </si>
  <si>
    <t>2-7</t>
  </si>
  <si>
    <t>C248</t>
  </si>
  <si>
    <t>myisam_max_sort_file_size</t>
  </si>
  <si>
    <t>旧MyISAMエンジン用の内部調整（myisam_max_sort_file_size）</t>
  </si>
  <si>
    <t>Community参考: 既定値 (Windows): 2146435072; 既定値 (Other, 64-bit platforms): 9223372036853727232; 既定値 (Other, 32-bit platforms): 2147483648</t>
  </si>
  <si>
    <t>0-9223372036853727232</t>
  </si>
  <si>
    <t>C249</t>
  </si>
  <si>
    <t>myisam_mmap_size</t>
  </si>
  <si>
    <t>旧MyISAMエンジン用の内部調整（myisam_mmap_size）</t>
  </si>
  <si>
    <t>Community参考: 既定値 (64-bit platforms): 18446744073709551615; 既定値 (32-bit platforms): 4294967295</t>
  </si>
  <si>
    <t>7-922337203685477807</t>
  </si>
  <si>
    <t>C250</t>
  </si>
  <si>
    <t>myisam_sort_buffer_size</t>
  </si>
  <si>
    <t>旧MyISAMエンジン用の内部調整（myisam_sort_buffer_size）</t>
  </si>
  <si>
    <t>4-9223372036854775807</t>
  </si>
  <si>
    <t>C251</t>
  </si>
  <si>
    <t>myisam_stats_method</t>
  </si>
  <si>
    <t>旧MyISAMエンジン用の内部調整（myisam_stats_method）</t>
  </si>
  <si>
    <t>Community参考: nulls_unequal</t>
  </si>
  <si>
    <t>C252</t>
  </si>
  <si>
    <t>myisam_use_mmap</t>
  </si>
  <si>
    <t>旧MyISAMエンジン用の内部調整（myisam_use_mmap）</t>
  </si>
  <si>
    <t>C253</t>
  </si>
  <si>
    <t>mysql_native_password</t>
  </si>
  <si>
    <t>旧認証プラグインの有効状態</t>
  </si>
  <si>
    <t>ON固定。新規認証方式はauthentication_policyで指定。</t>
  </si>
  <si>
    <t>S56 / S22 S23</t>
  </si>
  <si>
    <t>C254</t>
  </si>
  <si>
    <t>mysql_native_password_proxy_users</t>
  </si>
  <si>
    <t>旧認証のPROXYユーザー連携</t>
  </si>
  <si>
    <t>C255</t>
  </si>
  <si>
    <t>net_buffer_length</t>
  </si>
  <si>
    <t>通信バッファの初期サイズ</t>
  </si>
  <si>
    <t>1024-1048576</t>
  </si>
  <si>
    <t>C256</t>
  </si>
  <si>
    <t>DBがクライアントからの受信を待つ秒数</t>
  </si>
  <si>
    <t>C257</t>
  </si>
  <si>
    <t>net_retry_count</t>
  </si>
  <si>
    <t>通信内部の再試行回数</t>
  </si>
  <si>
    <t>C258</t>
  </si>
  <si>
    <t>DBが結果送信を待つ秒数</t>
  </si>
  <si>
    <t>Community参考: 60</t>
  </si>
  <si>
    <t>C259</t>
  </si>
  <si>
    <t>ngram_token_size</t>
  </si>
  <si>
    <t>日本語等の全文検索を分割する文字数</t>
  </si>
  <si>
    <t>1-10</t>
  </si>
  <si>
    <t>C260</t>
  </si>
  <si>
    <t>optimizer_prune_level</t>
  </si>
  <si>
    <t>実行計画候補の枝刈り</t>
  </si>
  <si>
    <t>C261</t>
  </si>
  <si>
    <t>optimizer_search_depth</t>
  </si>
  <si>
    <t>結合順序探索の深さ</t>
  </si>
  <si>
    <t>Community参考: 62</t>
  </si>
  <si>
    <t>0-62</t>
  </si>
  <si>
    <t>C262</t>
  </si>
  <si>
    <t>optimizer_switch</t>
  </si>
  <si>
    <t>SQL最適化機能の個別ON/OFF</t>
  </si>
  <si>
    <t>default,batched_key_access=on,batched_key_access=off,block_nested_loop=on,block_nested_loop=off,condition_fanout_filter=on,condition_fanout_filter=off,derived_condition_pushdown=on,derived_condition_pushdown=off,derived_merge=on,derived_merge=off,duplicateweedout=on,duplicateweedout=off,engine_condition_pushdown=on,engine_condition_pushdown=off,firstmatch=on,firstmatch=off,hash_join=on,hash_join=off,index_condition_pushdown=on,index_condition_pushdown=off,index_merge=on,index_merge=off,index_merge_intersection=on,index_merge_intersection=off,index_merge_sort_union=on,index_merge_sort_union=off,index_merge_union=on,index_merge_union=off,loosescan=on,loosescan=off,materialization=on,materialization=off,mrr=on,mrr=off,mrr_cost_based=on,mrr_cost_based=off,prefer_ordering_index=on,prefer_ordering_index=off,semijoin=on,semijoin=off,skip_scan=on,skip_scan=off,subquery_materialization_cost_based=on,subquery_materialization_cost_based=off,use_index_extensions=on,use_index_extensions=off,use_invisible_indexes=on,use_invisible_indexes=off</t>
  </si>
  <si>
    <t>C263</t>
  </si>
  <si>
    <t>optimizer_trace</t>
  </si>
  <si>
    <t>実行計画選択の診断記録</t>
  </si>
  <si>
    <t>enabled=on,enabled=off,one_line=on,one_line=off</t>
  </si>
  <si>
    <t>C264</t>
  </si>
  <si>
    <t>optimizer_trace_features</t>
  </si>
  <si>
    <t>最適化診断の対象機能</t>
  </si>
  <si>
    <t>greedy_search=on,greedy_search=off,range_optimizer=on,range_optimizer=off,dynamic_range=on,dynamic_range=off,repeated_subselect=on,repeated_subselect=off</t>
  </si>
  <si>
    <t>C265</t>
  </si>
  <si>
    <t>optimizer_trace_limit</t>
  </si>
  <si>
    <t>保持する最適化診断件数</t>
  </si>
  <si>
    <t>C266</t>
  </si>
  <si>
    <t>optimizer_trace_max_mem_size</t>
  </si>
  <si>
    <t>最適化診断のメモリ上限</t>
  </si>
  <si>
    <t>C267</t>
  </si>
  <si>
    <t>optimizer_trace_offset</t>
  </si>
  <si>
    <t>取得する診断の位置</t>
  </si>
  <si>
    <t>Community参考: -1</t>
  </si>
  <si>
    <t>-9223372036854775807-9223372036854775807</t>
  </si>
  <si>
    <t>C268</t>
  </si>
  <si>
    <t>partial_revokes</t>
  </si>
  <si>
    <t>部分的な権限取り消しの有効化</t>
  </si>
  <si>
    <t>Community参考: OFF (if partial revokes do not exist) ON (if partial revokes exist)</t>
  </si>
  <si>
    <t>C269</t>
  </si>
  <si>
    <t>password_history</t>
  </si>
  <si>
    <t>過去パスワードの再利用禁止回数</t>
  </si>
  <si>
    <t>C270</t>
  </si>
  <si>
    <t>password_require_current</t>
  </si>
  <si>
    <t>パスワード変更時の現パスワード要求</t>
  </si>
  <si>
    <t>C271</t>
  </si>
  <si>
    <t>password_reuse_interval</t>
  </si>
  <si>
    <t>パスワード再利用禁止日数</t>
  </si>
  <si>
    <t>C272</t>
  </si>
  <si>
    <t>performance_schema</t>
  </si>
  <si>
    <t>性能分析用の計測基盤</t>
  </si>
  <si>
    <t>S56 / S45 S46</t>
  </si>
  <si>
    <t>C273</t>
  </si>
  <si>
    <t>performance_schema_accounts_size</t>
  </si>
  <si>
    <t>Performance Schema: accounts・件数/容量</t>
  </si>
  <si>
    <t>Community参考: -1 (signifies autoscaling; do not assign this literal value)</t>
  </si>
  <si>
    <t>-1-1048576</t>
  </si>
  <si>
    <t>S56 / S55 S46</t>
  </si>
  <si>
    <t>C274</t>
  </si>
  <si>
    <t>performance_schema_consumer_events_stages_current</t>
  </si>
  <si>
    <t>Performance Schema: 収集有効化・イベント・処理段階・現在</t>
  </si>
  <si>
    <t>C275</t>
  </si>
  <si>
    <t>performance_schema_consumer_events_stages_history</t>
  </si>
  <si>
    <t>Performance Schema: 収集有効化・イベント・処理段階・履歴</t>
  </si>
  <si>
    <t>C276</t>
  </si>
  <si>
    <t>performance_schema_consumer_events_stages_history_long</t>
  </si>
  <si>
    <t>Performance Schema: 収集有効化・イベント・処理段階・長期履歴</t>
  </si>
  <si>
    <t>C277</t>
  </si>
  <si>
    <t>performance_schema_consumer_events_statements_current</t>
  </si>
  <si>
    <t>Performance Schema: 収集有効化・イベント・SQL・現在</t>
  </si>
  <si>
    <t>C278</t>
  </si>
  <si>
    <t>performance_schema_consumer_events_statements_history</t>
  </si>
  <si>
    <t>Performance Schema: 収集有効化・イベント・SQL・履歴</t>
  </si>
  <si>
    <t>C279</t>
  </si>
  <si>
    <t>performance_schema_consumer_events_statements_history_long</t>
  </si>
  <si>
    <t>Performance Schema: 収集有効化・イベント・SQL・長期履歴</t>
  </si>
  <si>
    <t>C280</t>
  </si>
  <si>
    <t>performance-schema-consumer-events-waits-current</t>
  </si>
  <si>
    <t>Performance Schema: 収集有効化・イベント・待機・現在</t>
  </si>
  <si>
    <t>C281</t>
  </si>
  <si>
    <t>performance_schema_consumer_events_waits_history</t>
  </si>
  <si>
    <t>Performance Schema: 収集有効化・イベント・待機・履歴</t>
  </si>
  <si>
    <t>C282</t>
  </si>
  <si>
    <t>performance_schema_consumer_events_waits_history_long</t>
  </si>
  <si>
    <t>Performance Schema: 収集有効化・イベント・待機・長期履歴</t>
  </si>
  <si>
    <t>C283</t>
  </si>
  <si>
    <t>performance_schema_consumer_global_instrumentation</t>
  </si>
  <si>
    <t>Performance Schema: 収集有効化・global・計測</t>
  </si>
  <si>
    <t>C284</t>
  </si>
  <si>
    <t>performance_schema_consumer_statements_digest</t>
  </si>
  <si>
    <t>Performance Schema: 収集有効化・SQL・SQL集約</t>
  </si>
  <si>
    <t>C285</t>
  </si>
  <si>
    <t>performance_schema_consumer_thread_instrumentation</t>
  </si>
  <si>
    <t>Performance Schema: 収集有効化・スレッド・計測</t>
  </si>
  <si>
    <t>C286</t>
  </si>
  <si>
    <t>performance_schema_digests_size</t>
  </si>
  <si>
    <t>Performance Schema: SQL集約s・件数/容量</t>
  </si>
  <si>
    <t>C287</t>
  </si>
  <si>
    <t>performance_schema_events_stages_history_long_size</t>
  </si>
  <si>
    <t>Performance Schema: イベント・処理段階・長期履歴・件数/容量</t>
  </si>
  <si>
    <t>C288</t>
  </si>
  <si>
    <t>performance_schema_events_stages_history_size</t>
  </si>
  <si>
    <t>Performance Schema: イベント・処理段階・履歴・件数/容量</t>
  </si>
  <si>
    <t>-1-1024</t>
  </si>
  <si>
    <t>C289</t>
  </si>
  <si>
    <t>performance_schema_events_statements_history_long_size</t>
  </si>
  <si>
    <t>Performance Schema: イベント・SQL・長期履歴・件数/容量</t>
  </si>
  <si>
    <t>C290</t>
  </si>
  <si>
    <t>performance_schema_events_statements_history_size</t>
  </si>
  <si>
    <t>Performance Schema: イベント・SQL・履歴・件数/容量</t>
  </si>
  <si>
    <t>C291</t>
  </si>
  <si>
    <t>performance_schema_events_transactions_history_long_size</t>
  </si>
  <si>
    <t>Performance Schema: イベント・トランザクション・長期履歴・件数/容量</t>
  </si>
  <si>
    <t>C292</t>
  </si>
  <si>
    <t>performance_schema_events_transactions_history_size</t>
  </si>
  <si>
    <t>Performance Schema: イベント・トランザクション・履歴・件数/容量</t>
  </si>
  <si>
    <t>C293</t>
  </si>
  <si>
    <t>performance_schema_events_waits_history_long_size</t>
  </si>
  <si>
    <t>Performance Schema: イベント・待機・長期履歴・件数/容量</t>
  </si>
  <si>
    <t>C294</t>
  </si>
  <si>
    <t>performance_schema_events_waits_history_size</t>
  </si>
  <si>
    <t>Performance Schema: イベント・待機・履歴・件数/容量</t>
  </si>
  <si>
    <t>C295</t>
  </si>
  <si>
    <t>performance_schema_hosts_size</t>
  </si>
  <si>
    <t>Performance Schema: hosts・件数/容量</t>
  </si>
  <si>
    <t>C296</t>
  </si>
  <si>
    <t>performance-schema-instrument</t>
  </si>
  <si>
    <t>Performance Schema: 計測対象</t>
  </si>
  <si>
    <t>C297</t>
  </si>
  <si>
    <t>performance_schema_max_cond_classes</t>
  </si>
  <si>
    <t>Performance Schema: 最大・cond・classes</t>
  </si>
  <si>
    <t>Community参考: 150</t>
  </si>
  <si>
    <t>0-256</t>
  </si>
  <si>
    <t>C298</t>
  </si>
  <si>
    <t>performance_schema_max_cond_instances</t>
  </si>
  <si>
    <t>Performance Schema: 最大・cond・instances</t>
  </si>
  <si>
    <t>C299</t>
  </si>
  <si>
    <t>performance_schema_max_digest_length</t>
  </si>
  <si>
    <t>Performance Schema: 最大・SQL集約・length</t>
  </si>
  <si>
    <t>C300</t>
  </si>
  <si>
    <t>performance_schema_max_digest_sample_age</t>
  </si>
  <si>
    <t>Performance Schema: 最大・SQL集約・sample・age</t>
  </si>
  <si>
    <t>C301</t>
  </si>
  <si>
    <t>performance_schema_max_file_classes</t>
  </si>
  <si>
    <t>Performance Schema: 最大・ファイル・classes</t>
  </si>
  <si>
    <t>Community参考: 80</t>
  </si>
  <si>
    <t>C302</t>
  </si>
  <si>
    <t>performance_schema_max_file_handles</t>
  </si>
  <si>
    <t>Performance Schema: 最大・ファイル・handles</t>
  </si>
  <si>
    <t>C303</t>
  </si>
  <si>
    <t>performance_schema_max_file_instances</t>
  </si>
  <si>
    <t>Performance Schema: 最大・ファイル・instances</t>
  </si>
  <si>
    <t>C304</t>
  </si>
  <si>
    <t>performance_schema_max_index_stat</t>
  </si>
  <si>
    <t>Performance Schema: 最大・索引・stat</t>
  </si>
  <si>
    <t>C305</t>
  </si>
  <si>
    <t>performance_schema_max_memory_classes</t>
  </si>
  <si>
    <t>Performance Schema: 最大・メモリ・classes</t>
  </si>
  <si>
    <t>Community参考: 450</t>
  </si>
  <si>
    <t>C306</t>
  </si>
  <si>
    <t>performance_schema_max_metadata_locks</t>
  </si>
  <si>
    <t>Performance Schema: 最大・メタデータロック</t>
  </si>
  <si>
    <t>-1-104857600</t>
  </si>
  <si>
    <t>C307</t>
  </si>
  <si>
    <t>performance_schema_max_mutex_classes</t>
  </si>
  <si>
    <t>Performance Schema: 最大・mutex・classes</t>
  </si>
  <si>
    <t>Community参考: 350</t>
  </si>
  <si>
    <t>C308</t>
  </si>
  <si>
    <t>performance_schema_max_mutex_instances</t>
  </si>
  <si>
    <t>Performance Schema: 最大・mutex・instances</t>
  </si>
  <si>
    <t>C309</t>
  </si>
  <si>
    <t>performance_schema_max_prepared_statements_instances</t>
  </si>
  <si>
    <t>Performance Schema: 最大・prepared・SQL・instances</t>
  </si>
  <si>
    <t>C310</t>
  </si>
  <si>
    <t>performance_schema_max_program_instances</t>
  </si>
  <si>
    <t>Performance Schema: 最大・program・instances</t>
  </si>
  <si>
    <t>C311</t>
  </si>
  <si>
    <t>performance_schema_max_rwlock_classes</t>
  </si>
  <si>
    <t>Performance Schema: 最大・rwlock・classes</t>
  </si>
  <si>
    <t>C312</t>
  </si>
  <si>
    <t>performance_schema_max_rwlock_instances</t>
  </si>
  <si>
    <t>Performance Schema: 最大・rwlock・instances</t>
  </si>
  <si>
    <t>C313</t>
  </si>
  <si>
    <t>performance_schema_max_socket_classes</t>
  </si>
  <si>
    <t>Performance Schema: 最大・通信・classes</t>
  </si>
  <si>
    <t>C314</t>
  </si>
  <si>
    <t>performance_schema_max_socket_instances</t>
  </si>
  <si>
    <t>Performance Schema: 最大・通信・instances</t>
  </si>
  <si>
    <t>C315</t>
  </si>
  <si>
    <t>performance_schema_max_sql_text_length</t>
  </si>
  <si>
    <t>Performance Schema: 最大・sql・text・length</t>
  </si>
  <si>
    <t>C316</t>
  </si>
  <si>
    <t>performance_schema_max_stage_classes</t>
  </si>
  <si>
    <t>Performance Schema: 最大・stage・classes</t>
  </si>
  <si>
    <t>Community参考: 175</t>
  </si>
  <si>
    <t>C317</t>
  </si>
  <si>
    <t>performance_schema_max_statement_classes</t>
  </si>
  <si>
    <t>Performance Schema: 最大・statement・classes</t>
  </si>
  <si>
    <t>C318</t>
  </si>
  <si>
    <t>performance_schema_max_statement_stack</t>
  </si>
  <si>
    <t>Performance Schema: 最大・statement・stack</t>
  </si>
  <si>
    <t>C319</t>
  </si>
  <si>
    <t>performance_schema_max_table_handles</t>
  </si>
  <si>
    <t>Performance Schema: 最大・テーブル・handles</t>
  </si>
  <si>
    <t>C320</t>
  </si>
  <si>
    <t>performance_schema_max_table_instances</t>
  </si>
  <si>
    <t>Performance Schema: 最大・テーブル・instances</t>
  </si>
  <si>
    <t>C321</t>
  </si>
  <si>
    <t>performance_schema_max_table_lock_stat</t>
  </si>
  <si>
    <t>Performance Schema: 最大・テーブル・lock・stat</t>
  </si>
  <si>
    <t>C322</t>
  </si>
  <si>
    <t>performance_schema_max_thread_classes</t>
  </si>
  <si>
    <t>Performance Schema: 最大・スレッド・classes</t>
  </si>
  <si>
    <t>C323</t>
  </si>
  <si>
    <t>performance_schema_max_thread_instances</t>
  </si>
  <si>
    <t>Performance Schema: 最大・スレッド・instances</t>
  </si>
  <si>
    <t>C324</t>
  </si>
  <si>
    <t>performance_schema_session_connect_attrs_size</t>
  </si>
  <si>
    <t>Performance Schema: session・connect・attrs・件数/容量</t>
  </si>
  <si>
    <t>C325</t>
  </si>
  <si>
    <t>performance_schema_setup_actors_size</t>
  </si>
  <si>
    <t>Performance Schema: setup・actors・件数/容量</t>
  </si>
  <si>
    <t>C326</t>
  </si>
  <si>
    <t>performance_schema_setup_objects_size</t>
  </si>
  <si>
    <t>Performance Schema: setup・objects・件数/容量</t>
  </si>
  <si>
    <t>C327</t>
  </si>
  <si>
    <t>performance_schema_show_processlist</t>
  </si>
  <si>
    <t>Performance Schema: show・processlist</t>
  </si>
  <si>
    <t>C328</t>
  </si>
  <si>
    <t>performance_schema_users_size</t>
  </si>
  <si>
    <t>Performance Schema: users・件数/容量</t>
  </si>
  <si>
    <t>C329</t>
  </si>
  <si>
    <t>pid_file</t>
  </si>
  <si>
    <t>AWS管理のプロセスIDファイル</t>
  </si>
  <si>
    <t>/rdsdbdata/log/mysql-{EndPointPort}.pid</t>
  </si>
  <si>
    <t>C330</t>
  </si>
  <si>
    <t>plugin_dir</t>
  </si>
  <si>
    <t>AWS管理のプラグイン配置先</t>
  </si>
  <si>
    <t>Community参考: BASEDIR/lib/plugin</t>
  </si>
  <si>
    <t>C331</t>
  </si>
  <si>
    <t>port</t>
  </si>
  <si>
    <t>DBの待受ポート</t>
  </si>
  <si>
    <t>{EndPointPort}</t>
  </si>
  <si>
    <t>Community参考: 3306</t>
  </si>
  <si>
    <t>C332</t>
  </si>
  <si>
    <t>preload_buffer_size</t>
  </si>
  <si>
    <t>索引の事前読込バッファ</t>
  </si>
  <si>
    <t>C333</t>
  </si>
  <si>
    <t>profiling_history_size</t>
  </si>
  <si>
    <t>旧式プロファイリング履歴件数</t>
  </si>
  <si>
    <t>0-100</t>
  </si>
  <si>
    <t>C334</t>
  </si>
  <si>
    <t>query_alloc_block_size</t>
  </si>
  <si>
    <t>SQL処理用メモリの割当単位</t>
  </si>
  <si>
    <t>Community参考: 8192</t>
  </si>
  <si>
    <t>1024-18446744073709547520</t>
  </si>
  <si>
    <t>C335</t>
  </si>
  <si>
    <t>query_prealloc_size</t>
  </si>
  <si>
    <t>SQL処理用メモリの事前割当</t>
  </si>
  <si>
    <t>8192-18446744073709547520</t>
  </si>
  <si>
    <t>C336</t>
  </si>
  <si>
    <t>range_alloc_block_size</t>
  </si>
  <si>
    <t>範囲探索のメモリ割当単位</t>
  </si>
  <si>
    <t>Community参考: 4096</t>
  </si>
  <si>
    <t>C337</t>
  </si>
  <si>
    <t>range_optimizer_max_mem_size</t>
  </si>
  <si>
    <t>範囲探索の最適化メモリ上限</t>
  </si>
  <si>
    <t>C338</t>
  </si>
  <si>
    <t>read_buffer_size</t>
  </si>
  <si>
    <t>走査ごとの読取バッファ</t>
  </si>
  <si>
    <t>262144</t>
  </si>
  <si>
    <t>Community参考: 131072</t>
  </si>
  <si>
    <t>8200-2147479552</t>
  </si>
  <si>
    <t>C339</t>
  </si>
  <si>
    <t>read_only</t>
  </si>
  <si>
    <t>通常ユーザーの更新制限。Global役割制御とは別</t>
  </si>
  <si>
    <t>0,1,{TrueIfClusterReplica}</t>
  </si>
  <si>
    <t>S56 / S04 S20</t>
  </si>
  <si>
    <t>C340</t>
  </si>
  <si>
    <t>read_rnd_buffer_size</t>
  </si>
  <si>
    <t>ソート後のランダム読取バッファ</t>
  </si>
  <si>
    <t>524288</t>
  </si>
  <si>
    <t>C341</t>
  </si>
  <si>
    <t>regexp_stack_limit</t>
  </si>
  <si>
    <t>正規表現処理のstack上限</t>
  </si>
  <si>
    <t>0-2147483647</t>
  </si>
  <si>
    <t>C342</t>
  </si>
  <si>
    <t>regexp_time_limit</t>
  </si>
  <si>
    <t>正規表現処理の時間制限</t>
  </si>
  <si>
    <t>Community参考: 32</t>
  </si>
  <si>
    <t>C343</t>
  </si>
  <si>
    <t>relay-log</t>
  </si>
  <si>
    <t>binlog複製の受信ログ管理パス</t>
  </si>
  <si>
    <t>/rdsdbdata/log/relaylog/relaylog</t>
  </si>
  <si>
    <t>C344</t>
  </si>
  <si>
    <t>relay_log_recovery</t>
  </si>
  <si>
    <t>再起動時の受信ログ復旧</t>
  </si>
  <si>
    <t>C345</t>
  </si>
  <si>
    <t>relay-log-space-limit</t>
  </si>
  <si>
    <t>binlog複製の受信ログ容量上限</t>
  </si>
  <si>
    <t>C346</t>
  </si>
  <si>
    <t>replica_checkpoint_group</t>
  </si>
  <si>
    <t>複製checkpointの処理件数</t>
  </si>
  <si>
    <t>Community参考: 512</t>
  </si>
  <si>
    <t>32-524280</t>
  </si>
  <si>
    <t>C347</t>
  </si>
  <si>
    <t>replica_checkpoint_period</t>
  </si>
  <si>
    <t>複製checkpointの間隔</t>
  </si>
  <si>
    <t>C348</t>
  </si>
  <si>
    <t>replica_parallel_type</t>
  </si>
  <si>
    <t>binlog複製の並列化方式</t>
  </si>
  <si>
    <t>Community参考: LOGICAL_CLOCK</t>
  </si>
  <si>
    <t>DATABASE,LOGICAL_CLOCK</t>
  </si>
  <si>
    <t>C349</t>
  </si>
  <si>
    <t>replica_parallel_workers</t>
  </si>
  <si>
    <t>binlog複製の並列worker数</t>
  </si>
  <si>
    <t>C350</t>
  </si>
  <si>
    <t>replica_pending_jobs_size_max</t>
  </si>
  <si>
    <t>複製worker待ちキューのメモリ上限</t>
  </si>
  <si>
    <t>Community参考: 128M</t>
  </si>
  <si>
    <t>C351</t>
  </si>
  <si>
    <t>replica_preserve_commit_order</t>
  </si>
  <si>
    <t>複製先でのコミット順維持</t>
  </si>
  <si>
    <t>C352</t>
  </si>
  <si>
    <t>replica-skip-errors</t>
  </si>
  <si>
    <t>binlog複製エラーのスキップ指定</t>
  </si>
  <si>
    <t>OFF,all,ddl_exist_errors,&lt;integer&gt;</t>
  </si>
  <si>
    <t>C353</t>
  </si>
  <si>
    <t>replica_sql_verify_checksum</t>
  </si>
  <si>
    <t>複製適用時のチェックサム検査</t>
  </si>
  <si>
    <t>C354</t>
  </si>
  <si>
    <t>replicate-do-db</t>
  </si>
  <si>
    <t>binlog複製の対象を選別するフィルター（replicate-do-db）</t>
  </si>
  <si>
    <t>C355</t>
  </si>
  <si>
    <t>replicate-do-table</t>
  </si>
  <si>
    <t>binlog複製の対象を選別するフィルター（replicate-do-table）</t>
  </si>
  <si>
    <t>C356</t>
  </si>
  <si>
    <t>replicate-ignore-db</t>
  </si>
  <si>
    <t>binlog複製の対象を選別するフィルター（replicate-ignore-db）</t>
  </si>
  <si>
    <t>C357</t>
  </si>
  <si>
    <t>replicate-ignore-table</t>
  </si>
  <si>
    <t>binlog複製の対象を選別するフィルター（replicate-ignore-table）</t>
  </si>
  <si>
    <t>C358</t>
  </si>
  <si>
    <t>replicate-wild-do-table</t>
  </si>
  <si>
    <t>binlog複製の対象を選別するフィルター（replicate-wild-do-table）</t>
  </si>
  <si>
    <t>C359</t>
  </si>
  <si>
    <t>replicate-wild-ignore-table</t>
  </si>
  <si>
    <t>binlog複製の対象を選別するフィルター（replicate-wild-ignore-table）</t>
  </si>
  <si>
    <t>C360</t>
  </si>
  <si>
    <t>replica_transaction_retries</t>
  </si>
  <si>
    <t>複製トランザクション再試行回数</t>
  </si>
  <si>
    <t>C361</t>
  </si>
  <si>
    <t>replica_type_conversions</t>
  </si>
  <si>
    <t>複製時の型変換の許可範囲</t>
  </si>
  <si>
    <t>ALL_LOSSY, ALL_NON_LOSSY, ALL_SIGNED, ALL_UNSIGNED</t>
  </si>
  <si>
    <t>C362</t>
  </si>
  <si>
    <t>require_secure_transport</t>
  </si>
  <si>
    <t>暗号化通信の要求</t>
  </si>
  <si>
    <t>S56 / S22 S30</t>
  </si>
  <si>
    <t>C363</t>
  </si>
  <si>
    <t>restrict_fk_on_non_standard_key</t>
  </si>
  <si>
    <t>非一意キーを参照する外部キーの制限</t>
  </si>
  <si>
    <t>S56 / S02</t>
  </si>
  <si>
    <t>C364</t>
  </si>
  <si>
    <t>rpl_read_size</t>
  </si>
  <si>
    <t>binlog読み出しバッファ</t>
  </si>
  <si>
    <t>8192-4294959104</t>
  </si>
  <si>
    <t>C365</t>
  </si>
  <si>
    <t>safe-user-create</t>
  </si>
  <si>
    <t>旧式のユーザー作成制限</t>
  </si>
  <si>
    <t>C366</t>
  </si>
  <si>
    <t>schema_definition_cache</t>
  </si>
  <si>
    <t>スキーマ定義のキャッシュ</t>
  </si>
  <si>
    <t>Community参考: 256</t>
  </si>
  <si>
    <t>256-524288</t>
  </si>
  <si>
    <t>C367</t>
  </si>
  <si>
    <t>secure_file_priv</t>
  </si>
  <si>
    <t>サーバーファイル入出力の許可ディレクトリ</t>
  </si>
  <si>
    <t>/tmp</t>
  </si>
  <si>
    <t>Community参考: platform specific</t>
  </si>
  <si>
    <t>C368</t>
  </si>
  <si>
    <t>server_audit_events</t>
  </si>
  <si>
    <t>監査するDB操作の種類</t>
  </si>
  <si>
    <t>CONNECT,QUERY,QUERY_DCL,QUERY_DDL,QUERY_DML,TABLE</t>
  </si>
  <si>
    <t>C369</t>
  </si>
  <si>
    <t>server_audit_excl_users</t>
  </si>
  <si>
    <t>監査対象から除外するユーザー</t>
  </si>
  <si>
    <t>C370</t>
  </si>
  <si>
    <t>server_audit_incl_users</t>
  </si>
  <si>
    <t>監査対象へ含めるユーザー</t>
  </si>
  <si>
    <t>C371</t>
  </si>
  <si>
    <t>server_audit_logging</t>
  </si>
  <si>
    <t>拡張監査の有効化</t>
  </si>
  <si>
    <t>C372</t>
  </si>
  <si>
    <t>server_audit_logs_upload</t>
  </si>
  <si>
    <t>監査ログ転送設定</t>
  </si>
  <si>
    <t>C373</t>
  </si>
  <si>
    <t>server_audit_query_log_limit</t>
  </si>
  <si>
    <t>監査ログに記録するSQL長</t>
  </si>
  <si>
    <t>C374</t>
  </si>
  <si>
    <t>server_id</t>
  </si>
  <si>
    <t>複製用サーバー識別番号</t>
  </si>
  <si>
    <t>{ServerId}</t>
  </si>
  <si>
    <t>C375</t>
  </si>
  <si>
    <t>show_create_table_verbosity</t>
  </si>
  <si>
    <t>SHOW CREATE TABLEの詳細表示</t>
  </si>
  <si>
    <t>C376</t>
  </si>
  <si>
    <t>show_gipk_in_create_table_and_information_schema</t>
  </si>
  <si>
    <t>自動生成された不可視主キーの表示</t>
  </si>
  <si>
    <t>C377</t>
  </si>
  <si>
    <t>skip_external_locking</t>
  </si>
  <si>
    <t>OS外部ファイルロックの抑止</t>
  </si>
  <si>
    <t>C378</t>
  </si>
  <si>
    <t>skip_name_resolve</t>
  </si>
  <si>
    <t>DB認証時のDNS逆引き抑止</t>
  </si>
  <si>
    <t>C379</t>
  </si>
  <si>
    <t>skip-replica-start</t>
  </si>
  <si>
    <t>起動時にbinlog複製を自動開始するか</t>
  </si>
  <si>
    <t>C380</t>
  </si>
  <si>
    <t>skip_show_database</t>
  </si>
  <si>
    <t>DB一覧表示の権限制限</t>
  </si>
  <si>
    <t>C381</t>
  </si>
  <si>
    <t>slow_launch_time</t>
  </si>
  <si>
    <t>スレッド起動遅延のしきい値</t>
  </si>
  <si>
    <t>C382</t>
  </si>
  <si>
    <t>slow_query_log</t>
  </si>
  <si>
    <t>遅いSQLの記録</t>
  </si>
  <si>
    <t>C383</t>
  </si>
  <si>
    <t>slow_query_log_file</t>
  </si>
  <si>
    <t>slow logの管理パス</t>
  </si>
  <si>
    <t>/rdsdbdata/log/slowquery/mysql-slowquery.log</t>
  </si>
  <si>
    <t>Community参考: host_name-slow.log</t>
  </si>
  <si>
    <t>C384</t>
  </si>
  <si>
    <t>socket</t>
  </si>
  <si>
    <t>ローカル接続ソケットの管理パス</t>
  </si>
  <si>
    <t>/tmp/mysql.sock</t>
  </si>
  <si>
    <t>Community参考: 既定値 (Windows): MySQL; 既定値 (Other): /tmp/mysql.sock</t>
  </si>
  <si>
    <t>C385</t>
  </si>
  <si>
    <t>sort_buffer_size</t>
  </si>
  <si>
    <t>ソートごとの作業メモリ</t>
  </si>
  <si>
    <t>32768-18446744073709551615</t>
  </si>
  <si>
    <t>C386</t>
  </si>
  <si>
    <t>source_verify_checksum</t>
  </si>
  <si>
    <t>binlog送信側のチェックサム検査</t>
  </si>
  <si>
    <t>C387</t>
  </si>
  <si>
    <t>sql_generate_invisible_primary_key</t>
  </si>
  <si>
    <t>主キーなし表への不可視主キー生成</t>
  </si>
  <si>
    <t>C388</t>
  </si>
  <si>
    <t>SQLの厳格性・互換性・日付等の解釈</t>
  </si>
  <si>
    <t>Community参考: ONLY_FULL_GROUP_BY STRICT_TRANS_TABLES NO_ZERO_IN_DATE NO_ZERO_DATE ERROR_FOR_DIVISION_BY_ZERO NO_ENGINE_SUBSTITUTION</t>
  </si>
  <si>
    <t>0,ANSI,ALLOW_INVALID_DATES,ANSI_QUOTES,ERROR_FOR_DIVISION_BY_ZERO,HIGH_NOT_PRECEDENCE,IGNORE_SPACE,NO_AUTO_VALUE_ON_ZERO,NO_BACKSLASH_ESCAPES,NO_DIR_IN_CREATE,NO_ENGINE_SUBSTITUTION,NO_UNSIGNED_SUBTRACTION,NO_ZERO_DATE,NO_ZERO_IN_DATE,ONLY_FULL_GROUP_BY,PAD_CHAR_TO_FULL_LENGTH,PIPES_AS_CONCAT,REAL_AS_FLOAT,STRICT_ALL_TABLES,STRICT_TRANS_TABLES,TRADITIONAL,TIME_TRUNCATE_FRACTIONAL</t>
  </si>
  <si>
    <t>C389</t>
  </si>
  <si>
    <t>sql_select_limit</t>
  </si>
  <si>
    <t>SELECTが返す行数の既定上限</t>
  </si>
  <si>
    <t>C390</t>
  </si>
  <si>
    <t>ssl_cipher</t>
  </si>
  <si>
    <t>TLS1.2の許可暗号スイート</t>
  </si>
  <si>
    <t>ECDHE-ECDSA-AES128-GCM-SHA256,ECDHE-ECDSA-AES256-GCM-SHA384,ECDHE-RSA-AES128-GCM-SHA256,ECDHE-RSA-AES256-GCM-SHA384</t>
  </si>
  <si>
    <t>C391</t>
  </si>
  <si>
    <t>ssl_session_cache_mode</t>
  </si>
  <si>
    <t>TLSセッション情報の再利用</t>
  </si>
  <si>
    <t>C392</t>
  </si>
  <si>
    <t>ssl_session_cache_timeout</t>
  </si>
  <si>
    <t>TLSセッションキャッシュ期限</t>
  </si>
  <si>
    <t>0-84600</t>
  </si>
  <si>
    <t>C393</t>
  </si>
  <si>
    <t>stored_program_cache</t>
  </si>
  <si>
    <t>ストアド処理のキャッシュ</t>
  </si>
  <si>
    <t>C394</t>
  </si>
  <si>
    <t>stored_program_definition_cache</t>
  </si>
  <si>
    <t>ストアド定義のキャッシュ</t>
  </si>
  <si>
    <t>C395</t>
  </si>
  <si>
    <t>sync_binlog</t>
  </si>
  <si>
    <t>binlogの耐久化タイミング</t>
  </si>
  <si>
    <t>C396</t>
  </si>
  <si>
    <t>sync_relay_log_info</t>
  </si>
  <si>
    <t>複製位置情報の同期頻度</t>
  </si>
  <si>
    <t>C397</t>
  </si>
  <si>
    <t>sync_source_info</t>
  </si>
  <si>
    <t>複製元接続情報の同期頻度</t>
  </si>
  <si>
    <t>C398</t>
  </si>
  <si>
    <t>sysdate-is-now</t>
  </si>
  <si>
    <t>SYSDATEをNOW相当として扱うか</t>
  </si>
  <si>
    <t>C399</t>
  </si>
  <si>
    <t>table_cache_element_entry_ttl</t>
  </si>
  <si>
    <t>テーブルキャッシュ要素の保持時間</t>
  </si>
  <si>
    <t>5</t>
  </si>
  <si>
    <t>C400</t>
  </si>
  <si>
    <t>table_definition_cache</t>
  </si>
  <si>
    <t>テーブル定義キャッシュ</t>
  </si>
  <si>
    <t>LEAST({DBInstanceClassMemory/393040}, 20000)</t>
  </si>
  <si>
    <t>-1,400-524288</t>
  </si>
  <si>
    <t>C401</t>
  </si>
  <si>
    <t>table_open_cache</t>
  </si>
  <si>
    <t>開いているテーブルのキャッシュ</t>
  </si>
  <si>
    <t>LEAST({DBInstanceClassMemory/1179121}, 6000)</t>
  </si>
  <si>
    <t>Community参考: 4000</t>
  </si>
  <si>
    <t>1-524288</t>
  </si>
  <si>
    <t>C402</t>
  </si>
  <si>
    <t>table_open_cache_instances</t>
  </si>
  <si>
    <t>テーブルキャッシュの分割数</t>
  </si>
  <si>
    <t>Community参考: 16</t>
  </si>
  <si>
    <t>C403</t>
  </si>
  <si>
    <t>tablespace_definition_cache</t>
  </si>
  <si>
    <t>表スペース定義のキャッシュ</t>
  </si>
  <si>
    <t>C404</t>
  </si>
  <si>
    <t>temptable_max_mmap</t>
  </si>
  <si>
    <t>内部一時表がmmapで使う領域上限</t>
  </si>
  <si>
    <t>LEAST(4294967296,{AllocatedStorage*3/100})</t>
  </si>
  <si>
    <t>C405</t>
  </si>
  <si>
    <t>temptable_max_ram</t>
  </si>
  <si>
    <t>内部一時表が使うRAM上限</t>
  </si>
  <si>
    <t>Community参考: 3% of total memory: min 1 GB, max 4 GB</t>
  </si>
  <si>
    <t>2097152-18446744073709551615</t>
  </si>
  <si>
    <t>C406</t>
  </si>
  <si>
    <t>temptable_use_mmap</t>
  </si>
  <si>
    <t>内部一時表のmmap利用</t>
  </si>
  <si>
    <t>C407</t>
  </si>
  <si>
    <t>thread_cache_size</t>
  </si>
  <si>
    <t>接続スレッドの再利用数</t>
  </si>
  <si>
    <t>{DBInstanceClassMemory/1005785088}</t>
  </si>
  <si>
    <t>C408</t>
  </si>
  <si>
    <t>thread_handling</t>
  </si>
  <si>
    <t>AWS管理のスレッド処理方式</t>
  </si>
  <si>
    <t>thread-pools</t>
  </si>
  <si>
    <t>Community参考: one-thread-per-connection</t>
  </si>
  <si>
    <t>thread-pools,no-threads,one-thread-per-connection,dynamically-loaded</t>
  </si>
  <si>
    <t>C409</t>
  </si>
  <si>
    <t>thread_stack</t>
  </si>
  <si>
    <t>スレッドあたりのstack領域</t>
  </si>
  <si>
    <t>131072-18446744073709547520</t>
  </si>
  <si>
    <t>C410</t>
  </si>
  <si>
    <t>time_zone</t>
  </si>
  <si>
    <t>DBセッションの既定タイムゾーン</t>
  </si>
  <si>
    <t>Community参考: SYSTEM</t>
  </si>
  <si>
    <t>全598値を「25_長い許容値」に省略せず掲載。</t>
  </si>
  <si>
    <t>C411</t>
  </si>
  <si>
    <t>tls_ciphersuites</t>
  </si>
  <si>
    <t>TLS1.3の許可暗号スイート</t>
  </si>
  <si>
    <t>TLS_AES_128_GCM_SHA256,TLS_AES_256_GCM_SHA384</t>
  </si>
  <si>
    <t>C412</t>
  </si>
  <si>
    <t>tls_version</t>
  </si>
  <si>
    <t>許可するTLSプロトコル版</t>
  </si>
  <si>
    <t>Community参考: TLSv1.2,TLSv1.3</t>
  </si>
  <si>
    <t>C413</t>
  </si>
  <si>
    <t>tmpdir</t>
  </si>
  <si>
    <t>一時ファイルの管理パス</t>
  </si>
  <si>
    <t>/rdsdbdata/tmp/</t>
  </si>
  <si>
    <t>C414</t>
  </si>
  <si>
    <t>tmp_table_size</t>
  </si>
  <si>
    <t>内部一時表ごとのサイズ上限</t>
  </si>
  <si>
    <t>1024-18446744073709551615</t>
  </si>
  <si>
    <t>C415</t>
  </si>
  <si>
    <t>transaction_alloc_block_size</t>
  </si>
  <si>
    <t>トランザクション処理メモリの割当単位</t>
  </si>
  <si>
    <t>C416</t>
  </si>
  <si>
    <t>transaction_isolation</t>
  </si>
  <si>
    <t>既定のトランザクション分離レベル</t>
  </si>
  <si>
    <t>Community参考: REPEATABLE-READ</t>
  </si>
  <si>
    <t>READ-UNCOMMITTED,READ-COMMITTED,REPEATABLE-READ,SERIALIZABLE</t>
  </si>
  <si>
    <t>C417</t>
  </si>
  <si>
    <t>transaction_prealloc_size</t>
  </si>
  <si>
    <t>トランザクション用メモリの事前確保</t>
  </si>
  <si>
    <t>C418</t>
  </si>
  <si>
    <t>updatable_views_with_limit</t>
  </si>
  <si>
    <t>LIMIT付きviewの更新可否</t>
  </si>
  <si>
    <t>C419</t>
  </si>
  <si>
    <t>validate-password</t>
  </si>
  <si>
    <t>旧式パスワード検証pluginの互換設定</t>
  </si>
  <si>
    <t>ON,OFF,FORCE,FORCE_PLUS_PERMANENT</t>
  </si>
  <si>
    <t>C420</t>
  </si>
  <si>
    <t>validate_password.changed_characters_percentage</t>
  </si>
  <si>
    <t>変更後パスワードに要求する文字変更率</t>
  </si>
  <si>
    <t>C421</t>
  </si>
  <si>
    <t>validate_password.check_user_name</t>
  </si>
  <si>
    <t>ユーザー名とパスワードの一致検査</t>
  </si>
  <si>
    <t>C422</t>
  </si>
  <si>
    <t>validate_password.dictionary_file</t>
  </si>
  <si>
    <t>辞書による弱いパスワード検査</t>
  </si>
  <si>
    <t>C423</t>
  </si>
  <si>
    <t>validate_password.length</t>
  </si>
  <si>
    <t>パスワード最小長</t>
  </si>
  <si>
    <t>C424</t>
  </si>
  <si>
    <t>validate_password.mixed_case_count</t>
  </si>
  <si>
    <t>大小英字の必要数</t>
  </si>
  <si>
    <t>C425</t>
  </si>
  <si>
    <t>validate_password.number_count</t>
  </si>
  <si>
    <t>数字の必要数</t>
  </si>
  <si>
    <t>C426</t>
  </si>
  <si>
    <t>validate_password.policy</t>
  </si>
  <si>
    <t>パスワード検証強度</t>
  </si>
  <si>
    <t>LOW,MEDIUM</t>
  </si>
  <si>
    <t>C427</t>
  </si>
  <si>
    <t>validate_password.special_char_count</t>
  </si>
  <si>
    <t>記号の必要数</t>
  </si>
  <si>
    <t>C428</t>
  </si>
  <si>
    <t>通常接続の無通信期限</t>
  </si>
  <si>
    <t>S56 / S07 S53</t>
  </si>
  <si>
    <t>C429</t>
  </si>
  <si>
    <t>windowing_use_high_precision</t>
  </si>
  <si>
    <t>window関数の高精度計算</t>
  </si>
  <si>
    <t>C430</t>
  </si>
  <si>
    <t>xa_detach_on_prepare</t>
  </si>
  <si>
    <t>XA prepare後の接続分離動作</t>
  </si>
  <si>
    <t>クラスタパラメータ全件・用途別推奨（430行）</t>
  </si>
  <si>
    <t>新規/標準設計の開始値。直接online・直接batchは比較列、実際の採用列は共用Proxy。クラスタと個別群へ矛盾する値を二重設定しない。</t>
  </si>
  <si>
    <t>オンライン直結の推奨</t>
  </si>
  <si>
    <t>バッチ直結の推奨</t>
  </si>
  <si>
    <t>共用Proxy経由の推奨</t>
  </si>
  <si>
    <t>理由・影響・適用判断</t>
  </si>
  <si>
    <t>Serverless/反映時の注意</t>
  </si>
  <si>
    <t>判断区分</t>
  </si>
  <si>
    <t>明示上書きなし・既定列を継承</t>
  </si>
  <si>
    <t>JNDI経由かDriverManagerかだけでエンジン動作を変える理由はない。業務契約の変更を伴う場合にのみ個別設定。</t>
  </si>
  <si>
    <t>既定維持</t>
  </si>
  <si>
    <t>S20 S53</t>
  </si>
  <si>
    <t>変更不可・AWS管理値を使用</t>
  </si>
  <si>
    <t>AWS管理項目。利用者がOS/エンジン内部値を変更する設計にしない。</t>
  </si>
  <si>
    <t>変更不可</t>
  </si>
  <si>
    <t>ONを維持</t>
  </si>
  <si>
    <t>8.4の自動メモリ回復を使用。この間aurora_oom_responseの個別設定は無視される。</t>
  </si>
  <si>
    <t>重点設計</t>
  </si>
  <si>
    <t>1（新規環境）</t>
  </si>
  <si>
    <t>Secretsの生成条件と一致を検証。既存パスワード運用への影響を先に調べる。</t>
  </si>
  <si>
    <t>ドライバ/Proxy/業務期限と対象区間を分離。不要な期限延長で混雑を隠さない。</t>
  </si>
  <si>
    <t>S53 S54</t>
  </si>
  <si>
    <t>最小ACUでの同時実行が制約。各接続/処理の作業領域を一律に拡大せず、SQL改善・同時実行制限を先に評価。</t>
  </si>
  <si>
    <t>S17 S38</t>
  </si>
  <si>
    <t>今回DBからの外部呼出し要件はないため未設定/既定を維持。利用するときだけ地域別の最小権限ロールと期限を設計。</t>
  </si>
  <si>
    <t>既定継承（自動管理ON時は無視）</t>
  </si>
  <si>
    <t>ONの自動管理を優先し、独自の回復動作へ無条件に変更しない。</t>
  </si>
  <si>
    <t>OFFを基準、分析用途は別途評価</t>
  </si>
  <si>
    <t>現行FAQはServerless互換と説明。古い非対応情報で断定しない。本件はOLTPを基準に、版・容量・I/O費用・実行計画を確認して採否を決める。</t>
  </si>
  <si>
    <t>S61</t>
  </si>
  <si>
    <t>Readerの特殊な整合性最適化を、単なるREAD COMMITTEDの一般設定と混同しない。</t>
  </si>
  <si>
    <t>既定継承（転送は無効）</t>
  </si>
  <si>
    <t>write forwardingを有効にする別設計でもProxyではSESSIONを採用しない。</t>
  </si>
  <si>
    <t>対象外：8.4.8以降</t>
  </si>
  <si>
    <t>8.4.7では設定しない。ファミリー一覧の存在だけで採用しない。</t>
  </si>
  <si>
    <t>対象外</t>
  </si>
  <si>
    <t>新規認証をSHA-2へ統一。既存ユーザーは別途移行。</t>
  </si>
  <si>
    <t>1、JTA管理区間はEAPに任せる</t>
  </si>
  <si>
    <t>1を既定、チャンク中は明示false</t>
  </si>
  <si>
    <t>1を既定、JTA/チャンク終了を保証</t>
  </si>
  <si>
    <t>グローバルで常時OFFにしない。短いトランザクションで接続の返却を促す。</t>
  </si>
  <si>
    <t>本構成のGlobal複製はストレージ層。CDC/外部binlog複製を利用しない限り既定を変更しない。複製エラーの無条件スキップは採らない。</t>
  </si>
  <si>
    <t>Globalのストレージ複製にbinlogは不要。DMS/CDC等の別要件があるときだけROWを含め再設計。</t>
  </si>
  <si>
    <t>S15 S20</t>
  </si>
  <si>
    <t>永続業務データはInnoDB。旧エンジン用のバッファや互換機能へメモリを増やさない。APIに存在しても利用を推奨しない。</t>
  </si>
  <si>
    <t>交渉に任せる。JDBC UTF-8</t>
  </si>
  <si>
    <t>ドライバ・DB間の文字集合交渉とテストで合わせる。</t>
  </si>
  <si>
    <t>独自SET NAMESを追加せず、ドライバ設定で整合。</t>
  </si>
  <si>
    <t>継承。CREATE DATABASEでutf8mb4</t>
  </si>
  <si>
    <t>schema定義を明示し、読み取り用の状態変数を接続ごとに乱用しない。</t>
  </si>
  <si>
    <t>返却文字集合と文字化けをUnicode境界値で確認。</t>
  </si>
  <si>
    <t>utf8mb4</t>
  </si>
  <si>
    <t>DB/表/列の作成時の既定。既存データは自動変換されない。</t>
  </si>
  <si>
    <t>JDBCとDBの照合規則を一致</t>
  </si>
  <si>
    <t>列の照合規則と接続の規則は別。比較の暗黙変換を調査。</t>
  </si>
  <si>
    <t>新規:utf8mb4_0900_ai_ci</t>
  </si>
  <si>
    <t>既存は維持。大小文字/濁点等の同一視を業務で確認し、識別子列は厳密な照合規則を個別採用。</t>
  </si>
  <si>
    <t>DB側の初回通信待ち。JDBC connectTimeoutはonline3秒/batch5秒。</t>
  </si>
  <si>
    <t>既定を基準に実行計画と実データの回帰試験。特定SQLの問題をグローバル変更で全SQLへ広げない。</t>
  </si>
  <si>
    <t>0 + Secretsで期限付きrotation</t>
  </si>
  <si>
    <t>日数経過による突発的なアプリ停止を避ける。更新頻度は運用ポリシーで強制し放置しない。</t>
  </si>
  <si>
    <t>S22 S33</t>
  </si>
  <si>
    <t>DR時の二重実行を防ぐため業務ジョブは外部スケジューラで切替。既存利用がある場合は移行設計。</t>
  </si>
  <si>
    <t>全SQLの常時記録は費用と機密値の流出を増やす。調査時だけ期間限定。</t>
  </si>
  <si>
    <t>32</t>
  </si>
  <si>
    <t>DBが生成する場合の候補。Secrets側の生成設定は別に一致させる。</t>
  </si>
  <si>
    <t>空を維持</t>
  </si>
  <si>
    <t>ProxyではDB側init_connectへ依存しない。必要な共通初期化はProxy InitQueryに限定。</t>
  </si>
  <si>
    <t>Aurora独自の永続化方式とServerless容量変動を尊重。実測のないI/O/スレッド/メモリ変更は行わない。</t>
  </si>
  <si>
    <t>S54 S35</t>
  </si>
  <si>
    <t>Serverless v2の自動調整に任せる</t>
  </si>
  <si>
    <t>APIは変更可だがv2はカスタム値を採用しない。固定値の最適化は行わない。</t>
  </si>
  <si>
    <t>v2自動調整</t>
  </si>
  <si>
    <t>競合を早期検出し、業務単位の安全な再試行へつなげる。</t>
  </si>
  <si>
    <t>DYNAMIC</t>
  </si>
  <si>
    <t>新規表を標準的な行形式に統一する。</t>
  </si>
  <si>
    <t>領域回収と表単位の保守。既存表の再構築は別作業。</t>
  </si>
  <si>
    <t>確定済みデータの耐久性を性能のために弱めない。</t>
  </si>
  <si>
    <t>全文検索の業務要件がないため既定維持。変更時は索引再構築・日本語検索結果・追加領域を検証。</t>
  </si>
  <si>
    <t>共用Writerではonlineを優先。batchはチャンク短縮と上限付き再試行。</t>
  </si>
  <si>
    <t>競合の根拠を残す。SQLや個人情報がログに入る可能性を管理。</t>
  </si>
  <si>
    <t>ロック待ち失敗時の部分確定を避ける。アプリでも全体rollback。staticのため再起動。</t>
  </si>
  <si>
    <t>通常統計の自動更新。8.4.7のhistogram自動更新非対応とは別。</t>
  </si>
  <si>
    <t>S02 S54</t>
  </si>
  <si>
    <t>管理参照だけで統計再計算を増やさない。</t>
  </si>
  <si>
    <t>実行計画の統計を永続化して変動を抑える。</t>
  </si>
  <si>
    <t>不適切な表定義を黙認しない。</t>
  </si>
  <si>
    <t>耐久性を弱める設定変更の入口を閉じる。</t>
  </si>
  <si>
    <t>28800秒</t>
  </si>
  <si>
    <t>通常JDBCはinteractive=falseのためwait_timeoutが主対象。</t>
  </si>
  <si>
    <t>通常アプリのローカルファイル取込を禁止。専用取込の例外は別設計。</t>
  </si>
  <si>
    <t>metadata lockの無期限に近い待ちを防ぐ。DDLは保守用セッションで別管理。</t>
  </si>
  <si>
    <t>必要な監査/遅延診断を確保し、過大な記録・機密値露出を避ける。出力先と保持期間は別途管理。</t>
  </si>
  <si>
    <t>ファイルログと管理された転送を使う。TABLEへの常時出力を避ける。</t>
  </si>
  <si>
    <t>索引未使用が必ず問題とは限らずログ量が急増。必要時に対象期間を限定。</t>
  </si>
  <si>
    <t>DDL等の長時間化を発見する。ログ保持とアクセスを管理。</t>
  </si>
  <si>
    <t>1秒</t>
  </si>
  <si>
    <t>共用では短い側で遅延を可視化し、DBユーザー別に分析する。</t>
  </si>
  <si>
    <t>新規0、既存は固定値を維持</t>
  </si>
  <si>
    <t>作成時制約があり後から簡単に変えられない。Windows開発環境の大小文字無視に依存しない。</t>
  </si>
  <si>
    <t>既定維持、必要payloadで検証</t>
  </si>
  <si>
    <t>大きいBLOBは別保管も検討。上限だけ増やすとメモリ圧迫。16KBのProxy pinningとは別の制約。</t>
  </si>
  <si>
    <t>AWS式を維持・実効値採取</t>
  </si>
  <si>
    <t>最大ACU変更に伴う自動再計算の反映は再起動。カスタム値の直接変更はDB側では再起動不要だが、Proxy反映要件は別途確認。接続数とCPU処理能力は別。</t>
  </si>
  <si>
    <t>S17 S08</t>
  </si>
  <si>
    <t>90000ms + online SELECTヒント5000ms</t>
  </si>
  <si>
    <t>SELECT用。DML全体には効かないのでJDBC/JTAの期限と組み合わせる。</t>
  </si>
  <si>
    <t>既定維持。アプリpoolで上限制御</t>
  </si>
  <si>
    <t>DBユーザー制限は共有poolやProxy内部利用と合わせ検証。適当な全体一律値を置かない。</t>
  </si>
  <si>
    <t>AuroraではON固定。新規ユーザーはSHA-2を推奨。</t>
  </si>
  <si>
    <t>S22 S23</t>
  </si>
  <si>
    <t>SHA-2とTLSを前提に互換性・パスワード運用を検証。既定の暗号や認証制約を性能目的で緩めない。</t>
  </si>
  <si>
    <t>SQL実行時間ではなく入力受信中の待ち。batchは実測がある場合のみ延長。</t>
  </si>
  <si>
    <t>結果消費が遅いbatchはページングで改善。必要に応じセッションだけ延長しpinningを確認。</t>
  </si>
  <si>
    <t>Database Insightsと併せて有効化確認</t>
  </si>
  <si>
    <t>API既定0と自動管理/実効値は別。計測を有効にし最小ACUのメモリを検証。全consumerの巨大化は避ける。</t>
  </si>
  <si>
    <t>S45 S46</t>
  </si>
  <si>
    <t>既定の計測範囲/自動サイズを維持。全履歴・全instrumentを有効化するとCPU/メモリを増やす。必要な診断を期間限定で追加。</t>
  </si>
  <si>
    <t>S55 S46</t>
  </si>
  <si>
    <t>AWS既定0・役割管理に任せる</t>
  </si>
  <si>
    <t>Global secondaryの書込保護を0で解除できると考えない。接続先の役割とDB権限を確認。</t>
  </si>
  <si>
    <t>S04 S20</t>
  </si>
  <si>
    <t>VPC内部もTLS必須。JDBCホスト名検証とProxy RequireTLSも設定。</t>
  </si>
  <si>
    <t>参照先は一意キーを明示。互換性のため安易に制限を外さない。</t>
  </si>
  <si>
    <t>S02</t>
  </si>
  <si>
    <t>CONNECT,QUERY_DDL,QUERY_DCL</t>
  </si>
  <si>
    <t>業務監査でDMLが必須ならQUERY_DMLを追加し負荷検証。単なる全件記録を監査設計としない。</t>
  </si>
  <si>
    <t>1（監査要件に合わせ試験）</t>
  </si>
  <si>
    <t>CONNECT/DDL/DCLを初期対象。DML記録は機密値と容量を評価して追加。</t>
  </si>
  <si>
    <t>0を継承、ログexportを別途有効</t>
  </si>
  <si>
    <t>AuroraのCloudWatch Logs export設定と整合を確認。パラメータ単独で転送完了と判断しない。</t>
  </si>
  <si>
    <t>SQL改善のため有効化しCloudWatch転送と保持/権限を別設定。</t>
  </si>
  <si>
    <t>ONLY_FULL_GROUP_BY,STRICT_TRANS_TABLES,NO_ZERO_IN_DATE,NO_ZERO_DATE,ERROR_FOR_DIVISION_BY_ZERO,NO_ENGINE_SUBSTITUTION</t>
  </si>
  <si>
    <t>新規構成は厳格モードを明示。API既定0とCommunity既定を区別。既存SQL/取込は回帰試験。</t>
  </si>
  <si>
    <t>日本時間への変換は表示層。全地域・バッチの処理基準時刻を統一。</t>
  </si>
  <si>
    <t>古いTLSへの後退を防ぐ。全クライアントの対応を確認。</t>
  </si>
  <si>
    <t>REPEATABLE-READ</t>
  </si>
  <si>
    <t>REPEATABLE-READ基準、RCは個別検証</t>
  </si>
  <si>
    <t>SQLの読み取り一貫性を保つ。batchのRC化は業務上許される単位で行う。</t>
  </si>
  <si>
    <t>ユーザー名をそのまま秘密にしない。</t>
  </si>
  <si>
    <t>機械生成の長いパスワードを基準にする。</t>
  </si>
  <si>
    <t>MEDIUM（API値1）</t>
  </si>
  <si>
    <t>辞書ファイル依存を避け、必要な文字種を検証。</t>
  </si>
  <si>
    <t>Proxy内部poolの接続を不用意に切らず、client idle1800秒/app idle300秒で整理。</t>
  </si>
  <si>
    <t>S07 S53</t>
  </si>
  <si>
    <t>インスタンスパラメータ全件・既定値と変更条件（299行）</t>
  </si>
  <si>
    <t>I001</t>
  </si>
  <si>
    <t>インスタンス上書き
8.4.7候補</t>
  </si>
  <si>
    <t>S57 / S20 S53</t>
  </si>
  <si>
    <t>I002</t>
  </si>
  <si>
    <t>I003</t>
  </si>
  <si>
    <t>I004</t>
  </si>
  <si>
    <t>S57 / S20</t>
  </si>
  <si>
    <t>I005</t>
  </si>
  <si>
    <t>I006</t>
  </si>
  <si>
    <t>I007</t>
  </si>
  <si>
    <t>I008</t>
  </si>
  <si>
    <t>S57 / S17 S38</t>
  </si>
  <si>
    <t>I009</t>
  </si>
  <si>
    <t>I010</t>
  </si>
  <si>
    <t>S57 / S61</t>
  </si>
  <si>
    <t>I011</t>
  </si>
  <si>
    <t>S57 / S04</t>
  </si>
  <si>
    <t>I012</t>
  </si>
  <si>
    <t>I013</t>
  </si>
  <si>
    <t>インスタンス上書き
8.4.7対象外</t>
  </si>
  <si>
    <t>S57 / S56 S57</t>
  </si>
  <si>
    <t>I014</t>
  </si>
  <si>
    <t>I015</t>
  </si>
  <si>
    <t>S57 / S22</t>
  </si>
  <si>
    <t>I016</t>
  </si>
  <si>
    <t>S57 / S10</t>
  </si>
  <si>
    <t>I017</t>
  </si>
  <si>
    <t>I018</t>
  </si>
  <si>
    <t>I019</t>
  </si>
  <si>
    <t>I020</t>
  </si>
  <si>
    <t>S57 / S20 S15</t>
  </si>
  <si>
    <t>I021</t>
  </si>
  <si>
    <t>I022</t>
  </si>
  <si>
    <t>I023</t>
  </si>
  <si>
    <t>I024</t>
  </si>
  <si>
    <t>I025</t>
  </si>
  <si>
    <t>I026</t>
  </si>
  <si>
    <t>I027</t>
  </si>
  <si>
    <t>I028</t>
  </si>
  <si>
    <t>S57 / S53</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</si>
  <si>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</si>
  <si>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</si>
  <si>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</si>
  <si>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</si>
  <si>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</si>
  <si>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</si>
  <si>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</si>
  <si>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</si>
  <si>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</si>
  <si>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</si>
  <si>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</si>
  <si>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</si>
  <si>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</si>
  <si>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</si>
  <si>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</si>
  <si>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</si>
  <si>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</si>
  <si>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</si>
  <si>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</si>
  <si>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</si>
  <si>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</si>
  <si>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</si>
  <si>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</si>
  <si>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</si>
  <si>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</si>
  <si>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</si>
  <si>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</si>
  <si>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</si>
  <si>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</si>
  <si>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S57 / S08</t>
  </si>
  <si>
    <t>I058</t>
  </si>
  <si>
    <t>S57 / S54 S35</t>
  </si>
  <si>
    <t>I059</t>
  </si>
  <si>
    <t>I060</t>
  </si>
  <si>
    <t>I061</t>
  </si>
  <si>
    <t>I062</t>
  </si>
  <si>
    <t>I063</t>
  </si>
  <si>
    <t>I064</t>
  </si>
  <si>
    <t>I065</t>
  </si>
  <si>
    <t>I066</t>
  </si>
  <si>
    <t>I067</t>
  </si>
  <si>
    <t>S57 / S17</t>
  </si>
  <si>
    <t>I068</t>
  </si>
  <si>
    <t>I069</t>
  </si>
  <si>
    <t>I070</t>
  </si>
  <si>
    <t>S57 / S54</t>
  </si>
  <si>
    <t>I071</t>
  </si>
  <si>
    <t>I072</t>
  </si>
  <si>
    <t>S57 / S53 S54</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</si>
  <si>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</si>
  <si>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</si>
  <si>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</si>
  <si>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</si>
  <si>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</si>
  <si>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</si>
  <si>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</si>
  <si>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</si>
  <si>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</si>
  <si>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</si>
  <si>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</si>
  <si>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</si>
  <si>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</si>
  <si>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</si>
  <si>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</si>
  <si>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</si>
  <si>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</si>
  <si>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</si>
  <si>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</si>
  <si>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</si>
  <si>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</si>
  <si>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</si>
  <si>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</si>
  <si>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</si>
  <si>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</si>
  <si>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</si>
  <si>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</si>
  <si>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</si>
  <si>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</si>
  <si>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</si>
  <si>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</si>
  <si>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S57 / S02 S54</t>
  </si>
  <si>
    <t>I104</t>
  </si>
  <si>
    <t>I105</t>
  </si>
  <si>
    <t>I106</t>
  </si>
  <si>
    <t>I107</t>
  </si>
  <si>
    <t>I108</t>
  </si>
  <si>
    <t>I109</t>
  </si>
  <si>
    <t>I110</t>
  </si>
  <si>
    <t>I111</t>
  </si>
  <si>
    <t>I112</t>
  </si>
  <si>
    <t>I113</t>
  </si>
  <si>
    <t>I114</t>
  </si>
  <si>
    <t>I115</t>
  </si>
  <si>
    <t>S57 / S27 S53</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</si>
  <si>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</si>
  <si>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</si>
  <si>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</si>
  <si>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</si>
  <si>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</si>
  <si>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</si>
  <si>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</si>
  <si>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</si>
  <si>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</si>
  <si>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</si>
  <si>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</si>
  <si>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</si>
  <si>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</si>
  <si>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</si>
  <si>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</si>
  <si>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</si>
  <si>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</si>
  <si>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</si>
  <si>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</si>
  <si>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</si>
  <si>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</si>
  <si>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</si>
  <si>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</si>
  <si>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</si>
  <si>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S57 / S09 S53</t>
  </si>
  <si>
    <t>I140</t>
  </si>
  <si>
    <t>I141</t>
  </si>
  <si>
    <t>I142</t>
  </si>
  <si>
    <t>I143</t>
  </si>
  <si>
    <t>I144</t>
  </si>
  <si>
    <t>S57 / S17 S08</t>
  </si>
  <si>
    <t>I145</t>
  </si>
  <si>
    <t>I146</t>
  </si>
  <si>
    <t>I147</t>
  </si>
  <si>
    <t>I148</t>
  </si>
  <si>
    <t>I149</t>
  </si>
  <si>
    <t>I150</t>
  </si>
  <si>
    <t>I151</t>
  </si>
  <si>
    <t>I152</t>
  </si>
  <si>
    <t>I153</t>
  </si>
  <si>
    <t>I154</t>
  </si>
  <si>
    <t>I155</t>
  </si>
  <si>
    <t>I156</t>
  </si>
  <si>
    <t>I157</t>
  </si>
  <si>
    <t>S57 / S53 S07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</si>
  <si>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</si>
  <si>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</si>
  <si>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</si>
  <si>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</si>
  <si>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</si>
  <si>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</si>
  <si>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</si>
  <si>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</si>
  <si>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</si>
  <si>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</si>
  <si>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</si>
  <si>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</si>
  <si>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</si>
  <si>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</si>
  <si>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</si>
  <si>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</si>
  <si>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</si>
  <si>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</si>
  <si>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</si>
  <si>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</si>
  <si>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</si>
  <si>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S57 / S45 S46</t>
  </si>
  <si>
    <t>I179</t>
  </si>
  <si>
    <t>S57 / S55 S46</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</si>
  <si>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</si>
  <si>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</si>
  <si>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</si>
  <si>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</si>
  <si>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</si>
  <si>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</si>
  <si>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</si>
  <si>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</si>
  <si>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</si>
  <si>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</si>
  <si>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</si>
  <si>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</si>
  <si>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</si>
  <si>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</si>
  <si>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</si>
  <si>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</si>
  <si>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</si>
  <si>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</si>
  <si>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</si>
  <si>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</si>
  <si>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</si>
  <si>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</si>
  <si>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</si>
  <si>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</si>
  <si>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</si>
  <si>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</si>
  <si>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</si>
  <si>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</si>
  <si>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</si>
  <si>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</si>
  <si>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</si>
  <si>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</si>
  <si>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</si>
  <si>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</si>
  <si>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</si>
  <si>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</si>
  <si>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</si>
  <si>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</si>
  <si>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</si>
  <si>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</si>
  <si>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</si>
  <si>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</si>
  <si>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</si>
  <si>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</si>
  <si>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</si>
  <si>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</si>
  <si>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</si>
  <si>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</si>
  <si>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</si>
  <si>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</si>
  <si>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</si>
  <si>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</si>
  <si>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</si>
  <si>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</si>
  <si>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</si>
  <si>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</si>
  <si>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</si>
  <si>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</si>
  <si>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</si>
  <si>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</si>
  <si>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</si>
  <si>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</si>
  <si>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</si>
  <si>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</si>
  <si>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</si>
  <si>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</si>
  <si>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</si>
  <si>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</si>
  <si>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</si>
  <si>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</si>
  <si>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</si>
  <si>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</si>
  <si>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</si>
  <si>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</si>
  <si>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</si>
  <si>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</si>
  <si>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</si>
  <si>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</si>
  <si>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</si>
  <si>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</si>
  <si>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</si>
  <si>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</si>
  <si>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</si>
  <si>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</si>
  <si>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</si>
  <si>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</si>
  <si>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</si>
  <si>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</si>
  <si>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</si>
  <si>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</si>
  <si>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</si>
  <si>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</si>
  <si>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S57 / S22 S23</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</si>
  <si>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</si>
  <si>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</si>
  <si>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</si>
  <si>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</si>
  <si>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</si>
  <si>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</si>
  <si>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</si>
  <si>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</si>
  <si>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</si>
  <si>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</si>
  <si>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</si>
  <si>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</si>
  <si>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</si>
  <si>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</si>
  <si>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</si>
  <si>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</si>
  <si>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</si>
  <si>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</si>
  <si>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</si>
  <si>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</si>
  <si>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</si>
  <si>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</si>
  <si>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</si>
  <si>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</si>
  <si>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</si>
  <si>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</si>
  <si>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S57 / S07 S53</t>
  </si>
  <si>
    <t>I298</t>
  </si>
  <si>
    <t>I299</t>
  </si>
  <si>
    <t>インスタンスパラメータ全件・用途別推奨（299行）</t>
  </si>
  <si>
    <t>APIの全件性・既定値の解釈と未確定事項</t>
  </si>
  <si>
    <t>公式Web表だけでなく実APIを全ページ取得した。不存在・固定・対象外・自動調整・実効値未取得を区別する。</t>
  </si>
  <si>
    <t>確認結果</t>
  </si>
  <si>
    <t>解釈</t>
  </si>
  <si>
    <t>次に行う確認</t>
  </si>
  <si>
    <t>クラスタ件数</t>
  </si>
  <si>
    <t>430</t>
  </si>
  <si>
    <t>クラスタ専用131 + インスタンスと共通299 = 430</t>
  </si>
  <si>
    <t>429行が8.4.7候補、うちAPI変更可369。v2の自動調整はさらに除外。</t>
  </si>
  <si>
    <t>S56</t>
  </si>
  <si>
    <t>インスタンス件数</t>
  </si>
  <si>
    <t>299</t>
  </si>
  <si>
    <t>共通パラメータの個別上書き群</t>
  </si>
  <si>
    <t>298行が8.4.7候補、うちAPI変更可250。全てが業務調整対象とは限らない。</t>
  </si>
  <si>
    <t>S57</t>
  </si>
  <si>
    <t>APIで具体値あり</t>
  </si>
  <si>
    <t>73</t>
  </si>
  <si>
    <t>73項目。定数に加えAWSの式/置換値も含む</t>
  </si>
  <si>
    <t>値/式は改変せず既定列へ収録。</t>
  </si>
  <si>
    <t>APIで具体値省略</t>
  </si>
  <si>
    <t>357</t>
  </si>
  <si>
    <t>357項目。engine-defaultの数値を想像で埋めない</t>
  </si>
  <si>
    <t>MySQLの参考既定と、Aurora GLOBAL/SESSIONの実測を分離。</t>
  </si>
  <si>
    <t>東京/大阪の既定値</t>
  </si>
  <si>
    <t>パラメータ名・既定値・変更可否・許容値は一致</t>
  </si>
  <si>
    <t>クラスタAPIのSupportedEngineModesは東京あり、大阪では欠落する等のメタデータ差がある</t>
  </si>
  <si>
    <t>エンジン/注文可能APIの両地域db.serverless提供を別途確認済み。欠落を機能非対応と即断しない。</t>
  </si>
  <si>
    <t>8.4.8専用</t>
  </si>
  <si>
    <t>最低エンジン版の記載により8.4.7対象外</t>
  </si>
  <si>
    <t>JTAとバッチの業務期限で対応。8.4.8への更新は本依頼では実施しない。</t>
  </si>
  <si>
    <t>メタデータApplyMethod</t>
  </si>
  <si>
    <t>既定群の返値はpending-rebootを含む</t>
  </si>
  <si>
    <t>返値だけで全dynamic項目をstaticと分類しない</t>
  </si>
  <si>
    <t>ApplyType、v2例外、Proxy再起動要件、実機ステータスを合わせて判断。</t>
  </si>
  <si>
    <t>実効値</t>
  </si>
  <si>
    <t>未取得</t>
  </si>
  <si>
    <t>本番/検証DBへの接続はしていない</t>
  </si>
  <si>
    <t>examples/runtime-verification.sqlを承認された管理経路で取得し照合。</t>
  </si>
  <si>
    <t>設計上の残存事項</t>
  </si>
  <si>
    <t>参考既定</t>
  </si>
  <si>
    <t>MySQL 8.4の公式プロパティ表</t>
  </si>
  <si>
    <t>Linux/Windowsや32/64bit別の値は原記載を保持。Auroraに該当するとは限らない</t>
  </si>
  <si>
    <t>AWSの明示値がある場合はAWSが優先。自動算出・内部管理・非対応機能は数値だけで採用しない。</t>
  </si>
  <si>
    <t>S53 S54 S55</t>
  </si>
  <si>
    <t>API更新</t>
  </si>
  <si>
    <t>後日件数・メタデータは変化し得る</t>
  </si>
  <si>
    <t>家族(family)の既定群はマイナー版専用の固定スナップショットではない</t>
  </si>
  <si>
    <t>設計確定直前に同じcollectorを再実行し差分とMinimumEngineVersionを確認。</t>
  </si>
  <si>
    <t>長い許容値の完全一覧・原順序を保持</t>
  </si>
  <si>
    <t>20_クラスタ既定の長い列挙値を10件ずつ表示。全行を連結すると元のAPI値に一致する。個別セルのコメントと同梱JSONにも元データを保存。</t>
  </si>
  <si>
    <t>列挙位置 / 総数</t>
  </si>
  <si>
    <t>許容値（1行1値）</t>
  </si>
  <si>
    <t>読み方</t>
  </si>
  <si>
    <t>1～10 / 199</t>
  </si>
  <si>
    <t>big5_chinese_ci
big5_bin
dec8_swedish_ci
dec8_bin
cp850_general_ci
cp850_bin
hp8_english_ci
hp8_bin
koi8r_general_ci
koi8r_bin</t>
  </si>
  <si>
    <t>AWS APIの許容値を原順序で列挙。1セルの高さ上限による欠落を避けて分割。範囲外の文字列や別製品の値を追加していない。</t>
  </si>
  <si>
    <t>11～20 / 199</t>
  </si>
  <si>
    <t>latin1_german1_ci
latin1_swedish_ci
latin1_danish_ci
latin1_german2_ci
latin1_bin
latin1_general_ci
latin1_general_cs
latin1_spanish_ci
latin2_czech_cs
latin2_general_ci</t>
  </si>
  <si>
    <t>21～30 / 199</t>
  </si>
  <si>
    <t>latin2_hungarian_ci
latin2_croatian_ci
latin2_bin
swe7_swedish_ci
swe7_bin
ascii_general_ci
ascii_bin
ujis_japanese_ci
ujis_bin
sjis_japanese_ci</t>
  </si>
  <si>
    <t>31～40 / 199</t>
  </si>
  <si>
    <t>sjis_bin
hebrew_general_ci
hebrew_bin
tis620_thai_ci
tis620_bin
euckr_korean_ci
euckr_bin
koi8u_general_ci
koi8u_bin
gb2312_chinese_ci</t>
  </si>
  <si>
    <t>41～50 / 199</t>
  </si>
  <si>
    <t>gb2312_bin
greek_general_ci
greek_bin
cp1250_general_ci
cp1250_czech_cs
cp1250_croatian_ci
cp1250_bin
cp1250_polish_ci
gbk_chinese_ci
gbk_bin</t>
  </si>
  <si>
    <t>51～60 / 199</t>
  </si>
  <si>
    <t>latin5_turkish_ci
latin5_bin
armscii8_general_ci
armscii8_bin
utf8_general_ci
utf8_bin
utf8_unicode_ci
utf8_icelandic_ci
utf8_latvian_ci
utf8_romanian_ci</t>
  </si>
  <si>
    <t>61～70 / 199</t>
  </si>
  <si>
    <t>utf8_slovenian_ci
utf8_polish_ci
utf8_estonian_ci
utf8_spanish_ci
utf8_swedish_ci
utf8_turkish_ci
utf8_czech_ci
utf8_danish_ci
utf8_lithuanian_ci
utf8_slovak_ci</t>
  </si>
  <si>
    <t>71～80 / 199</t>
  </si>
  <si>
    <t>utf8_spanish2_ci
utf8_roman_ci
utf8_persian_ci
utf8_esperanto_ci
utf8_hungarian_ci
utf8_sinhala_ci
ucs2_general_ci
ucs2_bin
ucs2_unicode_ci
ucs2_icelandic_ci</t>
  </si>
  <si>
    <t>81～90 / 199</t>
  </si>
  <si>
    <t>ucs2_latvian_ci
ucs2_romanian_ci
ucs2_slovenian_ci
ucs2_polish_ci
ucs2_estonian_ci
ucs2_spanish_ci
ucs2_swedish_ci
ucs2_turkish_ci
ucs2_czech_ci
ucs2_danish_ci</t>
  </si>
  <si>
    <t>91～100 / 199</t>
  </si>
  <si>
    <t>ucs2_lithuanian_ci
ucs2_slovak_ci
ucs2_spanish2_ci
ucs2_roman_ci
ucs2_persian_ci
ucs2_esperanto_ci
ucs2_hungarian_ci
ucs2_sinhala_ci
cp866_general_ci
cp866_bin</t>
  </si>
  <si>
    <t>101～110 / 199</t>
  </si>
  <si>
    <t>keybcs2_general_ci
keybcs2_bin
macce_general_ci
macce_bin
macroman_general_ci
macroman_bin
cp852_general_ci
cp852_bin
latin7_estonian_cs
latin7_general_ci</t>
  </si>
  <si>
    <t>111～120 / 199</t>
  </si>
  <si>
    <t>latin7_general_cs
latin7_bin
utf8mb4_general_ci
utf8mb4_bin
utf8mb4_unicode_ci
utf8mb4_icelandic_ci
utf8mb4_latvian_ci
utf8mb4_romanian_ci
utf8mb4_slovenian_ci
utf8mb4_polish_ci</t>
  </si>
  <si>
    <t>121～130 / 199</t>
  </si>
  <si>
    <t>utf8mb4_estonian_ci
utf8mb4_spanish_ci
utf8mb4_swedish_ci
utf8mb4_turkish_ci
utf8mb4_czech_ci
utf8mb4_danish_ci
utf8mb4_lithuanian_ci
utf8mb4_slovak_ci
utf8mb4_spanish2_ci
utf8mb4_roman_ci</t>
  </si>
  <si>
    <t>131～140 / 199</t>
  </si>
  <si>
    <t>utf8mb4_persian_ci
utf8mb4_esperanto_ci
utf8mb4_hungarian_ci
utf8mb4_sinhala_ci
cp1251_bulgarian_ci
cp1251_ukrainian_ci
cp1251_bin
cp1251_general_ci
cp1251_general_cs
utf16_general_ci</t>
  </si>
  <si>
    <t>141～150 / 199</t>
  </si>
  <si>
    <t>utf16_bin
utf16_unicode_ci
utf16_icelandic_ci
utf16_latvian_ci
utf16_romanian_ci
utf16_slovenian_ci
utf16_polish_ci
utf16_estonian_ci
utf16_spanish_ci
utf16_swedish_ci</t>
  </si>
  <si>
    <t>151～160 / 199</t>
  </si>
  <si>
    <t>utf16_turkish_ci
utf16_czech_ci
utf16_danish_ci
utf16_lithuanian_ci
utf16_slovak_ci
utf16_spanish2_ci
utf16_roman_ci
utf16_persian_ci
utf16_esperanto_ci
utf16_hungarian_ci</t>
  </si>
  <si>
    <t>161～170 / 199</t>
  </si>
  <si>
    <t>utf16_sinhala_ci
cp1256_general_ci
cp1256_bin
cp1257_lithuanian_ci
cp1257_bin
cp1257_general_ci
utf32_general_ci
utf32_bin
utf32_unicode_ci
utf32_icelandic_ci</t>
  </si>
  <si>
    <t>171～180 / 199</t>
  </si>
  <si>
    <t>utf32_latvian_ci
utf32_romanian_ci
utf32_slovenian_ci
utf32_polish_ci
utf32_estonian_ci
utf32_spanish_ci
utf32_swedish_ci
utf32_turkish_ci
utf32_czech_ci
utf32_danish_ci</t>
  </si>
  <si>
    <t>181～190 / 199</t>
  </si>
  <si>
    <t>utf32_lithuanian_ci
utf32_slovak_ci
utf32_spanish2_ci
utf32_roman_ci
utf32_persian_ci
utf32_esperanto_ci
utf32_hungarian_ci
utf32_sinhala_ci
binary
geostd8_general_ci</t>
  </si>
  <si>
    <t>191～199 / 199</t>
  </si>
  <si>
    <t>geostd8_bin
cp932_japanese_ci
cp932_bin
eucjpms_japanese_ci
eucjpms_bin
utf8mb4_0900_ai_ci
utf8mb4_0900_as_ci
utf8mb4_0900_as_cs
utf8mb4_0900_bin</t>
  </si>
  <si>
    <t>1～10 / 598</t>
  </si>
  <si>
    <t>Africa/Abidjan
Africa/Accra
Africa/Addis_Ababa
Africa/Algiers
Africa/Asmara
Africa/Asmera
Africa/Bamako
Africa/Bangui
Africa/Banjul
Africa/Bissau</t>
  </si>
  <si>
    <t>11～20 / 598</t>
  </si>
  <si>
    <t>Africa/Blantyre
Africa/Brazzaville
Africa/Bujumbura
Africa/Cairo
Africa/Casablanca
Africa/Ceuta
Africa/Conakry
Africa/Dakar
Africa/Dar_es_Salaam
Africa/Djibouti</t>
  </si>
  <si>
    <t>21～30 / 598</t>
  </si>
  <si>
    <t>Africa/Douala
Africa/El_Aaiun
Africa/Freetown
Africa/Gaborone
Africa/Harare
Africa/Johannesburg
Africa/Juba
Africa/Kampala
Africa/Khartoum
Africa/Kigali</t>
  </si>
  <si>
    <t>31～40 / 598</t>
  </si>
  <si>
    <t>Africa/Kinshasa
Africa/Lagos
Africa/Libreville
Africa/Lome
Africa/Luanda
Africa/Lubumbashi
Africa/Lusaka
Africa/Malabo
Africa/Maputo
Africa/Maseru</t>
  </si>
  <si>
    <t>41～50 / 598</t>
  </si>
  <si>
    <t>Africa/Mbabane
Africa/Mogadishu
Africa/Monrovia
Africa/Nairobi
Africa/Ndjamena
Africa/Niamey
Africa/Nouakchott
Africa/Ouagadougou
Africa/Porto-Novo
Africa/Sao_Tome</t>
  </si>
  <si>
    <t>51～60 / 598</t>
  </si>
  <si>
    <t>Africa/Timbuktu
Africa/Tripoli
Africa/Tunis
Africa/Windhoek
America/Adak
America/Anchorage
America/Anguilla
America/Antigua
America/Araguaina
America/Argentina/Buenos_Aires</t>
  </si>
  <si>
    <t>61～70 / 598</t>
  </si>
  <si>
    <t>America/Argentina/Catamarca
America/Argentina/ComodRivadavia
America/Argentina/Cordoba
America/Argentina/Jujuy
America/Argentina/La_Rioja
America/Argentina/Mendoza
America/Argentina/Rio_Gallegos
America/Argentina/Salta
America/Argentina/San_Juan
America/Argentina/San_Luis</t>
  </si>
  <si>
    <t>71～80 / 598</t>
  </si>
  <si>
    <t>America/Argentina/Tucuman
America/Argentina/Ushuaia
America/Aruba
America/Asuncion
America/Atikokan
America/Atka
America/Bahia
America/Bahia_Banderas
America/Barbados
America/Belem</t>
  </si>
  <si>
    <t>81～90 / 598</t>
  </si>
  <si>
    <t>America/Belize
America/Blanc-Sablon
America/Boa_Vista
America/Bogota
America/Boise
America/Buenos_Aires
America/Cambridge_Bay
America/Campo_Grande
America/Cancun
America/Caracas</t>
  </si>
  <si>
    <t>91～100 / 598</t>
  </si>
  <si>
    <t>America/Catamarca
America/Cayenne
America/Cayman
America/Chicago
America/Chihuahua
America/Ciudad_Juarez
America/Coral_Harbour
America/Cordoba
America/Costa_Rica
America/Coyhaique</t>
  </si>
  <si>
    <t>101～110 / 598</t>
  </si>
  <si>
    <t>America/Creston
America/Cuiaba
America/Curacao
America/Danmarkshavn
America/Dawson
America/Dawson_Creek
America/Denver
America/Detroit
America/Dominica
America/Edmonton</t>
  </si>
  <si>
    <t>111～120 / 598</t>
  </si>
  <si>
    <t>America/Eirunepe
America/El_Salvador
America/Ensenada
America/Fortaleza
America/Fort_Nelson
America/Fort_Wayne
America/Glace_Bay
America/Godthab
America/Goose_Bay
America/Grand_Turk</t>
  </si>
  <si>
    <t>121～130 / 598</t>
  </si>
  <si>
    <t>America/Grenada
America/Guadeloupe
America/Guatemala
America/Guayaquil
America/Guyana
America/Halifax
America/Havana
America/Hermosillo
America/Indiana/Indianapolis
America/Indiana/Knox</t>
  </si>
  <si>
    <t>131～140 / 598</t>
  </si>
  <si>
    <t>America/Indiana/Marengo
America/Indiana/Petersburg
America/Indiana/Tell_City
America/Indiana/Vevay
America/Indiana/Vincennes
America/Indiana/Winamac
America/Indianapolis
America/Inuvik
America/Iqaluit
America/Jamaica</t>
  </si>
  <si>
    <t>141～150 / 598</t>
  </si>
  <si>
    <t>America/Jujuy
America/Juneau
America/Kentucky/Louisville
America/Kentucky/Monticello
America/Knox_IN
America/Kralendijk
America/La_Paz
America/Lima
America/Los_Angeles
America/Louisville</t>
  </si>
  <si>
    <t>151～160 / 598</t>
  </si>
  <si>
    <t>America/Lower_Princes
America/Maceio
America/Managua
America/Manaus
America/Marigot
America/Martinique
America/Matamoros
America/Mazatlan
America/Mendoza
America/Menominee</t>
  </si>
  <si>
    <t>161～170 / 598</t>
  </si>
  <si>
    <t>America/Merida
America/Metlakatla
America/Mexico_City
America/Miquelon
America/Moncton
America/Monterrey
America/Montevideo
America/Montreal
America/Montserrat
America/Nassau</t>
  </si>
  <si>
    <t>171～180 / 598</t>
  </si>
  <si>
    <t>America/New_York
America/Nipigon
America/Nome
America/Noronha
America/North_Dakota/Beulah
America/North_Dakota/Center
America/North_Dakota/New_Salem
America/Nuuk
America/Ojinaga
America/Panama</t>
  </si>
  <si>
    <t>181～190 / 598</t>
  </si>
  <si>
    <t>America/Pangnirtung
America/Paramaribo
America/Phoenix
America/Port-au-Prince
America/Porto_Acre
America/Porto_Velho
America/Port_of_Spain
America/Puerto_Rico
America/Punta_Arenas
America/Rainy_River</t>
  </si>
  <si>
    <t>191～200 / 598</t>
  </si>
  <si>
    <t>America/Rankin_Inlet
America/Recife
America/Regina
America/Resolute
America/Rio_Branco
America/Rosario
America/Santarem
America/Santa_Isabel
America/Santiago
America/Santo_Domingo</t>
  </si>
  <si>
    <t>201～210 / 598</t>
  </si>
  <si>
    <t>America/Sao_Paulo
America/Scoresbysund
America/Shiprock
America/Sitka
America/St_Barthelemy
America/St_Johns
America/St_Kitts
America/St_Lucia
America/St_Thomas
America/St_Vincent</t>
  </si>
  <si>
    <t>211～220 / 598</t>
  </si>
  <si>
    <t>America/Swift_Current
America/Tegucigalpa
America/Thule
America/Thunder_Bay
America/Tijuana
America/Toronto
America/Tortola
America/Vancouver
America/Virgin
America/Whitehorse</t>
  </si>
  <si>
    <t>221～230 / 598</t>
  </si>
  <si>
    <t>America/Winnipeg
America/Yakutat
America/Yellowknife
Antarctica/Casey
Antarctica/Davis
Antarctica/DumontDUrville
Antarctica/Macquarie
Antarctica/Mawson
Antarctica/McMurdo
Antarctica/Palmer</t>
  </si>
  <si>
    <t>231～240 / 598</t>
  </si>
  <si>
    <t>Antarctica/Rothera
Antarctica/South_Pole
Antarctica/Syowa
Antarctica/Troll
Antarctica/Vostok
Arctic/Longyearbyen
Asia/Aden
Asia/Almaty
Asia/Amman
Asia/Anadyr</t>
  </si>
  <si>
    <t>241～250 / 598</t>
  </si>
  <si>
    <t>Asia/Aqtau
Asia/Aqtobe
Asia/Ashgabat
Asia/Ashkhabad
Asia/Atyrau
Asia/Baghdad
Asia/Bahrain
Asia/Baku
Asia/Bangkok
Asia/Barnaul</t>
  </si>
  <si>
    <t>251～260 / 598</t>
  </si>
  <si>
    <t>Asia/Beirut
Asia/Bishkek
Asia/Brunei
Asia/Calcutta
Asia/Chita
Asia/Choibalsan
Asia/Chongqing
Asia/Chungking
Asia/Colombo
Asia/Dacca</t>
  </si>
  <si>
    <t>261～270 / 598</t>
  </si>
  <si>
    <t>Asia/Damascus
Asia/Dhaka
Asia/Dili
Asia/Dubai
Asia/Dushanbe
Asia/Famagusta
Asia/Gaza
Asia/Harbin
Asia/Hebron
Asia/Hong_Kong</t>
  </si>
  <si>
    <t>271～280 / 598</t>
  </si>
  <si>
    <t>Asia/Hovd
Asia/Ho_Chi_Minh
Asia/Irkutsk
Asia/Istanbul
Asia/Jakarta
Asia/Jayapura
Asia/Jerusalem
Asia/Kabul
Asia/Kamchatka
Asia/Karachi</t>
  </si>
  <si>
    <t>281～290 / 598</t>
  </si>
  <si>
    <t>Asia/Kashgar
Asia/Kathmandu
Asia/Katmandu
Asia/Khandyga
Asia/Kolkata
Asia/Krasnoyarsk
Asia/Kuala_Lumpur
Asia/Kuching
Asia/Kuwait
Asia/Macao</t>
  </si>
  <si>
    <t>291～300 / 598</t>
  </si>
  <si>
    <t>Asia/Macau
Asia/Magadan
Asia/Makassar
Asia/Manila
Asia/Muscat
Asia/Nicosia
Asia/Novokuznetsk
Asia/Novosibirsk
Asia/Omsk
Asia/Oral</t>
  </si>
  <si>
    <t>301～310 / 598</t>
  </si>
  <si>
    <t>Asia/Phnom_Penh
Asia/Pontianak
Asia/Pyongyang
Asia/Qatar
Asia/Qostanay
Asia/Qyzylorda
Asia/Rangoon
Asia/Riyadh
Asia/Saigon
Asia/Sakhalin</t>
  </si>
  <si>
    <t>311～320 / 598</t>
  </si>
  <si>
    <t>Asia/Samarkand
Asia/Seoul
Asia/Shanghai
Asia/Singapore
Asia/Srednekolymsk
Asia/Taipei
Asia/Tashkent
Asia/Tbilisi
Asia/Tehran
Asia/Tel_Aviv</t>
  </si>
  <si>
    <t>321～330 / 598</t>
  </si>
  <si>
    <t>Asia/Thimbu
Asia/Thimphu
Asia/Tokyo
Asia/Tomsk
Asia/Ujung_Pandang
Asia/Ulaanbaatar
Asia/Ulan_Bator
Asia/Urumqi
Asia/Ust-Nera
Asia/Vientiane</t>
  </si>
  <si>
    <t>331～340 / 598</t>
  </si>
  <si>
    <t>Asia/Vladivostok
Asia/Yakutsk
Asia/Yangon
Asia/Yekaterinburg
Asia/Yerevan
Atlantic/Azores
Atlantic/Bermuda
Atlantic/Canary
Atlantic/Cape_Verde
Atlantic/Faeroe</t>
  </si>
  <si>
    <t>341～350 / 598</t>
  </si>
  <si>
    <t>Atlantic/Faroe
Atlantic/Jan_Mayen
Atlantic/Madeira
Atlantic/Reykjavik
Atlantic/South_Georgia
Atlantic/Stanley
Atlantic/St_Helena
Australia/ACT
Australia/Adelaide
Australia/Brisbane</t>
  </si>
  <si>
    <t>351～360 / 598</t>
  </si>
  <si>
    <t>Australia/Broken_Hill
Australia/Canberra
Australia/Currie
Australia/Darwin
Australia/Eucla
Australia/Hobart
Australia/LHI
Australia/Lindeman
Australia/Lord_Howe
Australia/Melbourne</t>
  </si>
  <si>
    <t>361～370 / 598</t>
  </si>
  <si>
    <t>Australia/North
Australia/NSW
Australia/Perth
Australia/Queensland
Australia/South
Australia/Sydney
Australia/Tasmania
Australia/Victoria
Australia/West
Australia/Yancowinna</t>
  </si>
  <si>
    <t>371～380 / 598</t>
  </si>
  <si>
    <t>Brazil/Acre
Brazil/DeNoronha
Brazil/East
Brazil/West
Canada/Atlantic
Canada/Central
Canada/Eastern
Canada/Mountain
Canada/Newfoundland
Canada/Pacific</t>
  </si>
  <si>
    <t>381～390 / 598</t>
  </si>
  <si>
    <t>Canada/Saskatchewan
Canada/Yukon
CET
Chile/Continental
Chile/EasterIsland
CST6CDT
Cuba
EET
Egypt
Eire</t>
  </si>
  <si>
    <t>391～400 / 598</t>
  </si>
  <si>
    <t>EST
EST5EDT
Etc/GMT
Etc/GMT+0
Etc/GMT+1
Etc/GMT+10
Etc/GMT+11
Etc/GMT+12
Etc/GMT+2
Etc/GMT+3</t>
  </si>
  <si>
    <t>401～410 / 598</t>
  </si>
  <si>
    <t>Etc/GMT+4
Etc/GMT+5
Etc/GMT+6
Etc/GMT+7
Etc/GMT+8
Etc/GMT+9
Etc/GMT-0
Etc/GMT-1
Etc/GMT-10
Etc/GMT-11</t>
  </si>
  <si>
    <t>411～420 / 598</t>
  </si>
  <si>
    <t>Etc/GMT-12
Etc/GMT-13
Etc/GMT-14
Etc/GMT-2
Etc/GMT-3
Etc/GMT-4
Etc/GMT-5
Etc/GMT-6
Etc/GMT-7
Etc/GMT-8</t>
  </si>
  <si>
    <t>421～430 / 598</t>
  </si>
  <si>
    <t>Etc/GMT-9
Etc/GMT0
Etc/Greenwich
Etc/UCT
Etc/Universal
Etc/UTC
Etc/Zulu
Europe/Amsterdam
Europe/Andorra
Europe/Astrakhan</t>
  </si>
  <si>
    <t>431～440 / 598</t>
  </si>
  <si>
    <t>Europe/Athens
Europe/Belfast
Europe/Belgrade
Europe/Berlin
Europe/Bratislava
Europe/Brussels
Europe/Bucharest
Europe/Budapest
Europe/Busingen
Europe/Chisinau</t>
  </si>
  <si>
    <t>441～450 / 598</t>
  </si>
  <si>
    <t>Europe/Copenhagen
Europe/Dublin
Europe/Gibraltar
Europe/Guernsey
Europe/Helsinki
Europe/Isle_of_Man
Europe/Istanbul
Europe/Jersey
Europe/Kaliningrad
Europe/Kiev</t>
  </si>
  <si>
    <t>451～460 / 598</t>
  </si>
  <si>
    <t>Europe/Kirov
Europe/Kyiv
Europe/Lisbon
Europe/Ljubljana
Europe/London
Europe/Luxembourg
Europe/Madrid
Europe/Malta
Europe/Mariehamn
Europe/Minsk</t>
  </si>
  <si>
    <t>461～470 / 598</t>
  </si>
  <si>
    <t>Europe/Monaco
Europe/Moscow
Europe/Nicosia
Europe/Oslo
Europe/Paris
Europe/Podgorica
Europe/Prague
Europe/Riga
Europe/Rome
Europe/Samara</t>
  </si>
  <si>
    <t>471～480 / 598</t>
  </si>
  <si>
    <t>Europe/San_Marino
Europe/Sarajevo
Europe/Saratov
Europe/Simferopol
Europe/Skopje
Europe/Sofia
Europe/Stockholm
Europe/Tallinn
Europe/Tirane
Europe/Tiraspol</t>
  </si>
  <si>
    <t>481～490 / 598</t>
  </si>
  <si>
    <t>Europe/Ulyanovsk
Europe/Uzhgorod
Europe/Vaduz
Europe/Vatican
Europe/Vienna
Europe/Vilnius
Europe/Volgograd
Europe/Warsaw
Europe/Zagreb
Europe/Zaporozhye</t>
  </si>
  <si>
    <t>491～500 / 598</t>
  </si>
  <si>
    <t>Europe/Zurich
GB
GB-Eire
GMT
GMT+0
GMT-0
GMT0
Greenwich
Hongkong
HST</t>
  </si>
  <si>
    <t>501～510 / 598</t>
  </si>
  <si>
    <t>Iceland
Indian/Antananarivo
Indian/Chagos
Indian/Christmas
Indian/Cocos
Indian/Comoro
Indian/Kerguelen
Indian/Mahe
Indian/Maldives
Indian/Mauritius</t>
  </si>
  <si>
    <t>511～520 / 598</t>
  </si>
  <si>
    <t>Indian/Mayotte
Indian/Reunion
Iran
Israel
Jamaica
Japan
Kwajalein
Libya
MET
Mexico/BajaNorte</t>
  </si>
  <si>
    <t>521～530 / 598</t>
  </si>
  <si>
    <t>Mexico/BajaSur
Mexico/General
MST
MST7MDT
Navajo
NZ
NZ-CHAT
Pacific/Apia
Pacific/Auckland
Pacific/Bougainville</t>
  </si>
  <si>
    <t>531～540 / 598</t>
  </si>
  <si>
    <t>Pacific/Chatham
Pacific/Chuuk
Pacific/Easter
Pacific/Efate
Pacific/Enderbury
Pacific/Fakaofo
Pacific/Fiji
Pacific/Funafuti
Pacific/Galapagos
Pacific/Gambier</t>
  </si>
  <si>
    <t>541～550 / 598</t>
  </si>
  <si>
    <t>Pacific/Guadalcanal
Pacific/Guam
Pacific/Honolulu
Pacific/Johnston
Pacific/Kanton
Pacific/Kiritimati
Pacific/Kosrae
Pacific/Kwajalein
Pacific/Majuro
Pacific/Marquesas</t>
  </si>
  <si>
    <t>551～560 / 598</t>
  </si>
  <si>
    <t>Pacific/Midway
Pacific/Nauru
Pacific/Niue
Pacific/Norfolk
Pacific/Noumea
Pacific/Pago_Pago
Pacific/Palau
Pacific/Pitcairn
Pacific/Pohnpei
Pacific/Ponape</t>
  </si>
  <si>
    <t>561～570 / 598</t>
  </si>
  <si>
    <t>Pacific/Port_Moresby
Pacific/Rarotonga
Pacific/Saipan
Pacific/Samoa
Pacific/Tahiti
Pacific/Tarawa
Pacific/Tongatapu
Pacific/Truk
Pacific/Wake
Pacific/Wallis</t>
  </si>
  <si>
    <t>571～580 / 598</t>
  </si>
  <si>
    <t>Pacific/Yap
Poland
Portugal
posixrules
PRC
PST8PDT
ROC
ROK
Singapore
Turkey</t>
  </si>
  <si>
    <t>581～590 / 598</t>
  </si>
  <si>
    <t>UCT
Universal
US/Alaska
US/Aleutian
US/Arizona
US/Central
US/East-Indiana
US/Eastern
US/Hawaii
US/Indiana-Starke</t>
  </si>
  <si>
    <t>591～598 / 598</t>
  </si>
  <si>
    <t>US/Michigan
US/Mountain
US/Pacific
US/Samoa
UTC
W-SU
WET
Zulu</t>
  </si>
  <si>
    <t>公式出典一覧（参照日 2026-10-11）</t>
  </si>
  <si>
    <t>AWS・Red Hat・MySQLの一次資料。各行の根拠IDはこの一覧へリンクする。APIの証跡は91シートとevidenceに保存。</t>
  </si>
  <si>
    <t>公式資料</t>
  </si>
  <si>
    <t>URL</t>
  </si>
  <si>
    <t>本資料で確認した対象</t>
  </si>
  <si>
    <t>参照日</t>
  </si>
  <si>
    <t>S01</t>
  </si>
  <si>
    <t>Aurora MySQL 8.4.7 release notes</t>
  </si>
  <si>
    <t>https://docs.aws.amazon.com/AmazonRDS/latest/AuroraMySQLReleaseNotes/AuroraMySQL.Updates.847.html</t>
  </si>
  <si>
    <t>8.4.7は2026-05-21公開、MySQL 8.4.7互換</t>
  </si>
  <si>
    <t>2026-10-11</t>
  </si>
  <si>
    <t>Aurora MySQL 8.4 overview</t>
  </si>
  <si>
    <t>https://docs.aws.amazon.com/AmazonRDS/latest/AuroraUserGuide/AuroraMySQL.MySQL84.html</t>
  </si>
  <si>
    <t>8.4固有差分、nativeプラグイン、統計</t>
  </si>
  <si>
    <t>S03</t>
  </si>
  <si>
    <t>RDS Proxy Region and engine support</t>
  </si>
  <si>
    <t>https://docs.aws.amazon.com/AmazonRDS/latest/AuroraUserGuide/Concepts.Aurora_Fea_Regions_DB-eng.Feature.RDS_Proxy.html</t>
  </si>
  <si>
    <t>東京・大阪のAurora 8.4対応</t>
  </si>
  <si>
    <t>RDS Proxy with Global Database</t>
  </si>
  <si>
    <t>https://docs.aws.amazon.com/AmazonRDS/latest/AuroraUserGuide/rds-proxy-gdb.html</t>
  </si>
  <si>
    <t>セカンダリのRW接続失敗、昇格後の接続先</t>
  </si>
  <si>
    <t>Creating an Aurora proxy</t>
  </si>
  <si>
    <t>https://docs.aws.amazon.com/AmazonRDS/latest/AuroraUserGuide/rds-proxy-creating.html</t>
  </si>
  <si>
    <t>画面項目、認証、ネットワーク、登録対象</t>
  </si>
  <si>
    <t>S06</t>
  </si>
  <si>
    <t>Connection pool API</t>
  </si>
  <si>
    <t>https://docs.aws.amazon.com/AmazonRDS/latest/APIReference/API_ConnectionPoolConfiguration.html</t>
  </si>
  <si>
    <t>プールの既定値と範囲</t>
  </si>
  <si>
    <t>RDS Proxy connection considerations</t>
  </si>
  <si>
    <t>https://docs.aws.amazon.com/AmazonRDS/latest/AuroraUserGuide/rds-proxy-connections.html</t>
  </si>
  <si>
    <t>待ち時間、接続寿命、余裕率</t>
  </si>
  <si>
    <t>RDS Proxy limitations</t>
  </si>
  <si>
    <t>https://docs.aws.amazon.com/AmazonRDS/latest/AuroraUserGuide/rds-proxy.html</t>
  </si>
  <si>
    <t>1クラスター、再起動、認証、独自DNS制約</t>
  </si>
  <si>
    <t>S09</t>
  </si>
  <si>
    <t>Avoiding proxy pinning</t>
  </si>
  <si>
    <t>https://docs.aws.amazon.com/AmazonRDS/latest/AuroraUserGuide/rds-proxy-pinning.html</t>
  </si>
  <si>
    <t>prepared statement、SET、一時表、16KB</t>
  </si>
  <si>
    <t>Proxy concepts and TLS</t>
  </si>
  <si>
    <t>https://docs.aws.amazon.com/AmazonRDS/latest/AuroraUserGuide/rds-proxy.howitworks.html</t>
  </si>
  <si>
    <t>多重化、トランザクション、ACM証明書</t>
  </si>
  <si>
    <t>S11</t>
  </si>
  <si>
    <t>Proxy endpoints</t>
  </si>
  <si>
    <t>https://docs.aws.amazon.com/AmazonRDS/latest/AuroraUserGuide/rds-proxy-endpoints.html</t>
  </si>
  <si>
    <t>RW/ROエンドポイント</t>
  </si>
  <si>
    <t>Modify proxy target group</t>
  </si>
  <si>
    <t>https://docs.aws.amazon.com/AmazonRDS/latest/UserGuide/rds-proxy-modifying-proxy.html</t>
  </si>
  <si>
    <t>ターゲットグループはdefaultのみ</t>
  </si>
  <si>
    <t>CreateDBProxy API</t>
  </si>
  <si>
    <t>https://docs.aws.amazon.com/AmazonRDS/latest/APIReference/API_CreateDBProxy.html</t>
  </si>
  <si>
    <t>接続・詳細設定のAPI仕様</t>
  </si>
  <si>
    <t>UserAuthConfig API</t>
  </si>
  <si>
    <t>https://docs.aws.amazon.com/AmazonRDS/latest/APIReference/API_UserAuthConfig.html</t>
  </si>
  <si>
    <t>ClientPasswordAuthType、IAMAuth</t>
  </si>
  <si>
    <t>Global Database overview</t>
  </si>
  <si>
    <t>https://docs.aws.amazon.com/AmazonRDS/latest/AuroraUserGuide/aurora-global-database.html</t>
  </si>
  <si>
    <t>リージョン間のストレージ複製</t>
  </si>
  <si>
    <t>Global switchover and failover</t>
  </si>
  <si>
    <t>https://docs.aws.amazon.com/AmazonRDS/latest/AuroraUserGuide/aurora-global-database-disaster-recovery.html</t>
  </si>
  <si>
    <t>RPO、役割切替、旧プライマリ復帰</t>
  </si>
  <si>
    <t>Serverless v2 scaling and parameters</t>
  </si>
  <si>
    <t>https://docs.aws.amazon.com/AmazonRDS/latest/AuroraUserGuide/aurora-serverless-v2.setting-capacity.html</t>
  </si>
  <si>
    <t>ACU、max_connections、自動調整</t>
  </si>
  <si>
    <t>S18</t>
  </si>
  <si>
    <t>Serverless v2 requirements</t>
  </si>
  <si>
    <t>https://docs.aws.amazon.com/AmazonRDS/latest/AuroraUserGuide/aurora-serverless-v2.requirements.html</t>
  </si>
  <si>
    <t>サポート範囲、非対応機能</t>
  </si>
  <si>
    <t>Serverless v2 auto pause</t>
  </si>
  <si>
    <t>https://docs.aws.amazon.com/AmazonRDS/latest/AuroraUserGuide/aurora-serverless-v2-auto-pause.html</t>
  </si>
  <si>
    <t>Global DB・Proxy併用時の停止制約</t>
  </si>
  <si>
    <t>Aurora parameter reference</t>
  </si>
  <si>
    <t>https://docs.aws.amazon.com/AmazonRDS/latest/AuroraUserGuide/AuroraMySQL.Reference.ParameterGroups.html</t>
  </si>
  <si>
    <t>設定の意味。網羅性は実取得APIを優先</t>
  </si>
  <si>
    <t>S21</t>
  </si>
  <si>
    <t>Aurora parameter groups</t>
  </si>
  <si>
    <t>https://docs.aws.amazon.com/AmazonRDS/latest/AuroraUserGuide/USER_WorkingWithParamGroups.html</t>
  </si>
  <si>
    <t>クラスタ既定とインスタンス上書き</t>
  </si>
  <si>
    <t>8.4 security upgrade considerations</t>
  </si>
  <si>
    <t>https://docs.aws.amazon.com/AmazonRDS/latest/AuroraUserGuide/AuroraMySQL.Upgrade-v3-v84-security.html</t>
  </si>
  <si>
    <t>authentication_policy、旧nativeの扱い</t>
  </si>
  <si>
    <t>Aurora 8.4 versus community</t>
  </si>
  <si>
    <t>https://docs.aws.amazon.com/AmazonRDS/latest/AuroraUserGuide/AuroraMySQL.Compare-v84-community.html</t>
  </si>
  <si>
    <t>認証・予約ユーザー・一時表差分</t>
  </si>
  <si>
    <t>EAP 8.1 datasource management</t>
  </si>
  <si>
    <t>https://docs.redhat.com/en/documentation/red_hat_jboss_enterprise_application_platform/8.1/html/configuration_guide/datasource_management</t>
  </si>
  <si>
    <t>JNDI、MySQLドライバ、検証機能</t>
  </si>
  <si>
    <t>EAP 8.1 configuration reference</t>
  </si>
  <si>
    <t>https://docs.redhat.com/en/documentation/red_hat_jboss_enterprise_application_platform/8.1/html/configuration_guide/reference_material</t>
  </si>
  <si>
    <t>プール待ちとJTA・SQLタイムアウト</t>
  </si>
  <si>
    <t>S26</t>
  </si>
  <si>
    <t>EAP 8 supported configurations</t>
  </si>
  <si>
    <t>https://access.redhat.com/articles/6961381</t>
  </si>
  <si>
    <t>EAP 8.1検証組合せはMySQL 8.4.5 / Connector J 9.4.0</t>
  </si>
  <si>
    <t>Connector J properties</t>
  </si>
  <si>
    <t>https://dev.mysql.com/doc/connector-j/en/connector-j-reference-configuration-properties.html</t>
  </si>
  <si>
    <t>JDBC各属性の既定値</t>
  </si>
  <si>
    <t>Connector J networking</t>
  </si>
  <si>
    <t>https://dev.mysql.com/doc/connector-j/en/connector-j-connp-props-networking.html</t>
  </si>
  <si>
    <t>connectTimeoutとsocketTimeout</t>
  </si>
  <si>
    <t>Connector J statements</t>
  </si>
  <si>
    <t>https://dev.mysql.com/doc/connector-j/en/connector-j-connp-props-statements.html</t>
  </si>
  <si>
    <t>S30</t>
  </si>
  <si>
    <t>Connector J TLS</t>
  </si>
  <si>
    <t>https://dev.mysql.com/doc/connector-j/en/connector-j-reference-using-ssl.html</t>
  </si>
  <si>
    <t>VERIFY_IDENTITYと信頼ストア</t>
  </si>
  <si>
    <t>ECS Parameter Store injection</t>
  </si>
  <si>
    <t>https://docs.aws.amazon.com/AmazonECS/latest/developerguide/secrets-envvar-ssm-paramstore.html</t>
  </si>
  <si>
    <t>起動時取得、execution role、更新時再起動</t>
  </si>
  <si>
    <t>S32</t>
  </si>
  <si>
    <t>Parameter Store</t>
  </si>
  <si>
    <t>https://docs.aws.amazon.com/systems-manager/latest/userguide/systems-manager-parameter-store.html</t>
  </si>
  <si>
    <t>設定と秘密情報の役割</t>
  </si>
  <si>
    <t>Secrets Manager regional replication</t>
  </si>
  <si>
    <t>https://docs.aws.amazon.com/secretsmanager/latest/userguide/replicate-secrets.html</t>
  </si>
  <si>
    <t>秘密の地域複製、ホスト文字列も複製される</t>
  </si>
  <si>
    <t>ECR replication</t>
  </si>
  <si>
    <t>https://docs.aws.amazon.com/AmazonECR/latest/userguide/replication.html</t>
  </si>
  <si>
    <t>同一イメージの両リージョン配置と既存イメージの注意</t>
  </si>
  <si>
    <t>Aurora storage</t>
  </si>
  <si>
    <t>https://docs.aws.amazon.com/AmazonRDS/latest/AuroraUserGuide/Aurora.Overview.StorageReliability.html</t>
  </si>
  <si>
    <t>共有ストレージ、3AZ、容量</t>
  </si>
  <si>
    <t>S36</t>
  </si>
  <si>
    <t>Aurora size limits</t>
  </si>
  <si>
    <t>https://docs.aws.amazon.com/AmazonRDS/latest/AuroraUserGuide/CHAP_Limits.html</t>
  </si>
  <si>
    <t>クラスター容量上限</t>
  </si>
  <si>
    <t>Aurora storage scaling</t>
  </si>
  <si>
    <t>https://docs.aws.amazon.com/AmazonRDS/latest/AuroraUserGuide/Aurora.Managing.Performance.html</t>
  </si>
  <si>
    <t>DELETEとDROP、空き領域の回収</t>
  </si>
  <si>
    <t>S38</t>
  </si>
  <si>
    <t>Aurora MySQL temporary storage</t>
  </si>
  <si>
    <t>https://docs.aws.amazon.com/AmazonRDS/latest/AuroraUserGuide/AuroraMySQL.Managing.Performance.html</t>
  </si>
  <si>
    <t>ローカル一時領域とクラスター領域</t>
  </si>
  <si>
    <t>Aurora backup and restore</t>
  </si>
  <si>
    <t>https://docs.aws.amazon.com/AmazonRDS/latest/AuroraUserGuide/Aurora.Managing.Backups.html</t>
  </si>
  <si>
    <t>PITR・スナップショット</t>
  </si>
  <si>
    <t>Aurora backup mechanisms</t>
  </si>
  <si>
    <t>https://aws.amazon.com/blogs/database/understanding-how-backups-work-in-amazon-aurora/</t>
  </si>
  <si>
    <t>2026年のバックアップ解説、地域別バックアップ</t>
  </si>
  <si>
    <t>Aurora tablespaces migration playbook</t>
  </si>
  <si>
    <t>https://docs.aws.amazon.com/pdfs/dms/latest/oracle-to-aurora-mysql-migration-playbook/dms-mpb-oracle-to-aurora-mysql.pdf</t>
  </si>
  <si>
    <t>file-per-table、物理ファイル配置の相違</t>
  </si>
  <si>
    <t>MySQL partition keys and unique keys</t>
  </si>
  <si>
    <t>https://dev.mysql.com/doc/refman/8.4/en/partitioning-limitations-partitioning-keys-unique-keys.html</t>
  </si>
  <si>
    <t>全UNIQUEキーに分割列が必要</t>
  </si>
  <si>
    <t>MySQL partitioning engine limitations</t>
  </si>
  <si>
    <t>https://dev.mysql.com/doc/refman/8.4/en/partitioning-limitations-storage-engines.html</t>
  </si>
  <si>
    <t>InnoDB分割表と外部キー制約</t>
  </si>
  <si>
    <t>Aurora metrics</t>
  </si>
  <si>
    <t>https://docs.aws.amazon.com/AmazonRDS/latest/AuroraUserGuide/Aurora.AuroraMonitoring.Metrics.html</t>
  </si>
  <si>
    <t>Global・容量・複製遅延の監視</t>
  </si>
  <si>
    <t>S45</t>
  </si>
  <si>
    <t>Database Insights</t>
  </si>
  <si>
    <t>https://docs.aws.amazon.com/AmazonRDS/latest/AuroraUserGuide/USER_DatabaseInsights.html</t>
  </si>
  <si>
    <t>最新の性能分析方式</t>
  </si>
  <si>
    <t>S46</t>
  </si>
  <si>
    <t>Detailed database metrics</t>
  </si>
  <si>
    <t>https://docs.aws.amazon.com/AmazonRDS/latest/AuroraUserGuide/USER_PerfInsights.Enabling.html</t>
  </si>
  <si>
    <t>Performance Schemaと地域ごとの有効化</t>
  </si>
  <si>
    <t>Global Database launch (2018)</t>
  </si>
  <si>
    <t>https://aws.amazon.com/about-aws/whats-new/2018/11/announcing-amazon-aurora-global-database/</t>
  </si>
  <si>
    <t>歴史</t>
  </si>
  <si>
    <t>RDS Proxy GA (2020)</t>
  </si>
  <si>
    <t>https://aws.amazon.com/blogs/aws/amazon-rds-proxy-now-generally-available/</t>
  </si>
  <si>
    <t>S49</t>
  </si>
  <si>
    <t>Serverless v2 GA (2022)</t>
  </si>
  <si>
    <t>https://aws.amazon.com/about-aws/whats-new/2022/04/amazon-aurora-serverless-v2/</t>
  </si>
  <si>
    <t>S50</t>
  </si>
  <si>
    <t>Global Database Proxy support (2022)</t>
  </si>
  <si>
    <t>https://aws.amazon.com/about-aws/whats-new/2022/12/amazon-rds-proxy-creating-proxies-aurora-global-database-primary-secondary-regions/</t>
  </si>
  <si>
    <t>S51</t>
  </si>
  <si>
    <t>Aurora MySQL 8.4 GA (2026)</t>
  </si>
  <si>
    <t>https://aws.amazon.com/about-aws/whats-new/2026/05/amazon-aurora-mysql/8-4/</t>
  </si>
  <si>
    <t>歴史・新しい認証既定</t>
  </si>
  <si>
    <t>S52</t>
  </si>
  <si>
    <t>RDS Proxy pricing</t>
  </si>
  <si>
    <t>https://aws.amazon.com/rds/proxy/pricing/</t>
  </si>
  <si>
    <t>ACU課金、追加エンドポイント料金</t>
  </si>
  <si>
    <t>MySQL 8.4 system variables</t>
  </si>
  <si>
    <t>https://dev.mysql.com/doc/refman/8.4/en/server-system-variables.html</t>
  </si>
  <si>
    <t>Communityの参考既定値。Aurora実効値とは別</t>
  </si>
  <si>
    <t>MySQL 8.4 InnoDB variables</t>
  </si>
  <si>
    <t>https://dev.mysql.com/doc/refman/8.4/en/innodb-parameters.html</t>
  </si>
  <si>
    <t>ロック、耐久性、表スペースの原理</t>
  </si>
  <si>
    <t>S55</t>
  </si>
  <si>
    <t>MySQL 8.4 Performance Schema variables</t>
  </si>
  <si>
    <t>https://dev.mysql.com/doc/refman/8.4/en/performance-schema-system-variables.html</t>
  </si>
  <si>
    <t>計測領域の参考既定</t>
  </si>
  <si>
    <t>DescribeDBClusterParameters API</t>
  </si>
  <si>
    <t>https://docs.aws.amazon.com/AmazonRDS/latest/APIReference/API_DescribeDBClusterParameters.html</t>
  </si>
  <si>
    <t>クラスタ既定全件の取得仕様</t>
  </si>
  <si>
    <t>DescribeDBParameters API</t>
  </si>
  <si>
    <t>https://docs.aws.amazon.com/AmazonRDS/latest/APIReference/API_DescribeDBParameters.html</t>
  </si>
  <si>
    <t>インスタンス既定全件の取得仕様</t>
  </si>
  <si>
    <t>S58</t>
  </si>
  <si>
    <t>Aurora version numbers</t>
  </si>
  <si>
    <t>https://docs.aws.amazon.com/AmazonRDS/latest/AuroraUserGuide/AuroraMySQL.Updates.Versions.html</t>
  </si>
  <si>
    <t>APIエンジン番号の区別</t>
  </si>
  <si>
    <t>Proxy CloudWatch metrics</t>
  </si>
  <si>
    <t>https://docs.aws.amazon.com/AmazonRDS/latest/AuroraUserGuide/rds-proxy.monitoring.html</t>
  </si>
  <si>
    <t>接続数・借用待ち・ピン留めの監視</t>
  </si>
  <si>
    <t>S60</t>
  </si>
  <si>
    <t>Aurora storage configurations</t>
  </si>
  <si>
    <t>https://docs.aws.amazon.com/AmazonRDS/latest/AuroraUserGuide/Aurora.Overview.StorageReliability.html#aurora-storage-type</t>
  </si>
  <si>
    <t>StandardとI/O-Optimizedの比較</t>
  </si>
  <si>
    <t>Aurora performance FAQ</t>
  </si>
  <si>
    <t>https://docs.aws.amazon.com/rds/latest/auroraextendedcontent/aurora-faq-performance.html</t>
  </si>
  <si>
    <t>現行Parallel Queryの説明。古いv2非対応情報を流用しない</t>
  </si>
  <si>
    <t>読み取り専用AWS API取得の証跡</t>
  </si>
  <si>
    <t>取得したのはエンジン提供情報と既定パラメータ群。実リソースの設定値やDBパスワードは取得していない。JSONを同梱し、件数とSHA-256で照合できる。</t>
  </si>
  <si>
    <t>リージョン</t>
  </si>
  <si>
    <t>取得種別</t>
  </si>
  <si>
    <t>パラメータ行数</t>
  </si>
  <si>
    <t>原データファイル</t>
  </si>
  <si>
    <t>取得時刻 UTC</t>
  </si>
  <si>
    <t>SHA-256</t>
  </si>
  <si>
    <t>ap-northeast-1</t>
  </si>
  <si>
    <t>cluster_defaults</t>
  </si>
  <si>
    <t>131</t>
  </si>
  <si>
    <t>ap-northeast-1_cluster_defaults.json</t>
  </si>
  <si>
    <t>2026-10-11T08:58:32.443264+00:00</t>
  </si>
  <si>
    <t>2b1ab40c60ecebeb30e25e1d9b91b31c641ff7aee2319459f740dba148a53ef0</t>
  </si>
  <si>
    <t>cluster_group</t>
  </si>
  <si>
    <t>ap-northeast-1_cluster_group.json</t>
  </si>
  <si>
    <t>2026-10-11T08:58:34.203523+00:00</t>
  </si>
  <si>
    <t>13d79c435a0370441464dbcb60a06519607e6c962145392b719adb9ba1c1ebef</t>
  </si>
  <si>
    <t>engine</t>
  </si>
  <si>
    <t>パラメータ一覧ではない</t>
  </si>
  <si>
    <t>ap-northeast-1_engine.json</t>
  </si>
  <si>
    <t>2026-10-11T08:58:32.381087+00:00</t>
  </si>
  <si>
    <t>6f05274dc0d4461f4d312528ff583a431ca75f4ff5d89998dfba92884d1a850a</t>
  </si>
  <si>
    <t>instance_defaults</t>
  </si>
  <si>
    <t>ap-northeast-1_instance_defaults.json</t>
  </si>
  <si>
    <t>2026-10-11T08:58:32.513029+00:00</t>
  </si>
  <si>
    <t>b6b18465cf3438d5445dce0c90d89614b8b1d845a83cabbdf01807c8069be6d8</t>
  </si>
  <si>
    <t>instance_group</t>
  </si>
  <si>
    <t>ap-northeast-1_instance_group.json</t>
  </si>
  <si>
    <t>2026-10-11T08:58:34.241481+00:00</t>
  </si>
  <si>
    <t>2f063f145e7650922b805ad7d5b24bd8cd048c1056f6e5bc9704d0608303f3e2</t>
  </si>
  <si>
    <t>serverless</t>
  </si>
  <si>
    <t>ap-northeast-1_serverless.json</t>
  </si>
  <si>
    <t>2026-10-11T08:58:32.638883+00:00</t>
  </si>
  <si>
    <t>2ebf210193943101b5945956c69594979287bd9fba58af11d8f60494f4960301</t>
  </si>
  <si>
    <t>ap-northeast-3</t>
  </si>
  <si>
    <t>ap-northeast-3_cluster_defaults.json</t>
  </si>
  <si>
    <t>2026-10-11T08:58:35.877210+00:00</t>
  </si>
  <si>
    <t>5f76c7d7935117ddaeda37a57b75b597dc8f3159cd66107a999661af3769839c</t>
  </si>
  <si>
    <t>ap-northeast-3_cluster_group.json</t>
  </si>
  <si>
    <t>2026-10-11T08:58:36.142888+00:00</t>
  </si>
  <si>
    <t>195b3c0bfef526cfd327ac3ac4da6465499e248fe9afac6866ee9c7defe8ac20</t>
  </si>
  <si>
    <t>ap-northeast-3_engine.json</t>
  </si>
  <si>
    <t>2026-10-11T08:58:34.126417+00:00</t>
  </si>
  <si>
    <t>ap-northeast-3_instance_defaults.json</t>
  </si>
  <si>
    <t>2026-10-11T08:58:35.991412+00:00</t>
  </si>
  <si>
    <t>ap-northeast-3_instance_group.json</t>
  </si>
  <si>
    <t>2026-10-11T08:58:36.118497+00:00</t>
  </si>
  <si>
    <t>ap-northeast-3_serverless.json</t>
  </si>
  <si>
    <t>2026-10-11T08:58:34.334698+00:00</t>
  </si>
</sst>
</file>

<file path=xl/styles.xml><?xml version="1.0" encoding="utf-8"?>
<styleSheet xmlns="http://schemas.openxmlformats.org/spreadsheetml/2006/main">
  <numFmts count="1">
    <numFmt numFmtId="164" formatCode="0.0"/>
  </numFmts>
  <fonts count="13">
    <font>
      <sz val="11"/>
      <color theme="1"/>
      <name val="Meiryo UI"/>
      <family val="2"/>
    </font>
    <font>
      <b/>
      <sz val="24"/>
      <color rgb="FFFFFFFF"/>
      <name val="Meiryo UI"/>
      <family val="2"/>
    </font>
    <font>
      <b/>
      <sz val="15"/>
      <color rgb="FF242424"/>
      <name val="Meiryo UI"/>
      <family val="2"/>
    </font>
    <font>
      <sz val="10"/>
      <color rgb="FF242424"/>
      <name val="Meiryo UI"/>
      <family val="2"/>
    </font>
    <font>
      <u/>
      <sz val="10"/>
      <color rgb="FF242424"/>
      <name val="Meiryo UI"/>
      <family val="2"/>
    </font>
    <font>
      <b/>
      <sz val="18"/>
      <color rgb="FFFFFFFF"/>
      <name val="Meiryo UI"/>
      <family val="2"/>
    </font>
    <font>
      <b/>
      <sz val="10"/>
      <color rgb="FFFFFFFF"/>
      <name val="Meiryo UI"/>
      <family val="2"/>
    </font>
    <font>
      <b/>
      <sz val="10"/>
      <color rgb="FF242424"/>
      <name val="Meiryo UI"/>
      <family val="2"/>
    </font>
    <font>
      <b/>
      <sz val="20"/>
      <color rgb="FFFFFFFF"/>
      <name val="Meiryo UI"/>
      <family val="2"/>
    </font>
    <font>
      <b/>
      <sz val="13"/>
      <color rgb="FFFFFFFF"/>
      <name val="Meiryo UI"/>
      <family val="2"/>
    </font>
    <font>
      <sz val="11"/>
      <color rgb="FF242424"/>
      <name val="Meiryo UI"/>
      <family val="2"/>
    </font>
    <font>
      <b/>
      <sz val="16"/>
      <color rgb="FF242424"/>
      <name val="Meiryo UI"/>
      <family val="2"/>
    </font>
    <font>
      <sz val="8"/>
      <color indexed="81"/>
      <name val="Tahoma"/>
      <family val="2"/>
    </font>
  </fonts>
  <fills count="13">
    <fill>
      <patternFill patternType="none"/>
    </fill>
    <fill>
      <patternFill patternType="gray125"/>
    </fill>
    <fill>
      <patternFill patternType="solid">
        <fgColor rgb="FF202020"/>
        <bgColor indexed="64"/>
      </patternFill>
    </fill>
    <fill>
      <patternFill patternType="solid">
        <fgColor rgb="FFE5E5E5"/>
        <bgColor indexed="64"/>
      </patternFill>
    </fill>
    <fill>
      <patternFill patternType="solid">
        <fgColor rgb="FF222222"/>
        <bgColor indexed="64"/>
      </patternFill>
    </fill>
    <fill>
      <patternFill patternType="solid">
        <fgColor rgb="FFE8E8E8"/>
        <bgColor indexed="64"/>
      </patternFill>
    </fill>
    <fill>
      <patternFill patternType="solid">
        <fgColor rgb="FF444444"/>
        <bgColor indexed="64"/>
      </patternFill>
    </fill>
    <fill>
      <patternFill patternType="solid">
        <fgColor rgb="FFFFFFFF"/>
        <bgColor indexed="64"/>
      </patternFill>
    </fill>
    <fill>
      <patternFill patternType="solid">
        <fgColor rgb="FFF1F1F1"/>
        <bgColor indexed="64"/>
      </patternFill>
    </fill>
    <fill>
      <patternFill patternType="solid">
        <fgColor rgb="FFDDDDDD"/>
        <bgColor indexed="64"/>
      </patternFill>
    </fill>
    <fill>
      <patternFill patternType="solid">
        <fgColor rgb="FF555555"/>
        <bgColor indexed="64"/>
      </patternFill>
    </fill>
    <fill>
      <patternFill patternType="solid">
        <fgColor rgb="FFEEEEEE"/>
        <bgColor indexed="64"/>
      </patternFill>
    </fill>
    <fill>
      <patternFill patternType="solid">
        <fgColor rgb="FFE2E2E2"/>
        <bgColor indexed="64"/>
      </patternFill>
    </fill>
  </fills>
  <borders count="6">
    <border>
      <left/>
      <right/>
      <top/>
      <bottom/>
      <diagonal/>
    </border>
    <border>
      <left style="thin">
        <color rgb="FF888888"/>
      </left>
      <right style="thin">
        <color rgb="FF888888"/>
      </right>
      <top style="thin">
        <color rgb="FF888888"/>
      </top>
      <bottom style="thin">
        <color rgb="FF888888"/>
      </bottom>
      <diagonal/>
    </border>
    <border>
      <left/>
      <right/>
      <top/>
      <bottom style="thin">
        <color rgb="FFD0D0D0"/>
      </bottom>
      <diagonal/>
    </border>
    <border>
      <left/>
      <right/>
      <top/>
      <bottom style="thin">
        <color rgb="FFAAAAAA"/>
      </bottom>
      <diagonal/>
    </border>
    <border>
      <left style="thin">
        <color rgb="FF555555"/>
      </left>
      <right style="thin">
        <color rgb="FF555555"/>
      </right>
      <top style="thin">
        <color rgb="FF555555"/>
      </top>
      <bottom style="thin">
        <color rgb="FF555555"/>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1">
    <xf numFmtId="0" fontId="0" fillId="0" borderId="0" xfId="0"/>
    <xf numFmtId="0" fontId="1" fillId="2" borderId="0" xfId="0" applyFont="1" applyFill="1" applyAlignment="1">
      <alignment vertical="center" wrapText="1"/>
    </xf>
    <xf numFmtId="0" fontId="2" fillId="3" borderId="0" xfId="0" applyFont="1" applyFill="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4" borderId="0" xfId="0" applyFont="1" applyFill="1" applyAlignment="1">
      <alignment vertical="center" wrapText="1"/>
    </xf>
    <xf numFmtId="0" fontId="3" fillId="5" borderId="0" xfId="0" applyFont="1" applyFill="1" applyAlignment="1">
      <alignment vertical="center" wrapText="1"/>
    </xf>
    <xf numFmtId="0" fontId="6" fillId="6" borderId="1" xfId="0" applyFont="1" applyFill="1" applyBorder="1" applyAlignment="1">
      <alignment vertical="center" wrapText="1"/>
    </xf>
    <xf numFmtId="0" fontId="3" fillId="7" borderId="2" xfId="0" applyFont="1" applyFill="1" applyBorder="1" applyAlignment="1">
      <alignment vertical="top" wrapText="1"/>
    </xf>
    <xf numFmtId="0" fontId="4" fillId="7" borderId="2" xfId="0" applyFont="1" applyFill="1" applyBorder="1" applyAlignment="1">
      <alignment vertical="top" wrapText="1"/>
    </xf>
    <xf numFmtId="0" fontId="3" fillId="8" borderId="2" xfId="0" applyFont="1" applyFill="1" applyBorder="1" applyAlignment="1">
      <alignment vertical="top" wrapText="1"/>
    </xf>
    <xf numFmtId="0" fontId="4" fillId="8" borderId="2" xfId="0" applyFont="1" applyFill="1" applyBorder="1" applyAlignment="1">
      <alignment vertical="top" wrapText="1"/>
    </xf>
    <xf numFmtId="0" fontId="7" fillId="9" borderId="3" xfId="0" applyFont="1" applyFill="1" applyBorder="1" applyAlignment="1">
      <alignment vertical="top" wrapText="1"/>
    </xf>
    <xf numFmtId="0" fontId="8" fillId="4" borderId="0" xfId="0" applyFont="1" applyFill="1" applyAlignment="1">
      <alignment vertical="center"/>
    </xf>
    <xf numFmtId="0" fontId="9" fillId="10" borderId="0" xfId="0" applyFont="1" applyFill="1" applyAlignment="1">
      <alignment horizontal="center" vertical="center"/>
    </xf>
    <xf numFmtId="0" fontId="10" fillId="11" borderId="4" xfId="0" applyFont="1" applyFill="1" applyBorder="1" applyAlignment="1">
      <alignment horizontal="center" vertical="center" wrapText="1"/>
    </xf>
    <xf numFmtId="0" fontId="11" fillId="0" borderId="0" xfId="0" applyFont="1" applyAlignment="1">
      <alignment horizontal="center" vertical="center"/>
    </xf>
    <xf numFmtId="0" fontId="10" fillId="0" borderId="5" xfId="0" applyFont="1" applyBorder="1" applyAlignment="1">
      <alignment horizontal="center" vertical="center" wrapText="1"/>
    </xf>
    <xf numFmtId="0" fontId="5" fillId="4" borderId="0" xfId="0" applyFont="1" applyFill="1" applyAlignment="1">
      <alignment vertical="center"/>
    </xf>
    <xf numFmtId="164" fontId="3" fillId="12" borderId="5" xfId="0" applyNumberFormat="1" applyFont="1" applyFill="1" applyBorder="1" applyAlignment="1">
      <alignment horizontal="right" vertical="center"/>
    </xf>
    <xf numFmtId="0" fontId="7" fillId="8" borderId="5"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aws.amazon.com/AmazonRDS/latest/AuroraMySQLReleaseNotes/AuroraMySQL.Updates.847.html" TargetMode="External"/><Relationship Id="rId2" Type="http://schemas.openxmlformats.org/officeDocument/2006/relationships/hyperlink" Target="https://docs.aws.amazon.com/AmazonRDS/latest/AuroraUserGuide/AuroraMySQL.MySQL84.html" TargetMode="External"/><Relationship Id="rId3" Type="http://schemas.openxmlformats.org/officeDocument/2006/relationships/hyperlink" Target="https://docs.aws.amazon.com/AmazonRDS/latest/AuroraUserGuide/Concepts.Aurora_Fea_Regions_DB-eng.Feature.RDS_Proxy.html" TargetMode="External"/><Relationship Id="rId4" Type="http://schemas.openxmlformats.org/officeDocument/2006/relationships/hyperlink" Target="https://docs.aws.amazon.com/AmazonRDS/latest/AuroraUserGuide/rds-proxy-gdb.html" TargetMode="External"/><Relationship Id="rId5" Type="http://schemas.openxmlformats.org/officeDocument/2006/relationships/hyperlink" Target="https://docs.aws.amazon.com/AmazonRDS/latest/AuroraUserGuide/rds-proxy-creating.html" TargetMode="External"/><Relationship Id="rId6" Type="http://schemas.openxmlformats.org/officeDocument/2006/relationships/hyperlink" Target="https://docs.aws.amazon.com/AmazonRDS/latest/APIReference/API_ConnectionPoolConfiguration.html" TargetMode="External"/><Relationship Id="rId7" Type="http://schemas.openxmlformats.org/officeDocument/2006/relationships/hyperlink" Target="https://docs.aws.amazon.com/AmazonRDS/latest/AuroraUserGuide/rds-proxy-connections.html" TargetMode="External"/><Relationship Id="rId8" Type="http://schemas.openxmlformats.org/officeDocument/2006/relationships/hyperlink" Target="https://docs.aws.amazon.com/AmazonRDS/latest/AuroraUserGuide/rds-proxy.html" TargetMode="External"/><Relationship Id="rId9" Type="http://schemas.openxmlformats.org/officeDocument/2006/relationships/hyperlink" Target="https://docs.aws.amazon.com/AmazonRDS/latest/AuroraUserGuide/rds-proxy-pinning.html" TargetMode="External"/><Relationship Id="rId10" Type="http://schemas.openxmlformats.org/officeDocument/2006/relationships/hyperlink" Target="https://docs.aws.amazon.com/AmazonRDS/latest/AuroraUserGuide/rds-proxy.howitworks.html" TargetMode="External"/><Relationship Id="rId11" Type="http://schemas.openxmlformats.org/officeDocument/2006/relationships/hyperlink" Target="https://docs.aws.amazon.com/AmazonRDS/latest/AuroraUserGuide/rds-proxy-endpoints.html" TargetMode="External"/><Relationship Id="rId12" Type="http://schemas.openxmlformats.org/officeDocument/2006/relationships/hyperlink" Target="https://docs.aws.amazon.com/AmazonRDS/latest/UserGuide/rds-proxy-modifying-proxy.html" TargetMode="External"/><Relationship Id="rId13" Type="http://schemas.openxmlformats.org/officeDocument/2006/relationships/hyperlink" Target="https://docs.aws.amazon.com/AmazonRDS/latest/APIReference/API_CreateDBProxy.html" TargetMode="External"/><Relationship Id="rId14" Type="http://schemas.openxmlformats.org/officeDocument/2006/relationships/hyperlink" Target="https://docs.aws.amazon.com/AmazonRDS/latest/APIReference/API_UserAuthConfig.html" TargetMode="External"/><Relationship Id="rId15" Type="http://schemas.openxmlformats.org/officeDocument/2006/relationships/hyperlink" Target="https://docs.aws.amazon.com/AmazonRDS/latest/AuroraUserGuide/aurora-global-database.html" TargetMode="External"/><Relationship Id="rId16" Type="http://schemas.openxmlformats.org/officeDocument/2006/relationships/hyperlink" Target="https://docs.aws.amazon.com/AmazonRDS/latest/AuroraUserGuide/aurora-global-database-disaster-recovery.html" TargetMode="External"/><Relationship Id="rId17" Type="http://schemas.openxmlformats.org/officeDocument/2006/relationships/hyperlink" Target="https://docs.aws.amazon.com/AmazonRDS/latest/AuroraUserGuide/aurora-serverless-v2.setting-capacity.html" TargetMode="External"/><Relationship Id="rId18" Type="http://schemas.openxmlformats.org/officeDocument/2006/relationships/hyperlink" Target="https://docs.aws.amazon.com/AmazonRDS/latest/AuroraUserGuide/aurora-serverless-v2.requirements.html" TargetMode="External"/><Relationship Id="rId19" Type="http://schemas.openxmlformats.org/officeDocument/2006/relationships/hyperlink" Target="https://docs.aws.amazon.com/AmazonRDS/latest/AuroraUserGuide/aurora-serverless-v2-auto-pause.html" TargetMode="External"/><Relationship Id="rId20" Type="http://schemas.openxmlformats.org/officeDocument/2006/relationships/hyperlink" Target="https://docs.aws.amazon.com/AmazonRDS/latest/AuroraUserGuide/AuroraMySQL.Reference.ParameterGroups.html" TargetMode="External"/><Relationship Id="rId21" Type="http://schemas.openxmlformats.org/officeDocument/2006/relationships/hyperlink" Target="https://docs.aws.amazon.com/AmazonRDS/latest/AuroraUserGuide/USER_WorkingWithParamGroups.html" TargetMode="External"/><Relationship Id="rId22" Type="http://schemas.openxmlformats.org/officeDocument/2006/relationships/hyperlink" Target="https://docs.aws.amazon.com/AmazonRDS/latest/AuroraUserGuide/AuroraMySQL.Upgrade-v3-v84-security.html" TargetMode="External"/><Relationship Id="rId23" Type="http://schemas.openxmlformats.org/officeDocument/2006/relationships/hyperlink" Target="https://docs.aws.amazon.com/AmazonRDS/latest/AuroraUserGuide/AuroraMySQL.Compare-v84-community.html" TargetMode="External"/><Relationship Id="rId24" Type="http://schemas.openxmlformats.org/officeDocument/2006/relationships/hyperlink" Target="https://docs.redhat.com/en/documentation/red_hat_jboss_enterprise_application_platform/8.1/html/configuration_guide/datasource_management" TargetMode="External"/><Relationship Id="rId25" Type="http://schemas.openxmlformats.org/officeDocument/2006/relationships/hyperlink" Target="https://docs.redhat.com/en/documentation/red_hat_jboss_enterprise_application_platform/8.1/html/configuration_guide/reference_material" TargetMode="External"/><Relationship Id="rId26" Type="http://schemas.openxmlformats.org/officeDocument/2006/relationships/hyperlink" Target="https://access.redhat.com/articles/6961381" TargetMode="External"/><Relationship Id="rId27" Type="http://schemas.openxmlformats.org/officeDocument/2006/relationships/hyperlink" Target="https://dev.mysql.com/doc/connector-j/en/connector-j-reference-configuration-properties.html" TargetMode="External"/><Relationship Id="rId28" Type="http://schemas.openxmlformats.org/officeDocument/2006/relationships/hyperlink" Target="https://dev.mysql.com/doc/connector-j/en/connector-j-connp-props-networking.html" TargetMode="External"/><Relationship Id="rId29" Type="http://schemas.openxmlformats.org/officeDocument/2006/relationships/hyperlink" Target="https://dev.mysql.com/doc/connector-j/en/connector-j-connp-props-statements.html" TargetMode="External"/><Relationship Id="rId30" Type="http://schemas.openxmlformats.org/officeDocument/2006/relationships/hyperlink" Target="https://dev.mysql.com/doc/connector-j/en/connector-j-reference-using-ssl.html" TargetMode="External"/><Relationship Id="rId31" Type="http://schemas.openxmlformats.org/officeDocument/2006/relationships/hyperlink" Target="https://docs.aws.amazon.com/AmazonECS/latest/developerguide/secrets-envvar-ssm-paramstore.html" TargetMode="External"/><Relationship Id="rId32" Type="http://schemas.openxmlformats.org/officeDocument/2006/relationships/hyperlink" Target="https://docs.aws.amazon.com/systems-manager/latest/userguide/systems-manager-parameter-store.html" TargetMode="External"/><Relationship Id="rId33" Type="http://schemas.openxmlformats.org/officeDocument/2006/relationships/hyperlink" Target="https://docs.aws.amazon.com/secretsmanager/latest/userguide/replicate-secrets.html" TargetMode="External"/><Relationship Id="rId34" Type="http://schemas.openxmlformats.org/officeDocument/2006/relationships/hyperlink" Target="https://docs.aws.amazon.com/AmazonECR/latest/userguide/replication.html" TargetMode="External"/><Relationship Id="rId35" Type="http://schemas.openxmlformats.org/officeDocument/2006/relationships/hyperlink" Target="https://docs.aws.amazon.com/AmazonRDS/latest/AuroraUserGuide/Aurora.Overview.StorageReliability.html" TargetMode="External"/><Relationship Id="rId36" Type="http://schemas.openxmlformats.org/officeDocument/2006/relationships/hyperlink" Target="https://docs.aws.amazon.com/AmazonRDS/latest/AuroraUserGuide/CHAP_Limits.html" TargetMode="External"/><Relationship Id="rId37" Type="http://schemas.openxmlformats.org/officeDocument/2006/relationships/hyperlink" Target="https://docs.aws.amazon.com/AmazonRDS/latest/AuroraUserGuide/Aurora.Managing.Performance.html" TargetMode="External"/><Relationship Id="rId38" Type="http://schemas.openxmlformats.org/officeDocument/2006/relationships/hyperlink" Target="https://docs.aws.amazon.com/AmazonRDS/latest/AuroraUserGuide/AuroraMySQL.Managing.Performance.html" TargetMode="External"/><Relationship Id="rId39" Type="http://schemas.openxmlformats.org/officeDocument/2006/relationships/hyperlink" Target="https://docs.aws.amazon.com/AmazonRDS/latest/AuroraUserGuide/Aurora.Managing.Backups.html" TargetMode="External"/><Relationship Id="rId40" Type="http://schemas.openxmlformats.org/officeDocument/2006/relationships/hyperlink" Target="https://aws.amazon.com/blogs/database/understanding-how-backups-work-in-amazon-aurora/" TargetMode="External"/><Relationship Id="rId41" Type="http://schemas.openxmlformats.org/officeDocument/2006/relationships/hyperlink" Target="https://docs.aws.amazon.com/pdfs/dms/latest/oracle-to-aurora-mysql-migration-playbook/dms-mpb-oracle-to-aurora-mysql.pdf" TargetMode="External"/><Relationship Id="rId42" Type="http://schemas.openxmlformats.org/officeDocument/2006/relationships/hyperlink" Target="https://dev.mysql.com/doc/refman/8.4/en/partitioning-limitations-partitioning-keys-unique-keys.html" TargetMode="External"/><Relationship Id="rId43" Type="http://schemas.openxmlformats.org/officeDocument/2006/relationships/hyperlink" Target="https://dev.mysql.com/doc/refman/8.4/en/partitioning-limitations-storage-engines.html" TargetMode="External"/><Relationship Id="rId44" Type="http://schemas.openxmlformats.org/officeDocument/2006/relationships/hyperlink" Target="https://docs.aws.amazon.com/AmazonRDS/latest/AuroraUserGuide/Aurora.AuroraMonitoring.Metrics.html" TargetMode="External"/><Relationship Id="rId45" Type="http://schemas.openxmlformats.org/officeDocument/2006/relationships/hyperlink" Target="https://docs.aws.amazon.com/AmazonRDS/latest/AuroraUserGuide/USER_DatabaseInsights.html" TargetMode="External"/><Relationship Id="rId46" Type="http://schemas.openxmlformats.org/officeDocument/2006/relationships/hyperlink" Target="https://docs.aws.amazon.com/AmazonRDS/latest/AuroraUserGuide/USER_PerfInsights.Enabling.html" TargetMode="External"/><Relationship Id="rId47" Type="http://schemas.openxmlformats.org/officeDocument/2006/relationships/hyperlink" Target="https://aws.amazon.com/about-aws/whats-new/2018/11/announcing-amazon-aurora-global-database/" TargetMode="External"/><Relationship Id="rId48" Type="http://schemas.openxmlformats.org/officeDocument/2006/relationships/hyperlink" Target="https://aws.amazon.com/blogs/aws/amazon-rds-proxy-now-generally-available/" TargetMode="External"/><Relationship Id="rId49" Type="http://schemas.openxmlformats.org/officeDocument/2006/relationships/hyperlink" Target="https://aws.amazon.com/about-aws/whats-new/2022/04/amazon-aurora-serverless-v2/" TargetMode="External"/><Relationship Id="rId50" Type="http://schemas.openxmlformats.org/officeDocument/2006/relationships/hyperlink" Target="https://aws.amazon.com/about-aws/whats-new/2022/12/amazon-rds-proxy-creating-proxies-aurora-global-database-primary-secondary-regions/" TargetMode="External"/><Relationship Id="rId51" Type="http://schemas.openxmlformats.org/officeDocument/2006/relationships/hyperlink" Target="https://aws.amazon.com/about-aws/whats-new/2026/05/amazon-aurora-mysql/8-4/" TargetMode="External"/><Relationship Id="rId52" Type="http://schemas.openxmlformats.org/officeDocument/2006/relationships/hyperlink" Target="https://aws.amazon.com/rds/proxy/pricing/" TargetMode="External"/><Relationship Id="rId53" Type="http://schemas.openxmlformats.org/officeDocument/2006/relationships/hyperlink" Target="https://dev.mysql.com/doc/refman/8.4/en/server-system-variables.html" TargetMode="External"/><Relationship Id="rId54" Type="http://schemas.openxmlformats.org/officeDocument/2006/relationships/hyperlink" Target="https://dev.mysql.com/doc/refman/8.4/en/innodb-parameters.html" TargetMode="External"/><Relationship Id="rId55" Type="http://schemas.openxmlformats.org/officeDocument/2006/relationships/hyperlink" Target="https://dev.mysql.com/doc/refman/8.4/en/performance-schema-system-variables.html" TargetMode="External"/><Relationship Id="rId56" Type="http://schemas.openxmlformats.org/officeDocument/2006/relationships/hyperlink" Target="https://docs.aws.amazon.com/AmazonRDS/latest/APIReference/API_DescribeDBClusterParameters.html" TargetMode="External"/><Relationship Id="rId57" Type="http://schemas.openxmlformats.org/officeDocument/2006/relationships/hyperlink" Target="https://docs.aws.amazon.com/AmazonRDS/latest/APIReference/API_DescribeDBParameters.html" TargetMode="External"/><Relationship Id="rId58" Type="http://schemas.openxmlformats.org/officeDocument/2006/relationships/hyperlink" Target="https://docs.aws.amazon.com/AmazonRDS/latest/AuroraUserGuide/AuroraMySQL.Updates.Versions.html" TargetMode="External"/><Relationship Id="rId59" Type="http://schemas.openxmlformats.org/officeDocument/2006/relationships/hyperlink" Target="https://docs.aws.amazon.com/AmazonRDS/latest/AuroraUserGuide/rds-proxy.monitoring.html" TargetMode="External"/><Relationship Id="rId60" Type="http://schemas.openxmlformats.org/officeDocument/2006/relationships/hyperlink" Target="https://docs.aws.amazon.com/AmazonRDS/latest/AuroraUserGuide/Aurora.Overview.StorageReliability.html" TargetMode="External"/><Relationship Id="rId61" Type="http://schemas.openxmlformats.org/officeDocument/2006/relationships/hyperlink" Target="https://docs.aws.amazon.com/rds/latest/auroraextendedcontent/aurora-faq-performance.html" TargetMode="External"/></Relationships>
</file>

<file path=xl/worksheets/sheet1.xml><?xml version="1.0" encoding="utf-8"?>
<worksheet xmlns="http://schemas.openxmlformats.org/spreadsheetml/2006/main" xmlns:r="http://schemas.openxmlformats.org/officeDocument/2006/relationships">
  <sheetPr>
    <tabColor rgb="FF222222"/>
    <pageSetUpPr fitToPage="1"/>
  </sheetPr>
  <dimension ref="B2:D26"/>
  <sheetViews>
    <sheetView showGridLines="0" tabSelected="1" zoomScale="95" zoomScaleNormal="95" workbookViewId="0"/>
  </sheetViews>
  <sheetFormatPr defaultRowHeight="15"/>
  <cols>
    <col min="1" max="1" width="4.7109375" customWidth="1"/>
    <col min="2" max="2" width="31.7109375" customWidth="1"/>
    <col min="3" max="3" width="73.7109375" customWidth="1"/>
    <col min="4" max="4" width="27.7109375" customWidth="1"/>
    <col min="5" max="5" width="4.7109375" customWidth="1"/>
  </cols>
  <sheetData>
    <row r="2" spans="2:4" ht="30" customHeight="1">
      <c r="B2" s="1" t="s">
        <v>0</v>
      </c>
      <c r="C2" s="1"/>
      <c r="D2" s="1"/>
    </row>
    <row r="3" spans="2:4" ht="30" customHeight="1">
      <c r="B3" s="1"/>
      <c r="C3" s="1"/>
      <c r="D3" s="1"/>
    </row>
    <row r="4" spans="2:4" ht="30" customHeight="1">
      <c r="B4" s="1"/>
      <c r="C4" s="1"/>
      <c r="D4" s="1"/>
    </row>
    <row r="6" spans="2:4" ht="35" customHeight="1">
      <c r="B6" s="2" t="s">
        <v>1</v>
      </c>
      <c r="C6" s="2"/>
      <c r="D6" s="2"/>
    </row>
    <row r="8" spans="2:4" ht="25" customHeight="1">
      <c r="B8" s="3" t="s">
        <v>2</v>
      </c>
      <c r="C8" s="3"/>
      <c r="D8" s="3"/>
    </row>
    <row r="9" spans="2:4" ht="25" customHeight="1">
      <c r="B9" s="3"/>
      <c r="C9" s="3"/>
      <c r="D9" s="3"/>
    </row>
    <row r="11" spans="2:4" ht="34" customHeight="1">
      <c r="B11" s="2" t="s">
        <v>3</v>
      </c>
      <c r="C11" s="2"/>
      <c r="D11" s="2"/>
    </row>
    <row r="13" spans="2:4" ht="23" customHeight="1">
      <c r="B13" s="3" t="s">
        <v>4</v>
      </c>
      <c r="C13" s="3"/>
      <c r="D13" s="3"/>
    </row>
    <row r="14" spans="2:4" ht="23" customHeight="1">
      <c r="B14" s="3"/>
      <c r="C14" s="3"/>
      <c r="D14" s="3"/>
    </row>
    <row r="17" spans="2:4" ht="31" customHeight="1">
      <c r="B17" s="3" t="s">
        <v>5</v>
      </c>
      <c r="C17" s="4" t="s">
        <v>6</v>
      </c>
      <c r="D17" s="3" t="s">
        <v>7</v>
      </c>
    </row>
    <row r="18" spans="2:4" ht="31" customHeight="1">
      <c r="B18" s="3" t="s">
        <v>8</v>
      </c>
      <c r="C18" s="4" t="s">
        <v>9</v>
      </c>
      <c r="D18" s="3" t="s">
        <v>10</v>
      </c>
    </row>
    <row r="19" spans="2:4" ht="31" customHeight="1">
      <c r="B19" s="3" t="s">
        <v>11</v>
      </c>
      <c r="C19" s="4" t="s">
        <v>12</v>
      </c>
      <c r="D19" s="3" t="s">
        <v>13</v>
      </c>
    </row>
    <row r="20" spans="2:4" ht="31" customHeight="1">
      <c r="B20" s="3" t="s">
        <v>14</v>
      </c>
      <c r="C20" s="4" t="s">
        <v>15</v>
      </c>
      <c r="D20" s="3" t="s">
        <v>16</v>
      </c>
    </row>
    <row r="21" spans="2:4" ht="31" customHeight="1">
      <c r="B21" s="3" t="s">
        <v>17</v>
      </c>
      <c r="C21" s="4" t="s">
        <v>18</v>
      </c>
      <c r="D21" s="3" t="s">
        <v>19</v>
      </c>
    </row>
    <row r="22" spans="2:4" ht="31" customHeight="1">
      <c r="B22" s="3" t="s">
        <v>20</v>
      </c>
      <c r="C22" s="4" t="s">
        <v>21</v>
      </c>
      <c r="D22" s="3" t="s">
        <v>22</v>
      </c>
    </row>
    <row r="23" spans="2:4" ht="31" customHeight="1">
      <c r="B23" s="3" t="s">
        <v>23</v>
      </c>
      <c r="C23" s="4" t="s">
        <v>24</v>
      </c>
      <c r="D23" s="3" t="s">
        <v>25</v>
      </c>
    </row>
    <row r="25" spans="2:4" ht="25" customHeight="1">
      <c r="B25" s="3" t="s">
        <v>26</v>
      </c>
      <c r="C25" s="3"/>
      <c r="D25" s="3"/>
    </row>
    <row r="26" spans="2:4" ht="25" customHeight="1">
      <c r="B26" s="3"/>
      <c r="C26" s="3"/>
      <c r="D26" s="3"/>
    </row>
  </sheetData>
  <mergeCells count="6">
    <mergeCell ref="B2:D4"/>
    <mergeCell ref="B6:D6"/>
    <mergeCell ref="B8:D9"/>
    <mergeCell ref="B11:D11"/>
    <mergeCell ref="B13:D14"/>
    <mergeCell ref="B25:D26"/>
  </mergeCells>
  <hyperlinks>
    <hyperlink ref="C17" location="'01_結論と前提'!A1" display="採用条件と前提、実測が必要な点"/>
    <hyperlink ref="C18" location="'02_構成図'!A1" display="平常時 / 大阪昇格後の接続経路"/>
    <hyperlink ref="C19" location="'05_DR手順'!A1" display="判定から切り戻しまで"/>
    <hyperlink ref="C20" location="'07_Proxy設定'!A1" display="設定区分・API名・既定値・推奨"/>
    <hyperlink ref="C21" location="'10_タイムアウト'!A1" display="online / batch / 共用Proxyの比較"/>
    <hyperlink ref="C22" location="'20_クラスタ既定'!A1" display="21推奨 / 22インスタンス既定 / 23推奨"/>
    <hyperlink ref="C23" location="'90_公式出典'!A1" display="公式リンクと91_API取得証跡"/>
  </hyperlinks>
  <pageMargins left="0.3" right="0.3" top="0.3" bottom="0.3" header="0.3" footer="0.3"/>
  <pageSetup paperSize="9" orientation="portrait"/>
</worksheet>
</file>

<file path=xl/worksheets/sheet2.xml><?xml version="1.0" encoding="utf-8"?>
<worksheet xmlns="http://schemas.openxmlformats.org/spreadsheetml/2006/main" xmlns:r="http://schemas.openxmlformats.org/officeDocument/2006/relationships">
  <sheetPr>
    <tabColor rgb="FF777777"/>
    <pageSetUpPr fitToPage="1"/>
  </sheetPr>
  <dimension ref="A1:E15"/>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27</v>
      </c>
      <c r="B1" s="5"/>
      <c r="C1" s="5"/>
      <c r="D1" s="5"/>
      <c r="E1" s="5"/>
    </row>
    <row r="2" spans="1:5" ht="26" customHeight="1">
      <c r="A2" s="5"/>
      <c r="B2" s="5"/>
      <c r="C2" s="5"/>
      <c r="D2" s="5"/>
      <c r="E2" s="5"/>
    </row>
    <row r="3" spans="1:5" ht="48" customHeight="1">
      <c r="A3" s="6" t="s">
        <v>28</v>
      </c>
      <c r="B3" s="6"/>
      <c r="C3" s="6"/>
      <c r="D3" s="6"/>
      <c r="E3" s="6"/>
    </row>
    <row r="4" spans="1:5" ht="12" customHeight="1"/>
    <row r="5" spans="1:5" ht="38" customHeight="1">
      <c r="A5" s="7" t="s">
        <v>29</v>
      </c>
      <c r="B5" s="7" t="s">
        <v>30</v>
      </c>
      <c r="C5" s="7" t="s">
        <v>31</v>
      </c>
      <c r="D5" s="7" t="s">
        <v>32</v>
      </c>
      <c r="E5" s="7" t="s">
        <v>33</v>
      </c>
    </row>
    <row r="6" spans="1:5" ht="62" customHeight="1">
      <c r="A6" s="8" t="s">
        <v>34</v>
      </c>
      <c r="B6" s="8" t="s">
        <v>35</v>
      </c>
      <c r="C6" s="8" t="s">
        <v>36</v>
      </c>
      <c r="D6" s="8" t="s">
        <v>37</v>
      </c>
      <c r="E6" s="9" t="s">
        <v>38</v>
      </c>
    </row>
    <row r="7" spans="1:5" ht="62" customHeight="1">
      <c r="A7" s="10" t="s">
        <v>39</v>
      </c>
      <c r="B7" s="10" t="s">
        <v>40</v>
      </c>
      <c r="C7" s="10" t="s">
        <v>41</v>
      </c>
      <c r="D7" s="10" t="s">
        <v>42</v>
      </c>
      <c r="E7" s="11" t="s">
        <v>43</v>
      </c>
    </row>
    <row r="8" spans="1:5" ht="45" customHeight="1">
      <c r="A8" s="8" t="s">
        <v>44</v>
      </c>
      <c r="B8" s="8" t="s">
        <v>45</v>
      </c>
      <c r="C8" s="8" t="s">
        <v>46</v>
      </c>
      <c r="D8" s="8" t="s">
        <v>47</v>
      </c>
      <c r="E8" s="9" t="s">
        <v>48</v>
      </c>
    </row>
    <row r="9" spans="1:5" ht="45" customHeight="1">
      <c r="A9" s="10" t="s">
        <v>49</v>
      </c>
      <c r="B9" s="10" t="s">
        <v>50</v>
      </c>
      <c r="C9" s="10" t="s">
        <v>51</v>
      </c>
      <c r="D9" s="10" t="s">
        <v>52</v>
      </c>
      <c r="E9" s="10" t="s">
        <v>53</v>
      </c>
    </row>
    <row r="10" spans="1:5" ht="45" customHeight="1">
      <c r="A10" s="8" t="s">
        <v>54</v>
      </c>
      <c r="B10" s="8" t="s">
        <v>55</v>
      </c>
      <c r="C10" s="8" t="s">
        <v>56</v>
      </c>
      <c r="D10" s="8" t="s">
        <v>57</v>
      </c>
      <c r="E10" s="9" t="s">
        <v>58</v>
      </c>
    </row>
    <row r="11" spans="1:5" ht="45" customHeight="1">
      <c r="A11" s="12" t="s">
        <v>59</v>
      </c>
      <c r="B11" s="10" t="s">
        <v>60</v>
      </c>
      <c r="C11" s="10" t="s">
        <v>61</v>
      </c>
      <c r="D11" s="10" t="s">
        <v>62</v>
      </c>
      <c r="E11" s="11" t="s">
        <v>58</v>
      </c>
    </row>
    <row r="12" spans="1:5" ht="45" customHeight="1">
      <c r="A12" s="8" t="s">
        <v>63</v>
      </c>
      <c r="B12" s="8" t="s">
        <v>64</v>
      </c>
      <c r="C12" s="8" t="s">
        <v>65</v>
      </c>
      <c r="D12" s="8" t="s">
        <v>66</v>
      </c>
      <c r="E12" s="9" t="s">
        <v>67</v>
      </c>
    </row>
    <row r="13" spans="1:5" ht="45" customHeight="1">
      <c r="A13" s="10" t="s">
        <v>68</v>
      </c>
      <c r="B13" s="10" t="s">
        <v>69</v>
      </c>
      <c r="C13" s="10" t="s">
        <v>70</v>
      </c>
      <c r="D13" s="10" t="s">
        <v>71</v>
      </c>
      <c r="E13" s="11" t="s">
        <v>72</v>
      </c>
    </row>
    <row r="14" spans="1:5" ht="45" customHeight="1">
      <c r="A14" s="8" t="s">
        <v>73</v>
      </c>
      <c r="B14" s="8" t="s">
        <v>74</v>
      </c>
      <c r="C14" s="8" t="s">
        <v>75</v>
      </c>
      <c r="D14" s="8" t="s">
        <v>76</v>
      </c>
      <c r="E14" s="9" t="s">
        <v>77</v>
      </c>
    </row>
    <row r="15" spans="1:5" ht="45" customHeight="1">
      <c r="A15" s="10" t="s">
        <v>78</v>
      </c>
      <c r="B15" s="10" t="s">
        <v>79</v>
      </c>
      <c r="C15" s="10" t="s">
        <v>80</v>
      </c>
      <c r="D15" s="10" t="s">
        <v>81</v>
      </c>
      <c r="E15" s="10" t="s">
        <v>53</v>
      </c>
    </row>
  </sheetData>
  <autoFilter ref="A5:E15"/>
  <mergeCells count="2">
    <mergeCell ref="A1:E2"/>
    <mergeCell ref="A3:E3"/>
  </mergeCells>
  <hyperlinks>
    <hyperlink ref="E6" location="'90_公式出典'!A8" display="S03 S04 S15"/>
    <hyperlink ref="E7" location="'90_公式出典'!A20" display="S15 S24"/>
    <hyperlink ref="E8" location="'90_公式出典'!A6" display="S01 S58"/>
    <hyperlink ref="E10" location="'90_公式出典'!A61" display="S56 S57"/>
    <hyperlink ref="E11" location="'90_公式出典'!A61" display="S56 S57"/>
    <hyperlink ref="E12" location="'90_公式出典'!A25" display="S20 S53 S54"/>
    <hyperlink ref="E13" location="'90_公式出典'!A10" display="S05 S08"/>
    <hyperlink ref="E14" location="'90_公式出典'!A13" display="S08 S11"/>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3.xml><?xml version="1.0" encoding="utf-8"?>
<worksheet xmlns="http://schemas.openxmlformats.org/spreadsheetml/2006/main" xmlns:r="http://schemas.openxmlformats.org/officeDocument/2006/relationships">
  <sheetPr>
    <tabColor rgb="FF555555"/>
    <pageSetUpPr fitToPage="1"/>
  </sheetPr>
  <dimension ref="A1:P42"/>
  <sheetViews>
    <sheetView showGridLines="0" zoomScale="95" zoomScaleNormal="95" workbookViewId="0"/>
  </sheetViews>
  <sheetFormatPr defaultRowHeight="15"/>
  <cols>
    <col min="1" max="16" width="10.7109375" customWidth="1"/>
  </cols>
  <sheetData>
    <row r="1" spans="1:16" ht="23" customHeight="1">
      <c r="A1" s="13" t="s">
        <v>82</v>
      </c>
      <c r="B1" s="13"/>
      <c r="C1" s="13"/>
      <c r="D1" s="13"/>
      <c r="E1" s="13"/>
      <c r="F1" s="13"/>
      <c r="G1" s="13"/>
      <c r="H1" s="13"/>
      <c r="I1" s="13"/>
      <c r="J1" s="13"/>
      <c r="K1" s="13"/>
      <c r="L1" s="13"/>
      <c r="M1" s="13"/>
      <c r="N1" s="13"/>
      <c r="O1" s="13"/>
      <c r="P1" s="13"/>
    </row>
    <row r="2" spans="1:16" ht="23" customHeight="1">
      <c r="A2" s="13"/>
      <c r="B2" s="13"/>
      <c r="C2" s="13"/>
      <c r="D2" s="13"/>
      <c r="E2" s="13"/>
      <c r="F2" s="13"/>
      <c r="G2" s="13"/>
      <c r="H2" s="13"/>
      <c r="I2" s="13"/>
      <c r="J2" s="13"/>
      <c r="K2" s="13"/>
      <c r="L2" s="13"/>
      <c r="M2" s="13"/>
      <c r="N2" s="13"/>
      <c r="O2" s="13"/>
      <c r="P2" s="13"/>
    </row>
    <row r="3" spans="1:16" ht="23" customHeight="1"/>
    <row r="4" spans="1:16" ht="23" customHeight="1">
      <c r="A4" s="14" t="s">
        <v>83</v>
      </c>
      <c r="B4" s="14"/>
      <c r="C4" s="14"/>
      <c r="D4" s="14"/>
      <c r="E4" s="14"/>
      <c r="F4" s="14"/>
      <c r="G4" s="14"/>
      <c r="J4" s="14" t="s">
        <v>84</v>
      </c>
      <c r="K4" s="14"/>
      <c r="L4" s="14"/>
      <c r="M4" s="14"/>
      <c r="N4" s="14"/>
      <c r="O4" s="14"/>
      <c r="P4" s="14"/>
    </row>
    <row r="5" spans="1:16" ht="23" customHeight="1">
      <c r="A5" s="15" t="s">
        <v>85</v>
      </c>
      <c r="B5" s="15"/>
      <c r="C5" s="15"/>
      <c r="D5" s="15"/>
      <c r="E5" s="15"/>
      <c r="F5" s="15"/>
      <c r="G5" s="15"/>
      <c r="J5" s="15" t="s">
        <v>86</v>
      </c>
      <c r="K5" s="15"/>
      <c r="L5" s="15"/>
      <c r="M5" s="15"/>
      <c r="N5" s="15"/>
      <c r="O5" s="15"/>
      <c r="P5" s="15"/>
    </row>
    <row r="6" spans="1:16" ht="23" customHeight="1">
      <c r="A6" s="15"/>
      <c r="B6" s="15"/>
      <c r="C6" s="15"/>
      <c r="D6" s="15"/>
      <c r="E6" s="15"/>
      <c r="F6" s="15"/>
      <c r="G6" s="15"/>
      <c r="J6" s="15"/>
      <c r="K6" s="15"/>
      <c r="L6" s="15"/>
      <c r="M6" s="15"/>
      <c r="N6" s="15"/>
      <c r="O6" s="15"/>
      <c r="P6" s="15"/>
    </row>
    <row r="7" spans="1:16" ht="26" customHeight="1">
      <c r="A7" s="16" t="s">
        <v>87</v>
      </c>
      <c r="B7" s="16"/>
      <c r="C7" s="16"/>
      <c r="D7" s="16"/>
      <c r="E7" s="16"/>
      <c r="F7" s="16"/>
      <c r="G7" s="16"/>
      <c r="J7" s="16" t="s">
        <v>87</v>
      </c>
      <c r="K7" s="16"/>
      <c r="L7" s="16"/>
      <c r="M7" s="16"/>
      <c r="N7" s="16"/>
      <c r="O7" s="16"/>
      <c r="P7" s="16"/>
    </row>
    <row r="8" spans="1:16" ht="23" customHeight="1">
      <c r="A8" s="17" t="s">
        <v>88</v>
      </c>
      <c r="B8" s="17"/>
      <c r="C8" s="17"/>
      <c r="D8" s="17"/>
      <c r="E8" s="17"/>
      <c r="F8" s="17"/>
      <c r="G8" s="17"/>
      <c r="J8" s="17" t="s">
        <v>89</v>
      </c>
      <c r="K8" s="17"/>
      <c r="L8" s="17"/>
      <c r="M8" s="17"/>
      <c r="N8" s="17"/>
      <c r="O8" s="17"/>
      <c r="P8" s="17"/>
    </row>
    <row r="9" spans="1:16" ht="23" customHeight="1">
      <c r="A9" s="17"/>
      <c r="B9" s="17"/>
      <c r="C9" s="17"/>
      <c r="D9" s="17"/>
      <c r="E9" s="17"/>
      <c r="F9" s="17"/>
      <c r="G9" s="17"/>
      <c r="J9" s="17"/>
      <c r="K9" s="17"/>
      <c r="L9" s="17"/>
      <c r="M9" s="17"/>
      <c r="N9" s="17"/>
      <c r="O9" s="17"/>
      <c r="P9" s="17"/>
    </row>
    <row r="10" spans="1:16" ht="23" customHeight="1">
      <c r="A10" s="17"/>
      <c r="B10" s="17"/>
      <c r="C10" s="17"/>
      <c r="D10" s="17"/>
      <c r="E10" s="17"/>
      <c r="F10" s="17"/>
      <c r="G10" s="17"/>
      <c r="J10" s="17"/>
      <c r="K10" s="17"/>
      <c r="L10" s="17"/>
      <c r="M10" s="17"/>
      <c r="N10" s="17"/>
      <c r="O10" s="17"/>
      <c r="P10" s="17"/>
    </row>
    <row r="11" spans="1:16" ht="23" customHeight="1">
      <c r="A11" s="15" t="s">
        <v>90</v>
      </c>
      <c r="B11" s="15"/>
      <c r="C11" s="15"/>
      <c r="D11" s="15"/>
      <c r="E11" s="15"/>
      <c r="F11" s="15"/>
      <c r="G11" s="15"/>
      <c r="J11" s="15" t="s">
        <v>91</v>
      </c>
      <c r="K11" s="15"/>
      <c r="L11" s="15"/>
      <c r="M11" s="15"/>
      <c r="N11" s="15"/>
      <c r="O11" s="15"/>
      <c r="P11" s="15"/>
    </row>
    <row r="12" spans="1:16" ht="23" customHeight="1">
      <c r="A12" s="15"/>
      <c r="B12" s="15"/>
      <c r="C12" s="15"/>
      <c r="D12" s="15"/>
      <c r="E12" s="15"/>
      <c r="F12" s="15"/>
      <c r="G12" s="15"/>
      <c r="J12" s="15"/>
      <c r="K12" s="15"/>
      <c r="L12" s="15"/>
      <c r="M12" s="15"/>
      <c r="N12" s="15"/>
      <c r="O12" s="15"/>
      <c r="P12" s="15"/>
    </row>
    <row r="13" spans="1:16" ht="26" customHeight="1">
      <c r="A13" s="16" t="s">
        <v>92</v>
      </c>
      <c r="B13" s="16"/>
      <c r="C13" s="16"/>
      <c r="D13" s="16"/>
      <c r="E13" s="16"/>
      <c r="F13" s="16"/>
      <c r="G13" s="16"/>
      <c r="J13" s="16" t="s">
        <v>92</v>
      </c>
      <c r="K13" s="16"/>
      <c r="L13" s="16"/>
      <c r="M13" s="16"/>
      <c r="N13" s="16"/>
      <c r="O13" s="16"/>
      <c r="P13" s="16"/>
    </row>
    <row r="14" spans="1:16" ht="23" customHeight="1">
      <c r="A14" s="17" t="s">
        <v>93</v>
      </c>
      <c r="B14" s="17"/>
      <c r="C14" s="17"/>
      <c r="D14" s="17"/>
      <c r="E14" s="17"/>
      <c r="F14" s="17"/>
      <c r="G14" s="17"/>
      <c r="J14" s="17" t="s">
        <v>94</v>
      </c>
      <c r="K14" s="17"/>
      <c r="L14" s="17"/>
      <c r="M14" s="17"/>
      <c r="N14" s="17"/>
      <c r="O14" s="17"/>
      <c r="P14" s="17"/>
    </row>
    <row r="15" spans="1:16" ht="23" customHeight="1">
      <c r="A15" s="17"/>
      <c r="B15" s="17"/>
      <c r="C15" s="17"/>
      <c r="D15" s="17"/>
      <c r="E15" s="17"/>
      <c r="F15" s="17"/>
      <c r="G15" s="17"/>
      <c r="J15" s="17"/>
      <c r="K15" s="17"/>
      <c r="L15" s="17"/>
      <c r="M15" s="17"/>
      <c r="N15" s="17"/>
      <c r="O15" s="17"/>
      <c r="P15" s="17"/>
    </row>
    <row r="16" spans="1:16" ht="23" customHeight="1">
      <c r="A16" s="17"/>
      <c r="B16" s="17"/>
      <c r="C16" s="17"/>
      <c r="D16" s="17"/>
      <c r="E16" s="17"/>
      <c r="F16" s="17"/>
      <c r="G16" s="17"/>
      <c r="J16" s="17"/>
      <c r="K16" s="17"/>
      <c r="L16" s="17"/>
      <c r="M16" s="17"/>
      <c r="N16" s="17"/>
      <c r="O16" s="17"/>
      <c r="P16" s="17"/>
    </row>
    <row r="17" spans="1:16" ht="23" customHeight="1">
      <c r="A17" s="3" t="s">
        <v>95</v>
      </c>
      <c r="B17" s="3"/>
      <c r="C17" s="3"/>
      <c r="D17" s="3"/>
      <c r="E17" s="3"/>
      <c r="F17" s="3"/>
      <c r="G17" s="3"/>
      <c r="J17" s="3" t="s">
        <v>96</v>
      </c>
      <c r="K17" s="3"/>
      <c r="L17" s="3"/>
      <c r="M17" s="3"/>
      <c r="N17" s="3"/>
      <c r="O17" s="3"/>
      <c r="P17" s="3"/>
    </row>
    <row r="18" spans="1:16" ht="23" customHeight="1">
      <c r="A18" s="15" t="s">
        <v>97</v>
      </c>
      <c r="B18" s="15"/>
      <c r="C18" s="15"/>
      <c r="D18" s="15"/>
      <c r="E18" s="15"/>
      <c r="F18" s="15"/>
      <c r="G18" s="15"/>
      <c r="J18" s="15" t="s">
        <v>98</v>
      </c>
      <c r="K18" s="15"/>
      <c r="L18" s="15"/>
      <c r="M18" s="15"/>
      <c r="N18" s="15"/>
      <c r="O18" s="15"/>
      <c r="P18" s="15"/>
    </row>
    <row r="19" spans="1:16" ht="23" customHeight="1">
      <c r="A19" s="15"/>
      <c r="B19" s="15"/>
      <c r="C19" s="15"/>
      <c r="D19" s="15"/>
      <c r="E19" s="15"/>
      <c r="F19" s="15"/>
      <c r="G19" s="15"/>
      <c r="J19" s="15"/>
      <c r="K19" s="15"/>
      <c r="L19" s="15"/>
      <c r="M19" s="15"/>
      <c r="N19" s="15"/>
      <c r="O19" s="15"/>
      <c r="P19" s="15"/>
    </row>
    <row r="20" spans="1:16" ht="23" customHeight="1">
      <c r="A20" s="15"/>
      <c r="B20" s="15"/>
      <c r="C20" s="15"/>
      <c r="D20" s="15"/>
      <c r="E20" s="15"/>
      <c r="F20" s="15"/>
      <c r="G20" s="15"/>
      <c r="J20" s="15"/>
      <c r="K20" s="15"/>
      <c r="L20" s="15"/>
      <c r="M20" s="15"/>
      <c r="N20" s="15"/>
      <c r="O20" s="15"/>
      <c r="P20" s="15"/>
    </row>
    <row r="21" spans="1:16" ht="23" customHeight="1"/>
    <row r="22" spans="1:16" ht="23" customHeight="1">
      <c r="A22" s="17" t="s">
        <v>99</v>
      </c>
      <c r="B22" s="17"/>
      <c r="C22" s="17"/>
      <c r="D22" s="17"/>
      <c r="E22" s="17"/>
      <c r="F22" s="17"/>
      <c r="G22" s="17"/>
      <c r="H22" s="16" t="s">
        <v>101</v>
      </c>
      <c r="I22" s="16"/>
      <c r="J22" s="17" t="s">
        <v>100</v>
      </c>
      <c r="K22" s="17"/>
      <c r="L22" s="17"/>
      <c r="M22" s="17"/>
      <c r="N22" s="17"/>
      <c r="O22" s="17"/>
      <c r="P22" s="17"/>
    </row>
    <row r="23" spans="1:16" ht="23" customHeight="1">
      <c r="A23" s="17"/>
      <c r="B23" s="17"/>
      <c r="C23" s="17"/>
      <c r="D23" s="17"/>
      <c r="E23" s="17"/>
      <c r="F23" s="17"/>
      <c r="G23" s="17"/>
      <c r="H23" s="16"/>
      <c r="I23" s="16"/>
      <c r="J23" s="17"/>
      <c r="K23" s="17"/>
      <c r="L23" s="17"/>
      <c r="M23" s="17"/>
      <c r="N23" s="17"/>
      <c r="O23" s="17"/>
      <c r="P23" s="17"/>
    </row>
    <row r="24" spans="1:16" ht="23" customHeight="1">
      <c r="A24" s="17"/>
      <c r="B24" s="17"/>
      <c r="C24" s="17"/>
      <c r="D24" s="17"/>
      <c r="E24" s="17"/>
      <c r="F24" s="17"/>
      <c r="G24" s="17"/>
      <c r="H24" s="16"/>
      <c r="I24" s="16"/>
      <c r="J24" s="17"/>
      <c r="K24" s="17"/>
      <c r="L24" s="17"/>
      <c r="M24" s="17"/>
      <c r="N24" s="17"/>
      <c r="O24" s="17"/>
      <c r="P24" s="17"/>
    </row>
    <row r="25" spans="1:16" ht="23" customHeight="1"/>
    <row r="26" spans="1:16" ht="23" customHeight="1">
      <c r="A26" s="3" t="s">
        <v>102</v>
      </c>
      <c r="B26" s="3"/>
      <c r="C26" s="3"/>
      <c r="D26" s="3"/>
      <c r="E26" s="3"/>
      <c r="F26" s="3"/>
      <c r="G26" s="3"/>
      <c r="H26" s="3"/>
      <c r="I26" s="3"/>
      <c r="J26" s="3"/>
      <c r="K26" s="3"/>
      <c r="L26" s="3"/>
      <c r="M26" s="3"/>
      <c r="N26" s="3"/>
      <c r="O26" s="3"/>
      <c r="P26" s="3"/>
    </row>
    <row r="27" spans="1:16" ht="23" customHeight="1">
      <c r="A27" s="3"/>
      <c r="B27" s="3"/>
      <c r="C27" s="3"/>
      <c r="D27" s="3"/>
      <c r="E27" s="3"/>
      <c r="F27" s="3"/>
      <c r="G27" s="3"/>
      <c r="H27" s="3"/>
      <c r="I27" s="3"/>
      <c r="J27" s="3"/>
      <c r="K27" s="3"/>
      <c r="L27" s="3"/>
      <c r="M27" s="3"/>
      <c r="N27" s="3"/>
      <c r="O27" s="3"/>
      <c r="P27" s="3"/>
    </row>
    <row r="28" spans="1:16" ht="23" customHeight="1">
      <c r="A28" s="3"/>
      <c r="B28" s="3"/>
      <c r="C28" s="3"/>
      <c r="D28" s="3"/>
      <c r="E28" s="3"/>
      <c r="F28" s="3"/>
      <c r="G28" s="3"/>
      <c r="H28" s="3"/>
      <c r="I28" s="3"/>
      <c r="J28" s="3"/>
      <c r="K28" s="3"/>
      <c r="L28" s="3"/>
      <c r="M28" s="3"/>
      <c r="N28" s="3"/>
      <c r="O28" s="3"/>
      <c r="P28" s="3"/>
    </row>
    <row r="29" spans="1:16" ht="23" customHeight="1"/>
    <row r="30" spans="1:16" ht="23" customHeight="1">
      <c r="A30" s="3" t="s">
        <v>103</v>
      </c>
      <c r="B30" s="3"/>
      <c r="C30" s="3"/>
      <c r="D30" s="3"/>
      <c r="E30" s="3"/>
      <c r="F30" s="3"/>
      <c r="G30" s="3"/>
      <c r="H30" s="3"/>
      <c r="I30" s="3"/>
      <c r="J30" s="3"/>
      <c r="K30" s="3"/>
      <c r="L30" s="3"/>
      <c r="M30" s="3"/>
      <c r="N30" s="3"/>
      <c r="O30" s="3"/>
      <c r="P30" s="3"/>
    </row>
    <row r="31" spans="1:16" ht="23" customHeight="1">
      <c r="A31" s="3"/>
      <c r="B31" s="3"/>
      <c r="C31" s="3"/>
      <c r="D31" s="3"/>
      <c r="E31" s="3"/>
      <c r="F31" s="3"/>
      <c r="G31" s="3"/>
      <c r="H31" s="3"/>
      <c r="I31" s="3"/>
      <c r="J31" s="3"/>
      <c r="K31" s="3"/>
      <c r="L31" s="3"/>
      <c r="M31" s="3"/>
      <c r="N31" s="3"/>
      <c r="O31" s="3"/>
      <c r="P31" s="3"/>
    </row>
    <row r="32" spans="1:16" ht="23" customHeight="1">
      <c r="A32" s="3"/>
      <c r="B32" s="3"/>
      <c r="C32" s="3"/>
      <c r="D32" s="3"/>
      <c r="E32" s="3"/>
      <c r="F32" s="3"/>
      <c r="G32" s="3"/>
      <c r="H32" s="3"/>
      <c r="I32" s="3"/>
      <c r="J32" s="3"/>
      <c r="K32" s="3"/>
      <c r="L32" s="3"/>
      <c r="M32" s="3"/>
      <c r="N32" s="3"/>
      <c r="O32" s="3"/>
      <c r="P32" s="3"/>
    </row>
    <row r="33" spans="1:16" ht="23" customHeight="1"/>
    <row r="34" spans="1:16" ht="23" customHeight="1">
      <c r="A34" s="3" t="s">
        <v>104</v>
      </c>
      <c r="B34" s="3"/>
      <c r="C34" s="3"/>
      <c r="D34" s="3"/>
      <c r="E34" s="3"/>
      <c r="F34" s="3"/>
      <c r="G34" s="3"/>
      <c r="H34" s="3"/>
      <c r="I34" s="3"/>
      <c r="J34" s="3"/>
      <c r="K34" s="3"/>
      <c r="L34" s="3"/>
      <c r="M34" s="3"/>
      <c r="N34" s="3"/>
      <c r="O34" s="3"/>
      <c r="P34" s="3"/>
    </row>
    <row r="35" spans="1:16" ht="23" customHeight="1">
      <c r="A35" s="3"/>
      <c r="B35" s="3"/>
      <c r="C35" s="3"/>
      <c r="D35" s="3"/>
      <c r="E35" s="3"/>
      <c r="F35" s="3"/>
      <c r="G35" s="3"/>
      <c r="H35" s="3"/>
      <c r="I35" s="3"/>
      <c r="J35" s="3"/>
      <c r="K35" s="3"/>
      <c r="L35" s="3"/>
      <c r="M35" s="3"/>
      <c r="N35" s="3"/>
      <c r="O35" s="3"/>
      <c r="P35" s="3"/>
    </row>
    <row r="36" spans="1:16" ht="23" customHeight="1">
      <c r="A36" s="3"/>
      <c r="B36" s="3"/>
      <c r="C36" s="3"/>
      <c r="D36" s="3"/>
      <c r="E36" s="3"/>
      <c r="F36" s="3"/>
      <c r="G36" s="3"/>
      <c r="H36" s="3"/>
      <c r="I36" s="3"/>
      <c r="J36" s="3"/>
      <c r="K36" s="3"/>
      <c r="L36" s="3"/>
      <c r="M36" s="3"/>
      <c r="N36" s="3"/>
      <c r="O36" s="3"/>
      <c r="P36" s="3"/>
    </row>
    <row r="37" spans="1:16" ht="23" customHeight="1"/>
    <row r="38" spans="1:16" ht="23" customHeight="1">
      <c r="A38" s="3" t="s">
        <v>105</v>
      </c>
      <c r="B38" s="3"/>
      <c r="C38" s="3"/>
      <c r="D38" s="3"/>
      <c r="E38" s="3"/>
      <c r="F38" s="3"/>
      <c r="G38" s="3"/>
      <c r="H38" s="3"/>
      <c r="I38" s="3"/>
      <c r="J38" s="3"/>
      <c r="K38" s="3"/>
      <c r="L38" s="3"/>
      <c r="M38" s="3"/>
      <c r="N38" s="3"/>
      <c r="O38" s="3"/>
      <c r="P38" s="3"/>
    </row>
    <row r="39" spans="1:16" ht="23" customHeight="1">
      <c r="A39" s="3"/>
      <c r="B39" s="3"/>
      <c r="C39" s="3"/>
      <c r="D39" s="3"/>
      <c r="E39" s="3"/>
      <c r="F39" s="3"/>
      <c r="G39" s="3"/>
      <c r="H39" s="3"/>
      <c r="I39" s="3"/>
      <c r="J39" s="3"/>
      <c r="K39" s="3"/>
      <c r="L39" s="3"/>
      <c r="M39" s="3"/>
      <c r="N39" s="3"/>
      <c r="O39" s="3"/>
      <c r="P39" s="3"/>
    </row>
    <row r="40" spans="1:16" ht="23" customHeight="1"/>
    <row r="41" spans="1:16" ht="23" customHeight="1"/>
    <row r="42" spans="1:16" ht="23" customHeight="1"/>
  </sheetData>
  <mergeCells count="26">
    <mergeCell ref="A1:P2"/>
    <mergeCell ref="A4:G4"/>
    <mergeCell ref="J4:P4"/>
    <mergeCell ref="A5:G6"/>
    <mergeCell ref="J5:P6"/>
    <mergeCell ref="A7:G7"/>
    <mergeCell ref="J7:P7"/>
    <mergeCell ref="A8:G10"/>
    <mergeCell ref="J8:P10"/>
    <mergeCell ref="A11:G12"/>
    <mergeCell ref="J11:P12"/>
    <mergeCell ref="A13:G13"/>
    <mergeCell ref="J13:P13"/>
    <mergeCell ref="A14:G16"/>
    <mergeCell ref="J14:P16"/>
    <mergeCell ref="A17:G17"/>
    <mergeCell ref="J17:P17"/>
    <mergeCell ref="A18:G20"/>
    <mergeCell ref="J18:P20"/>
    <mergeCell ref="A22:G24"/>
    <mergeCell ref="J22:P24"/>
    <mergeCell ref="H22:I24"/>
    <mergeCell ref="A26:P28"/>
    <mergeCell ref="A30:P32"/>
    <mergeCell ref="A34:P36"/>
    <mergeCell ref="A38:P39"/>
  </mergeCells>
  <pageMargins left="0.3" right="0.3" top="0.3" bottom="0.3" header="0.3" footer="0.3"/>
  <pageSetup paperSize="8" orientation="landscape"/>
</worksheet>
</file>

<file path=xl/worksheets/sheet4.xml><?xml version="1.0" encoding="utf-8"?>
<worksheet xmlns="http://schemas.openxmlformats.org/spreadsheetml/2006/main" xmlns:r="http://schemas.openxmlformats.org/officeDocument/2006/relationships">
  <sheetPr>
    <tabColor rgb="FF777777"/>
    <pageSetUpPr fitToPage="1"/>
  </sheetPr>
  <dimension ref="A1:E16"/>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106</v>
      </c>
      <c r="B1" s="5"/>
      <c r="C1" s="5"/>
      <c r="D1" s="5"/>
      <c r="E1" s="5"/>
    </row>
    <row r="2" spans="1:5" ht="26" customHeight="1">
      <c r="A2" s="5"/>
      <c r="B2" s="5"/>
      <c r="C2" s="5"/>
      <c r="D2" s="5"/>
      <c r="E2" s="5"/>
    </row>
    <row r="3" spans="1:5" ht="48" customHeight="1">
      <c r="A3" s="6" t="s">
        <v>107</v>
      </c>
      <c r="B3" s="6"/>
      <c r="C3" s="6"/>
      <c r="D3" s="6"/>
      <c r="E3" s="6"/>
    </row>
    <row r="4" spans="1:5" ht="12" customHeight="1"/>
    <row r="5" spans="1:5" ht="38" customHeight="1">
      <c r="A5" s="7" t="s">
        <v>29</v>
      </c>
      <c r="B5" s="7" t="s">
        <v>30</v>
      </c>
      <c r="C5" s="7" t="s">
        <v>31</v>
      </c>
      <c r="D5" s="7" t="s">
        <v>32</v>
      </c>
      <c r="E5" s="7" t="s">
        <v>33</v>
      </c>
    </row>
    <row r="6" spans="1:5" ht="45" customHeight="1">
      <c r="A6" s="8" t="s">
        <v>108</v>
      </c>
      <c r="B6" s="8" t="s">
        <v>109</v>
      </c>
      <c r="C6" s="8" t="s">
        <v>110</v>
      </c>
      <c r="D6" s="8" t="s">
        <v>111</v>
      </c>
      <c r="E6" s="8" t="s">
        <v>112</v>
      </c>
    </row>
    <row r="7" spans="1:5" ht="45" customHeight="1">
      <c r="A7" s="10" t="s">
        <v>113</v>
      </c>
      <c r="B7" s="10" t="s">
        <v>114</v>
      </c>
      <c r="C7" s="10" t="s">
        <v>115</v>
      </c>
      <c r="D7" s="10" t="s">
        <v>116</v>
      </c>
      <c r="E7" s="11" t="s">
        <v>117</v>
      </c>
    </row>
    <row r="8" spans="1:5" ht="45" customHeight="1">
      <c r="A8" s="8" t="s">
        <v>118</v>
      </c>
      <c r="B8" s="8" t="s">
        <v>119</v>
      </c>
      <c r="C8" s="8" t="s">
        <v>120</v>
      </c>
      <c r="D8" s="8" t="s">
        <v>121</v>
      </c>
      <c r="E8" s="9" t="s">
        <v>122</v>
      </c>
    </row>
    <row r="9" spans="1:5" ht="45" customHeight="1">
      <c r="A9" s="10" t="s">
        <v>123</v>
      </c>
      <c r="B9" s="10" t="s">
        <v>124</v>
      </c>
      <c r="C9" s="10" t="s">
        <v>125</v>
      </c>
      <c r="D9" s="10" t="s">
        <v>126</v>
      </c>
      <c r="E9" s="11" t="s">
        <v>127</v>
      </c>
    </row>
    <row r="10" spans="1:5" ht="45" customHeight="1">
      <c r="A10" s="8" t="s">
        <v>128</v>
      </c>
      <c r="B10" s="8" t="s">
        <v>129</v>
      </c>
      <c r="C10" s="8" t="s">
        <v>130</v>
      </c>
      <c r="D10" s="8" t="s">
        <v>131</v>
      </c>
      <c r="E10" s="9" t="s">
        <v>132</v>
      </c>
    </row>
    <row r="11" spans="1:5" ht="45" customHeight="1">
      <c r="A11" s="10" t="s">
        <v>133</v>
      </c>
      <c r="B11" s="10" t="s">
        <v>134</v>
      </c>
      <c r="C11" s="10" t="s">
        <v>135</v>
      </c>
      <c r="D11" s="10" t="s">
        <v>136</v>
      </c>
      <c r="E11" s="11" t="s">
        <v>137</v>
      </c>
    </row>
    <row r="12" spans="1:5" ht="45" customHeight="1">
      <c r="A12" s="8" t="s">
        <v>138</v>
      </c>
      <c r="B12" s="8" t="s">
        <v>139</v>
      </c>
      <c r="C12" s="8" t="s">
        <v>140</v>
      </c>
      <c r="D12" s="8" t="s">
        <v>141</v>
      </c>
      <c r="E12" s="9" t="s">
        <v>142</v>
      </c>
    </row>
    <row r="13" spans="1:5" ht="45" customHeight="1">
      <c r="A13" s="10" t="s">
        <v>143</v>
      </c>
      <c r="B13" s="10" t="s">
        <v>144</v>
      </c>
      <c r="C13" s="10" t="s">
        <v>145</v>
      </c>
      <c r="D13" s="10" t="s">
        <v>146</v>
      </c>
      <c r="E13" s="11" t="s">
        <v>147</v>
      </c>
    </row>
    <row r="14" spans="1:5" ht="45" customHeight="1">
      <c r="A14" s="8" t="s">
        <v>148</v>
      </c>
      <c r="B14" s="8" t="s">
        <v>149</v>
      </c>
      <c r="C14" s="8" t="s">
        <v>150</v>
      </c>
      <c r="D14" s="8" t="s">
        <v>151</v>
      </c>
      <c r="E14" s="9" t="s">
        <v>152</v>
      </c>
    </row>
    <row r="15" spans="1:5" ht="62" customHeight="1">
      <c r="A15" s="10" t="s">
        <v>153</v>
      </c>
      <c r="B15" s="10" t="s">
        <v>154</v>
      </c>
      <c r="C15" s="10" t="s">
        <v>155</v>
      </c>
      <c r="D15" s="10" t="s">
        <v>156</v>
      </c>
      <c r="E15" s="11" t="s">
        <v>157</v>
      </c>
    </row>
    <row r="16" spans="1:5" ht="45" customHeight="1">
      <c r="A16" s="8" t="s">
        <v>158</v>
      </c>
      <c r="B16" s="8" t="s">
        <v>159</v>
      </c>
      <c r="C16" s="8" t="s">
        <v>160</v>
      </c>
      <c r="D16" s="8" t="s">
        <v>161</v>
      </c>
      <c r="E16" s="9" t="s">
        <v>162</v>
      </c>
    </row>
  </sheetData>
  <autoFilter ref="A5:E16"/>
  <mergeCells count="2">
    <mergeCell ref="A1:E2"/>
    <mergeCell ref="A3:E3"/>
  </mergeCells>
  <hyperlinks>
    <hyperlink ref="E7" location="'90_公式出典'!A40" display="S35 S17"/>
    <hyperlink ref="E8" location="'90_公式出典'!A20" display="S15 S47"/>
    <hyperlink ref="E9" location="'90_公式出典'!A15" display="S10"/>
    <hyperlink ref="E10" location="'90_公式出典'!A14" display="S09 S27"/>
    <hyperlink ref="E11" location="'90_公式出典'!A22" display="S17 S19"/>
    <hyperlink ref="E12" location="'90_公式出典'!A12" display="S07 S48"/>
    <hyperlink ref="E13" location="'90_公式出典'!A52" display="S47"/>
    <hyperlink ref="E14" location="'90_公式出典'!A53" display="S48"/>
    <hyperlink ref="E15" location="'90_公式出典'!A54" display="S49 S50"/>
    <hyperlink ref="E16" location="'90_公式出典'!A56" display="S51 S22"/>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5.xml><?xml version="1.0" encoding="utf-8"?>
<worksheet xmlns="http://schemas.openxmlformats.org/spreadsheetml/2006/main" xmlns:r="http://schemas.openxmlformats.org/officeDocument/2006/relationships">
  <sheetPr>
    <tabColor rgb="FF777777"/>
    <pageSetUpPr fitToPage="1"/>
  </sheetPr>
  <dimension ref="A1:E17"/>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163</v>
      </c>
      <c r="B1" s="5"/>
      <c r="C1" s="5"/>
      <c r="D1" s="5"/>
      <c r="E1" s="5"/>
    </row>
    <row r="2" spans="1:5" ht="26" customHeight="1">
      <c r="A2" s="5"/>
      <c r="B2" s="5"/>
      <c r="C2" s="5"/>
      <c r="D2" s="5"/>
      <c r="E2" s="5"/>
    </row>
    <row r="3" spans="1:5" ht="48" customHeight="1">
      <c r="A3" s="6" t="s">
        <v>164</v>
      </c>
      <c r="B3" s="6"/>
      <c r="C3" s="6"/>
      <c r="D3" s="6"/>
      <c r="E3" s="6"/>
    </row>
    <row r="4" spans="1:5" ht="12" customHeight="1"/>
    <row r="5" spans="1:5" ht="38" customHeight="1">
      <c r="A5" s="7" t="s">
        <v>29</v>
      </c>
      <c r="B5" s="7" t="s">
        <v>30</v>
      </c>
      <c r="C5" s="7" t="s">
        <v>31</v>
      </c>
      <c r="D5" s="7" t="s">
        <v>32</v>
      </c>
      <c r="E5" s="7" t="s">
        <v>33</v>
      </c>
    </row>
    <row r="6" spans="1:5" ht="45" customHeight="1">
      <c r="A6" s="8" t="s">
        <v>165</v>
      </c>
      <c r="B6" s="8" t="s">
        <v>166</v>
      </c>
      <c r="C6" s="8" t="s">
        <v>167</v>
      </c>
      <c r="D6" s="8" t="s">
        <v>168</v>
      </c>
      <c r="E6" s="9" t="s">
        <v>169</v>
      </c>
    </row>
    <row r="7" spans="1:5" ht="45" customHeight="1">
      <c r="A7" s="10" t="s">
        <v>170</v>
      </c>
      <c r="B7" s="10" t="s">
        <v>171</v>
      </c>
      <c r="C7" s="10" t="s">
        <v>172</v>
      </c>
      <c r="D7" s="10" t="s">
        <v>173</v>
      </c>
      <c r="E7" s="11" t="s">
        <v>174</v>
      </c>
    </row>
    <row r="8" spans="1:5" ht="62" customHeight="1">
      <c r="A8" s="8" t="s">
        <v>175</v>
      </c>
      <c r="B8" s="8" t="s">
        <v>176</v>
      </c>
      <c r="C8" s="8" t="s">
        <v>177</v>
      </c>
      <c r="D8" s="8" t="s">
        <v>178</v>
      </c>
      <c r="E8" s="9" t="s">
        <v>72</v>
      </c>
    </row>
    <row r="9" spans="1:5" ht="45" customHeight="1">
      <c r="A9" s="10" t="s">
        <v>179</v>
      </c>
      <c r="B9" s="10" t="s">
        <v>180</v>
      </c>
      <c r="C9" s="10" t="s">
        <v>181</v>
      </c>
      <c r="D9" s="10" t="s">
        <v>182</v>
      </c>
      <c r="E9" s="11" t="s">
        <v>183</v>
      </c>
    </row>
    <row r="10" spans="1:5" ht="45" customHeight="1">
      <c r="A10" s="8" t="s">
        <v>184</v>
      </c>
      <c r="B10" s="8" t="s">
        <v>185</v>
      </c>
      <c r="C10" s="8" t="s">
        <v>186</v>
      </c>
      <c r="D10" s="8" t="s">
        <v>187</v>
      </c>
      <c r="E10" s="9" t="s">
        <v>188</v>
      </c>
    </row>
    <row r="11" spans="1:5" ht="45" customHeight="1">
      <c r="A11" s="10" t="s">
        <v>189</v>
      </c>
      <c r="B11" s="10" t="s">
        <v>190</v>
      </c>
      <c r="C11" s="10" t="s">
        <v>191</v>
      </c>
      <c r="D11" s="10" t="s">
        <v>192</v>
      </c>
      <c r="E11" s="11" t="s">
        <v>188</v>
      </c>
    </row>
    <row r="12" spans="1:5" ht="45" customHeight="1">
      <c r="A12" s="8" t="s">
        <v>193</v>
      </c>
      <c r="B12" s="8" t="s">
        <v>194</v>
      </c>
      <c r="C12" s="8" t="s">
        <v>195</v>
      </c>
      <c r="D12" s="8" t="s">
        <v>196</v>
      </c>
      <c r="E12" s="9" t="s">
        <v>183</v>
      </c>
    </row>
    <row r="13" spans="1:5" ht="45" customHeight="1">
      <c r="A13" s="10" t="s">
        <v>197</v>
      </c>
      <c r="B13" s="10" t="s">
        <v>198</v>
      </c>
      <c r="C13" s="10" t="s">
        <v>199</v>
      </c>
      <c r="D13" s="10" t="s">
        <v>200</v>
      </c>
      <c r="E13" s="11" t="s">
        <v>188</v>
      </c>
    </row>
    <row r="14" spans="1:5" ht="45" customHeight="1">
      <c r="A14" s="8" t="s">
        <v>201</v>
      </c>
      <c r="B14" s="8" t="s">
        <v>202</v>
      </c>
      <c r="C14" s="8" t="s">
        <v>203</v>
      </c>
      <c r="D14" s="8" t="s">
        <v>204</v>
      </c>
      <c r="E14" s="9" t="s">
        <v>205</v>
      </c>
    </row>
    <row r="15" spans="1:5" ht="62" customHeight="1">
      <c r="A15" s="10" t="s">
        <v>206</v>
      </c>
      <c r="B15" s="10" t="s">
        <v>207</v>
      </c>
      <c r="C15" s="10" t="s">
        <v>208</v>
      </c>
      <c r="D15" s="10" t="s">
        <v>209</v>
      </c>
      <c r="E15" s="11" t="s">
        <v>210</v>
      </c>
    </row>
    <row r="16" spans="1:5" ht="45" customHeight="1">
      <c r="A16" s="8" t="s">
        <v>211</v>
      </c>
      <c r="B16" s="8" t="s">
        <v>212</v>
      </c>
      <c r="C16" s="8" t="s">
        <v>213</v>
      </c>
      <c r="D16" s="8" t="s">
        <v>214</v>
      </c>
      <c r="E16" s="9" t="s">
        <v>215</v>
      </c>
    </row>
    <row r="17" spans="1:5" ht="45" customHeight="1">
      <c r="A17" s="10" t="s">
        <v>216</v>
      </c>
      <c r="B17" s="10" t="s">
        <v>217</v>
      </c>
      <c r="C17" s="10" t="s">
        <v>218</v>
      </c>
      <c r="D17" s="10" t="s">
        <v>219</v>
      </c>
      <c r="E17" s="11" t="s">
        <v>220</v>
      </c>
    </row>
  </sheetData>
  <autoFilter ref="A5:E17"/>
  <mergeCells count="2">
    <mergeCell ref="A1:E2"/>
    <mergeCell ref="A3:E3"/>
  </mergeCells>
  <hyperlinks>
    <hyperlink ref="E6" location="'90_公式出典'!A20" display="S15"/>
    <hyperlink ref="E7" location="'90_公式出典'!A21" display="S16"/>
    <hyperlink ref="E8" location="'90_公式出典'!A10" display="S05 S08"/>
    <hyperlink ref="E9" location="'90_公式出典'!A9" display="S04 S11"/>
    <hyperlink ref="E10" location="'90_公式出典'!A9" display="S04"/>
    <hyperlink ref="E11" location="'90_公式出典'!A9" display="S04"/>
    <hyperlink ref="E12" location="'90_公式出典'!A9" display="S04 S11"/>
    <hyperlink ref="E13" location="'90_公式出典'!A9" display="S04"/>
    <hyperlink ref="E14" location="'90_公式出典'!A13" display="S08 S16"/>
    <hyperlink ref="E15" location="'90_公式出典'!A22" display="S17 S52"/>
    <hyperlink ref="E16" location="'90_公式出典'!A24" display="S19"/>
    <hyperlink ref="E17" location="'90_公式出典'!A44" display="S39 S40"/>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6.xml><?xml version="1.0" encoding="utf-8"?>
<worksheet xmlns="http://schemas.openxmlformats.org/spreadsheetml/2006/main" xmlns:r="http://schemas.openxmlformats.org/officeDocument/2006/relationships">
  <sheetPr>
    <tabColor rgb="FF777777"/>
    <pageSetUpPr fitToPage="1"/>
  </sheetPr>
  <dimension ref="A1:E17"/>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221</v>
      </c>
      <c r="B1" s="5"/>
      <c r="C1" s="5"/>
      <c r="D1" s="5"/>
      <c r="E1" s="5"/>
    </row>
    <row r="2" spans="1:5" ht="26" customHeight="1">
      <c r="A2" s="5"/>
      <c r="B2" s="5"/>
      <c r="C2" s="5"/>
      <c r="D2" s="5"/>
      <c r="E2" s="5"/>
    </row>
    <row r="3" spans="1:5" ht="48" customHeight="1">
      <c r="A3" s="6" t="s">
        <v>222</v>
      </c>
      <c r="B3" s="6"/>
      <c r="C3" s="6"/>
      <c r="D3" s="6"/>
      <c r="E3" s="6"/>
    </row>
    <row r="4" spans="1:5" ht="12" customHeight="1"/>
    <row r="5" spans="1:5" ht="38" customHeight="1">
      <c r="A5" s="7" t="s">
        <v>29</v>
      </c>
      <c r="B5" s="7" t="s">
        <v>30</v>
      </c>
      <c r="C5" s="7" t="s">
        <v>31</v>
      </c>
      <c r="D5" s="7" t="s">
        <v>32</v>
      </c>
      <c r="E5" s="7" t="s">
        <v>33</v>
      </c>
    </row>
    <row r="6" spans="1:5" ht="45" customHeight="1">
      <c r="A6" s="8" t="s">
        <v>223</v>
      </c>
      <c r="B6" s="8" t="s">
        <v>224</v>
      </c>
      <c r="C6" s="8" t="s">
        <v>225</v>
      </c>
      <c r="D6" s="8" t="s">
        <v>226</v>
      </c>
      <c r="E6" s="9" t="s">
        <v>227</v>
      </c>
    </row>
    <row r="7" spans="1:5" ht="45" customHeight="1">
      <c r="A7" s="10" t="s">
        <v>228</v>
      </c>
      <c r="B7" s="10" t="s">
        <v>229</v>
      </c>
      <c r="C7" s="10" t="s">
        <v>230</v>
      </c>
      <c r="D7" s="10" t="s">
        <v>231</v>
      </c>
      <c r="E7" s="11" t="s">
        <v>174</v>
      </c>
    </row>
    <row r="8" spans="1:5" ht="62" customHeight="1">
      <c r="A8" s="8" t="s">
        <v>232</v>
      </c>
      <c r="B8" s="8" t="s">
        <v>233</v>
      </c>
      <c r="C8" s="8" t="s">
        <v>234</v>
      </c>
      <c r="D8" s="8" t="s">
        <v>235</v>
      </c>
      <c r="E8" s="9" t="s">
        <v>236</v>
      </c>
    </row>
    <row r="9" spans="1:5" ht="45" customHeight="1">
      <c r="A9" s="10" t="s">
        <v>237</v>
      </c>
      <c r="B9" s="10" t="s">
        <v>238</v>
      </c>
      <c r="C9" s="10" t="s">
        <v>239</v>
      </c>
      <c r="D9" s="10" t="s">
        <v>240</v>
      </c>
      <c r="E9" s="11" t="s">
        <v>241</v>
      </c>
    </row>
    <row r="10" spans="1:5" ht="45" customHeight="1">
      <c r="A10" s="8" t="s">
        <v>242</v>
      </c>
      <c r="B10" s="8" t="s">
        <v>243</v>
      </c>
      <c r="C10" s="8" t="s">
        <v>244</v>
      </c>
      <c r="D10" s="8" t="s">
        <v>245</v>
      </c>
      <c r="E10" s="9" t="s">
        <v>174</v>
      </c>
    </row>
    <row r="11" spans="1:5" ht="45" customHeight="1">
      <c r="A11" s="10" t="s">
        <v>246</v>
      </c>
      <c r="B11" s="10" t="s">
        <v>247</v>
      </c>
      <c r="C11" s="10" t="s">
        <v>248</v>
      </c>
      <c r="D11" s="10" t="s">
        <v>249</v>
      </c>
      <c r="E11" s="11" t="s">
        <v>250</v>
      </c>
    </row>
    <row r="12" spans="1:5" ht="45" customHeight="1">
      <c r="A12" s="8" t="s">
        <v>251</v>
      </c>
      <c r="B12" s="8" t="s">
        <v>252</v>
      </c>
      <c r="C12" s="8" t="s">
        <v>253</v>
      </c>
      <c r="D12" s="8" t="s">
        <v>254</v>
      </c>
      <c r="E12" s="9" t="s">
        <v>255</v>
      </c>
    </row>
    <row r="13" spans="1:5" ht="45" customHeight="1">
      <c r="A13" s="10" t="s">
        <v>256</v>
      </c>
      <c r="B13" s="10" t="s">
        <v>257</v>
      </c>
      <c r="C13" s="10" t="s">
        <v>258</v>
      </c>
      <c r="D13" s="10" t="s">
        <v>259</v>
      </c>
      <c r="E13" s="10" t="s">
        <v>53</v>
      </c>
    </row>
    <row r="14" spans="1:5" ht="45" customHeight="1">
      <c r="A14" s="8" t="s">
        <v>260</v>
      </c>
      <c r="B14" s="8" t="s">
        <v>261</v>
      </c>
      <c r="C14" s="8" t="s">
        <v>262</v>
      </c>
      <c r="D14" s="8" t="s">
        <v>263</v>
      </c>
      <c r="E14" s="8" t="s">
        <v>53</v>
      </c>
    </row>
    <row r="15" spans="1:5" ht="45" customHeight="1">
      <c r="A15" s="10" t="s">
        <v>264</v>
      </c>
      <c r="B15" s="10" t="s">
        <v>265</v>
      </c>
      <c r="C15" s="10" t="s">
        <v>266</v>
      </c>
      <c r="D15" s="10" t="s">
        <v>267</v>
      </c>
      <c r="E15" s="11" t="s">
        <v>174</v>
      </c>
    </row>
    <row r="16" spans="1:5" ht="45" customHeight="1">
      <c r="A16" s="8" t="s">
        <v>268</v>
      </c>
      <c r="B16" s="8" t="s">
        <v>269</v>
      </c>
      <c r="C16" s="8" t="s">
        <v>270</v>
      </c>
      <c r="D16" s="8" t="s">
        <v>271</v>
      </c>
      <c r="E16" s="9" t="s">
        <v>174</v>
      </c>
    </row>
    <row r="17" spans="1:5" ht="45" customHeight="1">
      <c r="A17" s="10" t="s">
        <v>272</v>
      </c>
      <c r="B17" s="10" t="s">
        <v>273</v>
      </c>
      <c r="C17" s="10" t="s">
        <v>274</v>
      </c>
      <c r="D17" s="10" t="s">
        <v>275</v>
      </c>
      <c r="E17" s="10" t="s">
        <v>53</v>
      </c>
    </row>
  </sheetData>
  <autoFilter ref="A5:E17"/>
  <mergeCells count="2">
    <mergeCell ref="A1:E2"/>
    <mergeCell ref="A3:E3"/>
  </mergeCells>
  <hyperlinks>
    <hyperlink ref="E6" location="'90_公式出典'!A36" display="S31 S33 S34"/>
    <hyperlink ref="E7" location="'90_公式出典'!A21" display="S16"/>
    <hyperlink ref="E8" location="'90_公式出典'!A21" display="S16 設計提案"/>
    <hyperlink ref="E9" location="'90_公式出典'!A21" display="S16 S44"/>
    <hyperlink ref="E10" location="'90_公式出典'!A21" display="S16"/>
    <hyperlink ref="E11" location="'90_公式出典'!A9" display="S04 S08"/>
    <hyperlink ref="E12" location="'90_公式出典'!A36" display="S31 設計提案"/>
    <hyperlink ref="E15" location="'90_公式出典'!A21" display="S16"/>
    <hyperlink ref="E16" location="'90_公式出典'!A21" display="S16"/>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7.xml><?xml version="1.0" encoding="utf-8"?>
<worksheet xmlns="http://schemas.openxmlformats.org/spreadsheetml/2006/main" xmlns:r="http://schemas.openxmlformats.org/officeDocument/2006/relationships">
  <sheetPr>
    <tabColor rgb="FF777777"/>
    <pageSetUpPr fitToPage="1"/>
  </sheetPr>
  <dimension ref="A1:E15"/>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276</v>
      </c>
      <c r="B1" s="5"/>
      <c r="C1" s="5"/>
      <c r="D1" s="5"/>
      <c r="E1" s="5"/>
    </row>
    <row r="2" spans="1:5" ht="26" customHeight="1">
      <c r="A2" s="5"/>
      <c r="B2" s="5"/>
      <c r="C2" s="5"/>
      <c r="D2" s="5"/>
      <c r="E2" s="5"/>
    </row>
    <row r="3" spans="1:5" ht="48" customHeight="1">
      <c r="A3" s="6" t="s">
        <v>277</v>
      </c>
      <c r="B3" s="6"/>
      <c r="C3" s="6"/>
      <c r="D3" s="6"/>
      <c r="E3" s="6"/>
    </row>
    <row r="4" spans="1:5" ht="12" customHeight="1"/>
    <row r="5" spans="1:5" ht="38" customHeight="1">
      <c r="A5" s="7" t="s">
        <v>29</v>
      </c>
      <c r="B5" s="7" t="s">
        <v>30</v>
      </c>
      <c r="C5" s="7" t="s">
        <v>31</v>
      </c>
      <c r="D5" s="7" t="s">
        <v>32</v>
      </c>
      <c r="E5" s="7" t="s">
        <v>33</v>
      </c>
    </row>
    <row r="6" spans="1:5" ht="45" customHeight="1">
      <c r="A6" s="8" t="s">
        <v>278</v>
      </c>
      <c r="B6" s="8" t="s">
        <v>279</v>
      </c>
      <c r="C6" s="8" t="s">
        <v>280</v>
      </c>
      <c r="D6" s="8" t="s">
        <v>281</v>
      </c>
      <c r="E6" s="9" t="s">
        <v>282</v>
      </c>
    </row>
    <row r="7" spans="1:5" ht="45" customHeight="1">
      <c r="A7" s="10" t="s">
        <v>283</v>
      </c>
      <c r="B7" s="10" t="s">
        <v>284</v>
      </c>
      <c r="C7" s="10" t="s">
        <v>285</v>
      </c>
      <c r="D7" s="10" t="s">
        <v>286</v>
      </c>
      <c r="E7" s="10" t="s">
        <v>53</v>
      </c>
    </row>
    <row r="8" spans="1:5" ht="45" customHeight="1">
      <c r="A8" s="8" t="s">
        <v>287</v>
      </c>
      <c r="B8" s="8" t="s">
        <v>288</v>
      </c>
      <c r="C8" s="8" t="s">
        <v>289</v>
      </c>
      <c r="D8" s="8" t="s">
        <v>290</v>
      </c>
      <c r="E8" s="9" t="s">
        <v>291</v>
      </c>
    </row>
    <row r="9" spans="1:5" ht="45" customHeight="1">
      <c r="A9" s="10" t="s">
        <v>292</v>
      </c>
      <c r="B9" s="10" t="s">
        <v>293</v>
      </c>
      <c r="C9" s="10" t="s">
        <v>294</v>
      </c>
      <c r="D9" s="10" t="s">
        <v>295</v>
      </c>
      <c r="E9" s="10" t="s">
        <v>53</v>
      </c>
    </row>
    <row r="10" spans="1:5" ht="45" customHeight="1">
      <c r="A10" s="8" t="s">
        <v>296</v>
      </c>
      <c r="B10" s="8" t="s">
        <v>297</v>
      </c>
      <c r="C10" s="8" t="s">
        <v>298</v>
      </c>
      <c r="D10" s="8" t="s">
        <v>299</v>
      </c>
      <c r="E10" s="9" t="s">
        <v>291</v>
      </c>
    </row>
    <row r="11" spans="1:5" ht="45" customHeight="1">
      <c r="A11" s="10" t="s">
        <v>300</v>
      </c>
      <c r="B11" s="10" t="s">
        <v>301</v>
      </c>
      <c r="C11" s="10" t="s">
        <v>302</v>
      </c>
      <c r="D11" s="10" t="s">
        <v>303</v>
      </c>
      <c r="E11" s="10" t="s">
        <v>53</v>
      </c>
    </row>
    <row r="12" spans="1:5" ht="45" customHeight="1">
      <c r="A12" s="8" t="s">
        <v>304</v>
      </c>
      <c r="B12" s="8" t="s">
        <v>305</v>
      </c>
      <c r="C12" s="8" t="s">
        <v>306</v>
      </c>
      <c r="D12" s="8" t="s">
        <v>307</v>
      </c>
      <c r="E12" s="9" t="s">
        <v>308</v>
      </c>
    </row>
    <row r="13" spans="1:5" ht="45" customHeight="1">
      <c r="A13" s="10" t="s">
        <v>309</v>
      </c>
      <c r="B13" s="10" t="s">
        <v>310</v>
      </c>
      <c r="C13" s="10" t="s">
        <v>311</v>
      </c>
      <c r="D13" s="10" t="s">
        <v>312</v>
      </c>
      <c r="E13" s="11" t="s">
        <v>313</v>
      </c>
    </row>
    <row r="14" spans="1:5" ht="45" customHeight="1">
      <c r="A14" s="8" t="s">
        <v>314</v>
      </c>
      <c r="B14" s="8" t="s">
        <v>315</v>
      </c>
      <c r="C14" s="8" t="s">
        <v>316</v>
      </c>
      <c r="D14" s="8" t="s">
        <v>317</v>
      </c>
      <c r="E14" s="9" t="s">
        <v>318</v>
      </c>
    </row>
    <row r="15" spans="1:5" ht="45" customHeight="1">
      <c r="A15" s="10" t="s">
        <v>319</v>
      </c>
      <c r="B15" s="10" t="s">
        <v>320</v>
      </c>
      <c r="C15" s="10" t="s">
        <v>321</v>
      </c>
      <c r="D15" s="10" t="s">
        <v>322</v>
      </c>
      <c r="E15" s="11" t="s">
        <v>323</v>
      </c>
    </row>
  </sheetData>
  <autoFilter ref="A5:E15"/>
  <mergeCells count="2">
    <mergeCell ref="A1:E2"/>
    <mergeCell ref="A3:E3"/>
  </mergeCells>
  <hyperlinks>
    <hyperlink ref="E6" location="'90_公式出典'!A36" display="S31 S32"/>
    <hyperlink ref="E8" location="'90_公式出典'!A36" display="S31"/>
    <hyperlink ref="E10" location="'90_公式出典'!A36" display="S31"/>
    <hyperlink ref="E12" location="'90_公式出典'!A36" display="S31 S34"/>
    <hyperlink ref="E13" location="'90_公式出典'!A10" display="S05 S33"/>
    <hyperlink ref="E14" location="'90_公式出典'!A38" display="S33"/>
    <hyperlink ref="E15" location="'90_公式出典'!A39" display="S34"/>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8.xml><?xml version="1.0" encoding="utf-8"?>
<worksheet xmlns="http://schemas.openxmlformats.org/spreadsheetml/2006/main" xmlns:r="http://schemas.openxmlformats.org/officeDocument/2006/relationships">
  <sheetPr>
    <tabColor rgb="FF777777"/>
    <pageSetUpPr fitToPage="1"/>
  </sheetPr>
  <dimension ref="A1:F36"/>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1.7109375" customWidth="1"/>
    <col min="2" max="2" width="35.7109375" customWidth="1"/>
    <col min="3" max="3" width="45.7109375" customWidth="1"/>
    <col min="4" max="4" width="44.7109375" customWidth="1"/>
    <col min="5" max="5" width="80.7109375" customWidth="1"/>
    <col min="6" max="6" width="21.7109375" customWidth="1"/>
  </cols>
  <sheetData>
    <row r="1" spans="1:6" ht="26" customHeight="1">
      <c r="A1" s="5" t="s">
        <v>324</v>
      </c>
      <c r="B1" s="5"/>
      <c r="C1" s="5"/>
      <c r="D1" s="5"/>
      <c r="E1" s="5"/>
      <c r="F1" s="5"/>
    </row>
    <row r="2" spans="1:6" ht="26" customHeight="1">
      <c r="A2" s="5"/>
      <c r="B2" s="5"/>
      <c r="C2" s="5"/>
      <c r="D2" s="5"/>
      <c r="E2" s="5"/>
      <c r="F2" s="5"/>
    </row>
    <row r="3" spans="1:6" ht="48" customHeight="1">
      <c r="A3" s="6" t="s">
        <v>325</v>
      </c>
      <c r="B3" s="6"/>
      <c r="C3" s="6"/>
      <c r="D3" s="6"/>
      <c r="E3" s="6"/>
      <c r="F3" s="6"/>
    </row>
    <row r="4" spans="1:6" ht="12" customHeight="1"/>
    <row r="5" spans="1:6" ht="38" customHeight="1">
      <c r="A5" s="7" t="s">
        <v>326</v>
      </c>
      <c r="B5" s="7" t="s">
        <v>327</v>
      </c>
      <c r="C5" s="7" t="s">
        <v>328</v>
      </c>
      <c r="D5" s="7" t="s">
        <v>329</v>
      </c>
      <c r="E5" s="7" t="s">
        <v>330</v>
      </c>
      <c r="F5" s="7" t="s">
        <v>33</v>
      </c>
    </row>
    <row r="6" spans="1:6" ht="45" customHeight="1">
      <c r="A6" s="8" t="s">
        <v>331</v>
      </c>
      <c r="B6" s="8" t="s">
        <v>332</v>
      </c>
      <c r="C6" s="8" t="s">
        <v>333</v>
      </c>
      <c r="D6" s="8" t="s">
        <v>334</v>
      </c>
      <c r="E6" s="8" t="s">
        <v>335</v>
      </c>
      <c r="F6" s="9" t="s">
        <v>336</v>
      </c>
    </row>
    <row r="7" spans="1:6" ht="34" customHeight="1">
      <c r="A7" s="10" t="s">
        <v>331</v>
      </c>
      <c r="B7" s="10" t="s">
        <v>337</v>
      </c>
      <c r="C7" s="10" t="s">
        <v>338</v>
      </c>
      <c r="D7" s="10" t="s">
        <v>339</v>
      </c>
      <c r="E7" s="10" t="s">
        <v>340</v>
      </c>
      <c r="F7" s="11" t="s">
        <v>341</v>
      </c>
    </row>
    <row r="8" spans="1:6" ht="45" customHeight="1">
      <c r="A8" s="8" t="s">
        <v>331</v>
      </c>
      <c r="B8" s="8" t="s">
        <v>342</v>
      </c>
      <c r="C8" s="8" t="s">
        <v>343</v>
      </c>
      <c r="D8" s="8" t="s">
        <v>344</v>
      </c>
      <c r="E8" s="8" t="s">
        <v>345</v>
      </c>
      <c r="F8" s="9" t="s">
        <v>346</v>
      </c>
    </row>
    <row r="9" spans="1:6" ht="45" customHeight="1">
      <c r="A9" s="10" t="s">
        <v>347</v>
      </c>
      <c r="B9" s="10" t="s">
        <v>348</v>
      </c>
      <c r="C9" s="10" t="s">
        <v>349</v>
      </c>
      <c r="D9" s="10" t="s">
        <v>350</v>
      </c>
      <c r="E9" s="10" t="s">
        <v>351</v>
      </c>
      <c r="F9" s="11" t="s">
        <v>352</v>
      </c>
    </row>
    <row r="10" spans="1:6" ht="45" customHeight="1">
      <c r="A10" s="8" t="s">
        <v>347</v>
      </c>
      <c r="B10" s="8" t="s">
        <v>353</v>
      </c>
      <c r="C10" s="8" t="s">
        <v>354</v>
      </c>
      <c r="D10" s="8" t="s">
        <v>355</v>
      </c>
      <c r="E10" s="8" t="s">
        <v>356</v>
      </c>
      <c r="F10" s="9" t="s">
        <v>72</v>
      </c>
    </row>
    <row r="11" spans="1:6" ht="45" customHeight="1">
      <c r="A11" s="10" t="s">
        <v>347</v>
      </c>
      <c r="B11" s="10" t="s">
        <v>357</v>
      </c>
      <c r="C11" s="10" t="s">
        <v>358</v>
      </c>
      <c r="D11" s="10" t="s">
        <v>359</v>
      </c>
      <c r="E11" s="10" t="s">
        <v>360</v>
      </c>
      <c r="F11" s="11" t="s">
        <v>361</v>
      </c>
    </row>
    <row r="12" spans="1:6" ht="45" customHeight="1">
      <c r="A12" s="8" t="s">
        <v>362</v>
      </c>
      <c r="B12" s="8" t="s">
        <v>363</v>
      </c>
      <c r="C12" s="8" t="s">
        <v>364</v>
      </c>
      <c r="D12" s="8" t="s">
        <v>365</v>
      </c>
      <c r="E12" s="8" t="s">
        <v>366</v>
      </c>
      <c r="F12" s="9" t="s">
        <v>361</v>
      </c>
    </row>
    <row r="13" spans="1:6" ht="45" customHeight="1">
      <c r="A13" s="10" t="s">
        <v>362</v>
      </c>
      <c r="B13" s="10" t="s">
        <v>367</v>
      </c>
      <c r="C13" s="10" t="s">
        <v>368</v>
      </c>
      <c r="D13" s="10" t="s">
        <v>369</v>
      </c>
      <c r="E13" s="10" t="s">
        <v>370</v>
      </c>
      <c r="F13" s="11" t="s">
        <v>361</v>
      </c>
    </row>
    <row r="14" spans="1:6" ht="45" customHeight="1">
      <c r="A14" s="8" t="s">
        <v>362</v>
      </c>
      <c r="B14" s="8" t="s">
        <v>371</v>
      </c>
      <c r="C14" s="8" t="s">
        <v>372</v>
      </c>
      <c r="D14" s="8" t="s">
        <v>373</v>
      </c>
      <c r="E14" s="8" t="s">
        <v>374</v>
      </c>
      <c r="F14" s="9" t="s">
        <v>375</v>
      </c>
    </row>
    <row r="15" spans="1:6" ht="45" customHeight="1">
      <c r="A15" s="10" t="s">
        <v>362</v>
      </c>
      <c r="B15" s="10" t="s">
        <v>376</v>
      </c>
      <c r="C15" s="10" t="s">
        <v>377</v>
      </c>
      <c r="D15" s="10" t="s">
        <v>378</v>
      </c>
      <c r="E15" s="10" t="s">
        <v>379</v>
      </c>
      <c r="F15" s="11" t="s">
        <v>380</v>
      </c>
    </row>
    <row r="16" spans="1:6" ht="45" customHeight="1">
      <c r="A16" s="8" t="s">
        <v>381</v>
      </c>
      <c r="B16" s="8" t="s">
        <v>382</v>
      </c>
      <c r="C16" s="8" t="s">
        <v>383</v>
      </c>
      <c r="D16" s="8" t="s">
        <v>383</v>
      </c>
      <c r="E16" s="8" t="s">
        <v>384</v>
      </c>
      <c r="F16" s="9" t="s">
        <v>336</v>
      </c>
    </row>
    <row r="17" spans="1:6" ht="45" customHeight="1">
      <c r="A17" s="10" t="s">
        <v>381</v>
      </c>
      <c r="B17" s="10" t="s">
        <v>385</v>
      </c>
      <c r="C17" s="10" t="s">
        <v>386</v>
      </c>
      <c r="D17" s="10" t="s">
        <v>387</v>
      </c>
      <c r="E17" s="10" t="s">
        <v>388</v>
      </c>
      <c r="F17" s="11" t="s">
        <v>389</v>
      </c>
    </row>
    <row r="18" spans="1:6" ht="45" customHeight="1">
      <c r="A18" s="8" t="s">
        <v>381</v>
      </c>
      <c r="B18" s="8" t="s">
        <v>390</v>
      </c>
      <c r="C18" s="8" t="s">
        <v>391</v>
      </c>
      <c r="D18" s="8" t="s">
        <v>392</v>
      </c>
      <c r="E18" s="8" t="s">
        <v>393</v>
      </c>
      <c r="F18" s="9" t="s">
        <v>394</v>
      </c>
    </row>
    <row r="19" spans="1:6" ht="45" customHeight="1">
      <c r="A19" s="10" t="s">
        <v>381</v>
      </c>
      <c r="B19" s="10" t="s">
        <v>395</v>
      </c>
      <c r="C19" s="10" t="s">
        <v>396</v>
      </c>
      <c r="D19" s="10" t="s">
        <v>397</v>
      </c>
      <c r="E19" s="10" t="s">
        <v>398</v>
      </c>
      <c r="F19" s="11" t="s">
        <v>399</v>
      </c>
    </row>
    <row r="20" spans="1:6" ht="45" customHeight="1">
      <c r="A20" s="8" t="s">
        <v>381</v>
      </c>
      <c r="B20" s="8" t="s">
        <v>400</v>
      </c>
      <c r="C20" s="8" t="s">
        <v>401</v>
      </c>
      <c r="D20" s="8" t="s">
        <v>402</v>
      </c>
      <c r="E20" s="8" t="s">
        <v>403</v>
      </c>
      <c r="F20" s="9" t="s">
        <v>404</v>
      </c>
    </row>
    <row r="21" spans="1:6" ht="45" customHeight="1">
      <c r="A21" s="10" t="s">
        <v>381</v>
      </c>
      <c r="B21" s="10" t="s">
        <v>405</v>
      </c>
      <c r="C21" s="10" t="s">
        <v>406</v>
      </c>
      <c r="D21" s="10" t="s">
        <v>407</v>
      </c>
      <c r="E21" s="10" t="s">
        <v>408</v>
      </c>
      <c r="F21" s="11" t="s">
        <v>336</v>
      </c>
    </row>
    <row r="22" spans="1:6" ht="45" customHeight="1">
      <c r="A22" s="8" t="s">
        <v>409</v>
      </c>
      <c r="B22" s="8" t="s">
        <v>410</v>
      </c>
      <c r="C22" s="8" t="s">
        <v>411</v>
      </c>
      <c r="D22" s="8" t="s">
        <v>412</v>
      </c>
      <c r="E22" s="8" t="s">
        <v>413</v>
      </c>
      <c r="F22" s="9" t="s">
        <v>414</v>
      </c>
    </row>
    <row r="23" spans="1:6" ht="45" customHeight="1">
      <c r="A23" s="10" t="s">
        <v>409</v>
      </c>
      <c r="B23" s="10" t="s">
        <v>415</v>
      </c>
      <c r="C23" s="10" t="s">
        <v>416</v>
      </c>
      <c r="D23" s="10" t="s">
        <v>417</v>
      </c>
      <c r="E23" s="10" t="s">
        <v>418</v>
      </c>
      <c r="F23" s="11" t="s">
        <v>419</v>
      </c>
    </row>
    <row r="24" spans="1:6" ht="45" customHeight="1">
      <c r="A24" s="8" t="s">
        <v>409</v>
      </c>
      <c r="B24" s="8" t="s">
        <v>420</v>
      </c>
      <c r="C24" s="8" t="s">
        <v>421</v>
      </c>
      <c r="D24" s="8" t="s">
        <v>422</v>
      </c>
      <c r="E24" s="8" t="s">
        <v>423</v>
      </c>
      <c r="F24" s="9" t="s">
        <v>72</v>
      </c>
    </row>
    <row r="25" spans="1:6" ht="45" customHeight="1">
      <c r="A25" s="10" t="s">
        <v>409</v>
      </c>
      <c r="B25" s="10" t="s">
        <v>424</v>
      </c>
      <c r="C25" s="10" t="s">
        <v>425</v>
      </c>
      <c r="D25" s="10" t="s">
        <v>426</v>
      </c>
      <c r="E25" s="10" t="s">
        <v>427</v>
      </c>
      <c r="F25" s="11" t="s">
        <v>394</v>
      </c>
    </row>
    <row r="26" spans="1:6" ht="45" customHeight="1">
      <c r="A26" s="8" t="s">
        <v>428</v>
      </c>
      <c r="B26" s="8" t="s">
        <v>429</v>
      </c>
      <c r="C26" s="8" t="s">
        <v>430</v>
      </c>
      <c r="D26" s="8" t="s">
        <v>431</v>
      </c>
      <c r="E26" s="8" t="s">
        <v>432</v>
      </c>
      <c r="F26" s="9" t="s">
        <v>341</v>
      </c>
    </row>
    <row r="27" spans="1:6" ht="45" customHeight="1">
      <c r="A27" s="10" t="s">
        <v>428</v>
      </c>
      <c r="B27" s="10" t="s">
        <v>433</v>
      </c>
      <c r="C27" s="10" t="s">
        <v>430</v>
      </c>
      <c r="D27" s="10" t="s">
        <v>431</v>
      </c>
      <c r="E27" s="10" t="s">
        <v>434</v>
      </c>
      <c r="F27" s="11" t="s">
        <v>341</v>
      </c>
    </row>
    <row r="28" spans="1:6" ht="34" customHeight="1">
      <c r="A28" s="8" t="s">
        <v>428</v>
      </c>
      <c r="B28" s="8" t="s">
        <v>435</v>
      </c>
      <c r="C28" s="8" t="s">
        <v>436</v>
      </c>
      <c r="D28" s="8" t="s">
        <v>437</v>
      </c>
      <c r="E28" s="8" t="s">
        <v>438</v>
      </c>
      <c r="F28" s="9" t="s">
        <v>183</v>
      </c>
    </row>
    <row r="29" spans="1:6" ht="45" customHeight="1">
      <c r="A29" s="10" t="s">
        <v>428</v>
      </c>
      <c r="B29" s="10" t="s">
        <v>439</v>
      </c>
      <c r="C29" s="10" t="s">
        <v>440</v>
      </c>
      <c r="D29" s="10" t="s">
        <v>441</v>
      </c>
      <c r="E29" s="10" t="s">
        <v>442</v>
      </c>
      <c r="F29" s="11" t="s">
        <v>443</v>
      </c>
    </row>
    <row r="30" spans="1:6" ht="45" customHeight="1">
      <c r="A30" s="8" t="s">
        <v>428</v>
      </c>
      <c r="B30" s="8" t="s">
        <v>444</v>
      </c>
      <c r="C30" s="8" t="s">
        <v>440</v>
      </c>
      <c r="D30" s="8" t="s">
        <v>445</v>
      </c>
      <c r="E30" s="8" t="s">
        <v>446</v>
      </c>
      <c r="F30" s="9" t="s">
        <v>447</v>
      </c>
    </row>
    <row r="31" spans="1:6" ht="45" customHeight="1">
      <c r="A31" s="10" t="s">
        <v>409</v>
      </c>
      <c r="B31" s="10" t="s">
        <v>448</v>
      </c>
      <c r="C31" s="10" t="s">
        <v>449</v>
      </c>
      <c r="D31" s="10" t="s">
        <v>450</v>
      </c>
      <c r="E31" s="10" t="s">
        <v>451</v>
      </c>
      <c r="F31" s="11" t="s">
        <v>419</v>
      </c>
    </row>
    <row r="32" spans="1:6" ht="45" customHeight="1">
      <c r="A32" s="8" t="s">
        <v>452</v>
      </c>
      <c r="B32" s="8" t="s">
        <v>453</v>
      </c>
      <c r="C32" s="8" t="s">
        <v>454</v>
      </c>
      <c r="D32" s="8" t="s">
        <v>455</v>
      </c>
      <c r="E32" s="8" t="s">
        <v>456</v>
      </c>
      <c r="F32" s="9" t="s">
        <v>336</v>
      </c>
    </row>
    <row r="33" spans="1:6" ht="45" customHeight="1">
      <c r="A33" s="10" t="s">
        <v>452</v>
      </c>
      <c r="B33" s="10" t="s">
        <v>457</v>
      </c>
      <c r="C33" s="10" t="s">
        <v>458</v>
      </c>
      <c r="D33" s="10" t="s">
        <v>459</v>
      </c>
      <c r="E33" s="10" t="s">
        <v>460</v>
      </c>
      <c r="F33" s="11" t="s">
        <v>341</v>
      </c>
    </row>
    <row r="34" spans="1:6" ht="45" customHeight="1">
      <c r="A34" s="8" t="s">
        <v>461</v>
      </c>
      <c r="B34" s="8" t="s">
        <v>462</v>
      </c>
      <c r="C34" s="8" t="s">
        <v>463</v>
      </c>
      <c r="D34" s="8" t="s">
        <v>464</v>
      </c>
      <c r="E34" s="8" t="s">
        <v>465</v>
      </c>
      <c r="F34" s="9" t="s">
        <v>466</v>
      </c>
    </row>
    <row r="35" spans="1:6" ht="45" customHeight="1">
      <c r="A35" s="10" t="s">
        <v>461</v>
      </c>
      <c r="B35" s="10" t="s">
        <v>467</v>
      </c>
      <c r="C35" s="10" t="s">
        <v>468</v>
      </c>
      <c r="D35" s="10" t="s">
        <v>469</v>
      </c>
      <c r="E35" s="10" t="s">
        <v>470</v>
      </c>
      <c r="F35" s="11" t="s">
        <v>466</v>
      </c>
    </row>
    <row r="36" spans="1:6" ht="45" customHeight="1">
      <c r="A36" s="8" t="s">
        <v>471</v>
      </c>
      <c r="B36" s="8" t="s">
        <v>472</v>
      </c>
      <c r="C36" s="8" t="s">
        <v>473</v>
      </c>
      <c r="D36" s="8" t="s">
        <v>474</v>
      </c>
      <c r="E36" s="8" t="s">
        <v>475</v>
      </c>
      <c r="F36" s="9" t="s">
        <v>419</v>
      </c>
    </row>
  </sheetData>
  <autoFilter ref="A5:F36"/>
  <mergeCells count="2">
    <mergeCell ref="A1:F2"/>
    <mergeCell ref="A3:F3"/>
  </mergeCells>
  <hyperlinks>
    <hyperlink ref="F6" location="'90_公式出典'!A10" display="S05 S13"/>
    <hyperlink ref="F7" location="'90_公式出典'!A18" display="S13"/>
    <hyperlink ref="F8" location="'90_公式出典'!A10" display="S05 S07"/>
    <hyperlink ref="F9" location="'90_公式出典'!A17" display="S12"/>
    <hyperlink ref="F10" location="'90_公式出典'!A10" display="S05 S08"/>
    <hyperlink ref="F11" location="'90_公式出典'!A11" display="S06 S07"/>
    <hyperlink ref="F12" location="'90_公式出典'!A11" display="S06 S07"/>
    <hyperlink ref="F13" location="'90_公式出典'!A11" display="S06 S07"/>
    <hyperlink ref="F14" location="'90_公式出典'!A10" display="S05 S09"/>
    <hyperlink ref="F15" location="'90_公式出典'!A10" display="S05 S06"/>
    <hyperlink ref="F16" location="'90_公式出典'!A10" display="S05 S13"/>
    <hyperlink ref="F17" location="'90_公式出典'!A19" display="S14"/>
    <hyperlink ref="F18" location="'90_公式出典'!A10" display="S05"/>
    <hyperlink ref="F19" location="'90_公式出典'!A19" display="S14 S22"/>
    <hyperlink ref="F20" location="'90_公式出典'!A10" display="S05 S14"/>
    <hyperlink ref="F21" location="'90_公式出典'!A10" display="S05 S13"/>
    <hyperlink ref="F22" location="'90_公式出典'!A10" display="S05 S13 S30"/>
    <hyperlink ref="F23" location="'90_公式出典'!A13" display="S08"/>
    <hyperlink ref="F24" location="'90_公式出典'!A10" display="S05 S08"/>
    <hyperlink ref="F25" location="'90_公式出典'!A10" display="S05"/>
    <hyperlink ref="F26" location="'90_公式出典'!A18" display="S13"/>
    <hyperlink ref="F27" location="'90_公式出典'!A18" display="S13"/>
    <hyperlink ref="F28" location="'90_公式出典'!A9" display="S04 S11"/>
    <hyperlink ref="F29" location="'90_公式出典'!A16" display="S11 S52"/>
    <hyperlink ref="F30" location="'90_公式出典'!A16" display="S11 S12"/>
    <hyperlink ref="F31" location="'90_公式出典'!A13" display="S08"/>
    <hyperlink ref="F32" location="'90_公式出典'!A10" display="S05 S13"/>
    <hyperlink ref="F33" location="'90_公式出典'!A18" display="S13"/>
    <hyperlink ref="F34" location="'90_公式出典'!A12" display="S07"/>
    <hyperlink ref="F35" location="'90_公式出典'!A12" display="S07"/>
    <hyperlink ref="F36" location="'90_公式出典'!A13" display="S08"/>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9.xml><?xml version="1.0" encoding="utf-8"?>
<worksheet xmlns="http://schemas.openxmlformats.org/spreadsheetml/2006/main" xmlns:r="http://schemas.openxmlformats.org/officeDocument/2006/relationships">
  <sheetPr>
    <tabColor rgb="FF777777"/>
    <pageSetUpPr fitToPage="1"/>
  </sheetPr>
  <dimension ref="A1:E17"/>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476</v>
      </c>
      <c r="B1" s="5"/>
      <c r="C1" s="5"/>
      <c r="D1" s="5"/>
      <c r="E1" s="5"/>
    </row>
    <row r="2" spans="1:5" ht="26" customHeight="1">
      <c r="A2" s="5"/>
      <c r="B2" s="5"/>
      <c r="C2" s="5"/>
      <c r="D2" s="5"/>
      <c r="E2" s="5"/>
    </row>
    <row r="3" spans="1:5" ht="48" customHeight="1">
      <c r="A3" s="6" t="s">
        <v>477</v>
      </c>
      <c r="B3" s="6"/>
      <c r="C3" s="6"/>
      <c r="D3" s="6"/>
      <c r="E3" s="6"/>
    </row>
    <row r="4" spans="1:5" ht="12" customHeight="1"/>
    <row r="5" spans="1:5" ht="38" customHeight="1">
      <c r="A5" s="7" t="s">
        <v>29</v>
      </c>
      <c r="B5" s="7" t="s">
        <v>30</v>
      </c>
      <c r="C5" s="7" t="s">
        <v>31</v>
      </c>
      <c r="D5" s="7" t="s">
        <v>32</v>
      </c>
      <c r="E5" s="7" t="s">
        <v>33</v>
      </c>
    </row>
    <row r="6" spans="1:5" ht="45" customHeight="1">
      <c r="A6" s="8" t="s">
        <v>478</v>
      </c>
      <c r="B6" s="8" t="s">
        <v>479</v>
      </c>
      <c r="C6" s="8" t="s">
        <v>480</v>
      </c>
      <c r="D6" s="8" t="s">
        <v>481</v>
      </c>
      <c r="E6" s="9" t="s">
        <v>482</v>
      </c>
    </row>
    <row r="7" spans="1:5" ht="45" customHeight="1">
      <c r="A7" s="10" t="s">
        <v>483</v>
      </c>
      <c r="B7" s="10" t="s">
        <v>484</v>
      </c>
      <c r="C7" s="10" t="s">
        <v>485</v>
      </c>
      <c r="D7" s="10" t="s">
        <v>486</v>
      </c>
      <c r="E7" s="10" t="s">
        <v>53</v>
      </c>
    </row>
    <row r="8" spans="1:5" ht="45" customHeight="1">
      <c r="A8" s="8" t="s">
        <v>487</v>
      </c>
      <c r="B8" s="8" t="s">
        <v>488</v>
      </c>
      <c r="C8" s="8" t="s">
        <v>489</v>
      </c>
      <c r="D8" s="8" t="s">
        <v>490</v>
      </c>
      <c r="E8" s="8" t="s">
        <v>53</v>
      </c>
    </row>
    <row r="9" spans="1:5" ht="45" customHeight="1">
      <c r="A9" s="10" t="s">
        <v>491</v>
      </c>
      <c r="B9" s="10" t="s">
        <v>492</v>
      </c>
      <c r="C9" s="10" t="s">
        <v>493</v>
      </c>
      <c r="D9" s="10" t="s">
        <v>494</v>
      </c>
      <c r="E9" s="11" t="s">
        <v>495</v>
      </c>
    </row>
    <row r="10" spans="1:5" ht="45" customHeight="1">
      <c r="A10" s="8" t="s">
        <v>496</v>
      </c>
      <c r="B10" s="8" t="s">
        <v>497</v>
      </c>
      <c r="C10" s="8" t="s">
        <v>498</v>
      </c>
      <c r="D10" s="8" t="s">
        <v>499</v>
      </c>
      <c r="E10" s="8" t="s">
        <v>53</v>
      </c>
    </row>
    <row r="11" spans="1:5" ht="45" customHeight="1">
      <c r="A11" s="10" t="s">
        <v>500</v>
      </c>
      <c r="B11" s="10" t="s">
        <v>501</v>
      </c>
      <c r="C11" s="10" t="s">
        <v>502</v>
      </c>
      <c r="D11" s="10" t="s">
        <v>503</v>
      </c>
      <c r="E11" s="10" t="s">
        <v>53</v>
      </c>
    </row>
    <row r="12" spans="1:5" ht="45" customHeight="1">
      <c r="A12" s="8" t="s">
        <v>504</v>
      </c>
      <c r="B12" s="8" t="s">
        <v>505</v>
      </c>
      <c r="C12" s="8" t="s">
        <v>506</v>
      </c>
      <c r="D12" s="8" t="s">
        <v>507</v>
      </c>
      <c r="E12" s="9" t="s">
        <v>508</v>
      </c>
    </row>
    <row r="13" spans="1:5" ht="45" customHeight="1">
      <c r="A13" s="10" t="s">
        <v>509</v>
      </c>
      <c r="B13" s="10" t="s">
        <v>510</v>
      </c>
      <c r="C13" s="10" t="s">
        <v>511</v>
      </c>
      <c r="D13" s="10" t="s">
        <v>512</v>
      </c>
      <c r="E13" s="11" t="s">
        <v>513</v>
      </c>
    </row>
    <row r="14" spans="1:5" ht="45" customHeight="1">
      <c r="A14" s="8" t="s">
        <v>514</v>
      </c>
      <c r="B14" s="8" t="s">
        <v>515</v>
      </c>
      <c r="C14" s="8" t="s">
        <v>516</v>
      </c>
      <c r="D14" s="8" t="s">
        <v>517</v>
      </c>
      <c r="E14" s="9" t="s">
        <v>518</v>
      </c>
    </row>
    <row r="15" spans="1:5" ht="45" customHeight="1">
      <c r="A15" s="10" t="s">
        <v>519</v>
      </c>
      <c r="B15" s="10" t="s">
        <v>520</v>
      </c>
      <c r="C15" s="10" t="s">
        <v>521</v>
      </c>
      <c r="D15" s="10" t="s">
        <v>522</v>
      </c>
      <c r="E15" s="11" t="s">
        <v>394</v>
      </c>
    </row>
    <row r="16" spans="1:5" ht="45" customHeight="1">
      <c r="A16" s="8" t="s">
        <v>523</v>
      </c>
      <c r="B16" s="8" t="s">
        <v>524</v>
      </c>
      <c r="C16" s="8" t="s">
        <v>525</v>
      </c>
      <c r="D16" s="8" t="s">
        <v>526</v>
      </c>
      <c r="E16" s="9" t="s">
        <v>527</v>
      </c>
    </row>
    <row r="17" spans="1:5" ht="45" customHeight="1">
      <c r="A17" s="10" t="s">
        <v>528</v>
      </c>
      <c r="B17" s="10" t="s">
        <v>529</v>
      </c>
      <c r="C17" s="10" t="s">
        <v>530</v>
      </c>
      <c r="D17" s="10" t="s">
        <v>531</v>
      </c>
      <c r="E17" s="10" t="s">
        <v>53</v>
      </c>
    </row>
  </sheetData>
  <autoFilter ref="A5:E17"/>
  <mergeCells count="2">
    <mergeCell ref="A1:E2"/>
    <mergeCell ref="A3:E3"/>
  </mergeCells>
  <hyperlinks>
    <hyperlink ref="E6" location="'90_公式出典'!A13" display="S08 S10 設計提案"/>
    <hyperlink ref="E9" location="'90_公式出典'!A13" display="S08 設計提案"/>
    <hyperlink ref="E12" location="'90_公式出典'!A13" display="S08 S10 S30"/>
    <hyperlink ref="E13" location="'90_公式出典'!A15" display="S10 S30"/>
    <hyperlink ref="E14" location="'90_公式出典'!A35" display="S30 設計提案"/>
    <hyperlink ref="E15" location="'90_公式出典'!A10" display="S05"/>
    <hyperlink ref="E16" location="'90_公式出典'!A25" display="S20 設計提案"/>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0.xml><?xml version="1.0" encoding="utf-8"?>
<worksheet xmlns="http://schemas.openxmlformats.org/spreadsheetml/2006/main" xmlns:r="http://schemas.openxmlformats.org/officeDocument/2006/relationships">
  <sheetPr>
    <tabColor rgb="FF777777"/>
    <pageSetUpPr fitToPage="1"/>
  </sheetPr>
  <dimension ref="A1:E17"/>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532</v>
      </c>
      <c r="B1" s="5"/>
      <c r="C1" s="5"/>
      <c r="D1" s="5"/>
      <c r="E1" s="5"/>
    </row>
    <row r="2" spans="1:5" ht="26" customHeight="1">
      <c r="A2" s="5"/>
      <c r="B2" s="5"/>
      <c r="C2" s="5"/>
      <c r="D2" s="5"/>
      <c r="E2" s="5"/>
    </row>
    <row r="3" spans="1:5" ht="48" customHeight="1">
      <c r="A3" s="6" t="s">
        <v>533</v>
      </c>
      <c r="B3" s="6"/>
      <c r="C3" s="6"/>
      <c r="D3" s="6"/>
      <c r="E3" s="6"/>
    </row>
    <row r="4" spans="1:5" ht="12" customHeight="1"/>
    <row r="5" spans="1:5" ht="38" customHeight="1">
      <c r="A5" s="7" t="s">
        <v>29</v>
      </c>
      <c r="B5" s="7" t="s">
        <v>30</v>
      </c>
      <c r="C5" s="7" t="s">
        <v>31</v>
      </c>
      <c r="D5" s="7" t="s">
        <v>32</v>
      </c>
      <c r="E5" s="7" t="s">
        <v>33</v>
      </c>
    </row>
    <row r="6" spans="1:5" ht="45" customHeight="1">
      <c r="A6" s="8" t="s">
        <v>534</v>
      </c>
      <c r="B6" s="8" t="s">
        <v>535</v>
      </c>
      <c r="C6" s="8" t="s">
        <v>536</v>
      </c>
      <c r="D6" s="8" t="s">
        <v>537</v>
      </c>
      <c r="E6" s="9" t="s">
        <v>538</v>
      </c>
    </row>
    <row r="7" spans="1:5" ht="45" customHeight="1">
      <c r="A7" s="10" t="s">
        <v>539</v>
      </c>
      <c r="B7" s="10" t="s">
        <v>540</v>
      </c>
      <c r="C7" s="10" t="s">
        <v>541</v>
      </c>
      <c r="D7" s="10" t="s">
        <v>542</v>
      </c>
      <c r="E7" s="11" t="s">
        <v>58</v>
      </c>
    </row>
    <row r="8" spans="1:5" ht="45" customHeight="1">
      <c r="A8" s="8" t="s">
        <v>543</v>
      </c>
      <c r="B8" s="8" t="s">
        <v>544</v>
      </c>
      <c r="C8" s="8" t="s">
        <v>545</v>
      </c>
      <c r="D8" s="12" t="s">
        <v>546</v>
      </c>
      <c r="E8" s="9" t="s">
        <v>58</v>
      </c>
    </row>
    <row r="9" spans="1:5" ht="45" customHeight="1">
      <c r="A9" s="10" t="s">
        <v>547</v>
      </c>
      <c r="B9" s="10" t="s">
        <v>548</v>
      </c>
      <c r="C9" s="10" t="s">
        <v>549</v>
      </c>
      <c r="D9" s="10" t="s">
        <v>550</v>
      </c>
      <c r="E9" s="11" t="s">
        <v>551</v>
      </c>
    </row>
    <row r="10" spans="1:5" ht="45" customHeight="1">
      <c r="A10" s="8" t="s">
        <v>552</v>
      </c>
      <c r="B10" s="8" t="s">
        <v>553</v>
      </c>
      <c r="C10" s="8" t="s">
        <v>554</v>
      </c>
      <c r="D10" s="8" t="s">
        <v>555</v>
      </c>
      <c r="E10" s="9" t="s">
        <v>556</v>
      </c>
    </row>
    <row r="11" spans="1:5" ht="45" customHeight="1">
      <c r="A11" s="10" t="s">
        <v>557</v>
      </c>
      <c r="B11" s="10" t="s">
        <v>558</v>
      </c>
      <c r="C11" s="10" t="s">
        <v>559</v>
      </c>
      <c r="D11" s="10" t="s">
        <v>560</v>
      </c>
      <c r="E11" s="11" t="s">
        <v>556</v>
      </c>
    </row>
    <row r="12" spans="1:5" ht="62" customHeight="1">
      <c r="A12" s="8" t="s">
        <v>561</v>
      </c>
      <c r="B12" s="8" t="s">
        <v>562</v>
      </c>
      <c r="C12" s="8" t="s">
        <v>563</v>
      </c>
      <c r="D12" s="8" t="s">
        <v>564</v>
      </c>
      <c r="E12" s="9" t="s">
        <v>565</v>
      </c>
    </row>
    <row r="13" spans="1:5" ht="62" customHeight="1">
      <c r="A13" s="10" t="s">
        <v>566</v>
      </c>
      <c r="B13" s="10" t="s">
        <v>567</v>
      </c>
      <c r="C13" s="10" t="s">
        <v>568</v>
      </c>
      <c r="D13" s="10" t="s">
        <v>569</v>
      </c>
      <c r="E13" s="11" t="s">
        <v>570</v>
      </c>
    </row>
    <row r="14" spans="1:5" ht="62" customHeight="1">
      <c r="A14" s="8" t="s">
        <v>571</v>
      </c>
      <c r="B14" s="8" t="s">
        <v>572</v>
      </c>
      <c r="C14" s="8" t="s">
        <v>573</v>
      </c>
      <c r="D14" s="8" t="s">
        <v>574</v>
      </c>
      <c r="E14" s="9" t="s">
        <v>575</v>
      </c>
    </row>
    <row r="15" spans="1:5" ht="45" customHeight="1">
      <c r="A15" s="10" t="s">
        <v>576</v>
      </c>
      <c r="B15" s="10" t="s">
        <v>577</v>
      </c>
      <c r="C15" s="10" t="s">
        <v>578</v>
      </c>
      <c r="D15" s="10" t="s">
        <v>579</v>
      </c>
      <c r="E15" s="11" t="s">
        <v>580</v>
      </c>
    </row>
    <row r="16" spans="1:5" ht="45" customHeight="1">
      <c r="A16" s="8" t="s">
        <v>581</v>
      </c>
      <c r="B16" s="8" t="s">
        <v>582</v>
      </c>
      <c r="C16" s="8" t="s">
        <v>583</v>
      </c>
      <c r="D16" s="8" t="s">
        <v>584</v>
      </c>
      <c r="E16" s="9" t="s">
        <v>585</v>
      </c>
    </row>
    <row r="17" spans="1:5" ht="45" customHeight="1">
      <c r="A17" s="10" t="s">
        <v>586</v>
      </c>
      <c r="B17" s="10" t="s">
        <v>587</v>
      </c>
      <c r="C17" s="10" t="s">
        <v>588</v>
      </c>
      <c r="D17" s="10" t="s">
        <v>589</v>
      </c>
      <c r="E17" s="11" t="s">
        <v>590</v>
      </c>
    </row>
  </sheetData>
  <autoFilter ref="A5:E17"/>
  <mergeCells count="2">
    <mergeCell ref="A1:E2"/>
    <mergeCell ref="A3:E3"/>
  </mergeCells>
  <hyperlinks>
    <hyperlink ref="E6" location="'90_公式出典'!A22" display="S17 S21"/>
    <hyperlink ref="E7" location="'90_公式出典'!A61" display="S56 S57"/>
    <hyperlink ref="E8" location="'90_公式出典'!A61" display="S56 S57"/>
    <hyperlink ref="E9" location="'90_公式出典'!A22" display="S17 S20"/>
    <hyperlink ref="E10" location="'90_公式出典'!A22" display="S17"/>
    <hyperlink ref="E11" location="'90_公式出典'!A22" display="S17"/>
    <hyperlink ref="E12" location="'90_公式出典'!A58" display="S53 S56"/>
    <hyperlink ref="E13" location="'90_公式出典'!A58" display="S53 S20"/>
    <hyperlink ref="E14" location="'90_公式出典'!A25" display="S20 S15"/>
    <hyperlink ref="E15" location="'90_公式出典'!A59" display="S54 設計提案"/>
    <hyperlink ref="E16" location="'90_公式出典'!A14" display="S09 S53"/>
    <hyperlink ref="E17" location="'90_公式出典'!A13" display="S08 S21"/>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1.xml><?xml version="1.0" encoding="utf-8"?>
<worksheet xmlns="http://schemas.openxmlformats.org/spreadsheetml/2006/main" xmlns:r="http://schemas.openxmlformats.org/officeDocument/2006/relationships">
  <sheetPr>
    <tabColor rgb="FF777777"/>
    <pageSetUpPr fitToPage="1"/>
  </sheetPr>
  <dimension ref="A1:H27"/>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14.7109375" customWidth="1"/>
    <col min="2" max="2" width="32.7109375" customWidth="1"/>
    <col min="3" max="3" width="36.7109375" customWidth="1"/>
    <col min="4" max="4" width="26.7109375" customWidth="1"/>
    <col min="5" max="5" width="29.7109375" customWidth="1"/>
    <col min="6" max="6" width="45.7109375" customWidth="1"/>
    <col min="7" max="7" width="74.7109375" customWidth="1"/>
    <col min="8" max="8" width="20.7109375" customWidth="1"/>
  </cols>
  <sheetData>
    <row r="1" spans="1:8" ht="26" customHeight="1">
      <c r="A1" s="5" t="s">
        <v>591</v>
      </c>
      <c r="B1" s="5"/>
      <c r="C1" s="5"/>
      <c r="D1" s="5"/>
      <c r="E1" s="5"/>
      <c r="F1" s="5"/>
      <c r="G1" s="5"/>
      <c r="H1" s="5"/>
    </row>
    <row r="2" spans="1:8" ht="26" customHeight="1">
      <c r="A2" s="5"/>
      <c r="B2" s="5"/>
      <c r="C2" s="5"/>
      <c r="D2" s="5"/>
      <c r="E2" s="5"/>
      <c r="F2" s="5"/>
      <c r="G2" s="5"/>
      <c r="H2" s="5"/>
    </row>
    <row r="3" spans="1:8" ht="48" customHeight="1">
      <c r="A3" s="6" t="s">
        <v>592</v>
      </c>
      <c r="B3" s="6"/>
      <c r="C3" s="6"/>
      <c r="D3" s="6"/>
      <c r="E3" s="6"/>
      <c r="F3" s="6"/>
      <c r="G3" s="6"/>
      <c r="H3" s="6"/>
    </row>
    <row r="4" spans="1:8" ht="12" customHeight="1"/>
    <row r="5" spans="1:8" ht="38" customHeight="1">
      <c r="A5" s="7" t="s">
        <v>593</v>
      </c>
      <c r="B5" s="7" t="s">
        <v>594</v>
      </c>
      <c r="C5" s="7" t="s">
        <v>595</v>
      </c>
      <c r="D5" s="7" t="s">
        <v>596</v>
      </c>
      <c r="E5" s="7" t="s">
        <v>597</v>
      </c>
      <c r="F5" s="7" t="s">
        <v>598</v>
      </c>
      <c r="G5" s="7" t="s">
        <v>599</v>
      </c>
      <c r="H5" s="7" t="s">
        <v>33</v>
      </c>
    </row>
    <row r="6" spans="1:8" ht="45" customHeight="1">
      <c r="A6" s="8" t="s">
        <v>600</v>
      </c>
      <c r="B6" s="8" t="s">
        <v>601</v>
      </c>
      <c r="C6" s="8" t="s">
        <v>602</v>
      </c>
      <c r="D6" s="8" t="s">
        <v>603</v>
      </c>
      <c r="E6" s="8" t="s">
        <v>603</v>
      </c>
      <c r="F6" s="8" t="s">
        <v>603</v>
      </c>
      <c r="G6" s="8" t="s">
        <v>604</v>
      </c>
      <c r="H6" s="9" t="s">
        <v>605</v>
      </c>
    </row>
    <row r="7" spans="1:8" ht="45" customHeight="1">
      <c r="A7" s="10" t="s">
        <v>600</v>
      </c>
      <c r="B7" s="10" t="s">
        <v>606</v>
      </c>
      <c r="C7" s="10" t="s">
        <v>607</v>
      </c>
      <c r="D7" s="10" t="s">
        <v>608</v>
      </c>
      <c r="E7" s="10" t="s">
        <v>609</v>
      </c>
      <c r="F7" s="10" t="s">
        <v>610</v>
      </c>
      <c r="G7" s="10" t="s">
        <v>611</v>
      </c>
      <c r="H7" s="11" t="s">
        <v>612</v>
      </c>
    </row>
    <row r="8" spans="1:8" ht="45" customHeight="1">
      <c r="A8" s="8" t="s">
        <v>600</v>
      </c>
      <c r="B8" s="8" t="s">
        <v>613</v>
      </c>
      <c r="C8" s="8" t="s">
        <v>607</v>
      </c>
      <c r="D8" s="8" t="s">
        <v>608</v>
      </c>
      <c r="E8" s="8" t="s">
        <v>609</v>
      </c>
      <c r="F8" s="8" t="s">
        <v>610</v>
      </c>
      <c r="G8" s="8" t="s">
        <v>614</v>
      </c>
      <c r="H8" s="9" t="s">
        <v>615</v>
      </c>
    </row>
    <row r="9" spans="1:8" ht="45" customHeight="1">
      <c r="A9" s="10" t="s">
        <v>600</v>
      </c>
      <c r="B9" s="10" t="s">
        <v>616</v>
      </c>
      <c r="C9" s="10" t="s">
        <v>617</v>
      </c>
      <c r="D9" s="10" t="s">
        <v>618</v>
      </c>
      <c r="E9" s="10" t="s">
        <v>619</v>
      </c>
      <c r="F9" s="10" t="s">
        <v>618</v>
      </c>
      <c r="G9" s="10" t="s">
        <v>620</v>
      </c>
      <c r="H9" s="11" t="s">
        <v>621</v>
      </c>
    </row>
    <row r="10" spans="1:8" ht="45" customHeight="1">
      <c r="A10" s="8" t="s">
        <v>600</v>
      </c>
      <c r="B10" s="8" t="s">
        <v>622</v>
      </c>
      <c r="C10" s="8" t="s">
        <v>623</v>
      </c>
      <c r="D10" s="8" t="s">
        <v>603</v>
      </c>
      <c r="E10" s="8" t="s">
        <v>619</v>
      </c>
      <c r="F10" s="8" t="s">
        <v>603</v>
      </c>
      <c r="G10" s="8" t="s">
        <v>624</v>
      </c>
      <c r="H10" s="9" t="s">
        <v>605</v>
      </c>
    </row>
    <row r="11" spans="1:8" ht="45" customHeight="1">
      <c r="A11" s="10" t="s">
        <v>600</v>
      </c>
      <c r="B11" s="10" t="s">
        <v>625</v>
      </c>
      <c r="C11" s="10" t="s">
        <v>626</v>
      </c>
      <c r="D11" s="10" t="s">
        <v>627</v>
      </c>
      <c r="E11" s="10" t="s">
        <v>628</v>
      </c>
      <c r="F11" s="10" t="s">
        <v>629</v>
      </c>
      <c r="G11" s="10" t="s">
        <v>630</v>
      </c>
      <c r="H11" s="11" t="s">
        <v>605</v>
      </c>
    </row>
    <row r="12" spans="1:8" ht="45" customHeight="1">
      <c r="A12" s="8" t="s">
        <v>600</v>
      </c>
      <c r="B12" s="8" t="s">
        <v>631</v>
      </c>
      <c r="C12" s="8" t="s">
        <v>632</v>
      </c>
      <c r="D12" s="8" t="s">
        <v>633</v>
      </c>
      <c r="E12" s="8" t="s">
        <v>633</v>
      </c>
      <c r="F12" s="8" t="s">
        <v>633</v>
      </c>
      <c r="G12" s="8" t="s">
        <v>634</v>
      </c>
      <c r="H12" s="9" t="s">
        <v>621</v>
      </c>
    </row>
    <row r="13" spans="1:8" ht="34" customHeight="1">
      <c r="A13" s="10" t="s">
        <v>600</v>
      </c>
      <c r="B13" s="10" t="s">
        <v>635</v>
      </c>
      <c r="C13" s="10" t="s">
        <v>636</v>
      </c>
      <c r="D13" s="10" t="s">
        <v>619</v>
      </c>
      <c r="E13" s="10" t="s">
        <v>637</v>
      </c>
      <c r="F13" s="10" t="s">
        <v>619</v>
      </c>
      <c r="G13" s="10" t="s">
        <v>638</v>
      </c>
      <c r="H13" s="11" t="s">
        <v>605</v>
      </c>
    </row>
    <row r="14" spans="1:8" ht="45" customHeight="1">
      <c r="A14" s="8" t="s">
        <v>600</v>
      </c>
      <c r="B14" s="8" t="s">
        <v>639</v>
      </c>
      <c r="C14" s="8" t="s">
        <v>640</v>
      </c>
      <c r="D14" s="8" t="s">
        <v>641</v>
      </c>
      <c r="E14" s="8" t="s">
        <v>642</v>
      </c>
      <c r="F14" s="8" t="s">
        <v>641</v>
      </c>
      <c r="G14" s="8" t="s">
        <v>643</v>
      </c>
      <c r="H14" s="9" t="s">
        <v>605</v>
      </c>
    </row>
    <row r="15" spans="1:8" ht="45" customHeight="1">
      <c r="A15" s="10" t="s">
        <v>600</v>
      </c>
      <c r="B15" s="10" t="s">
        <v>644</v>
      </c>
      <c r="C15" s="10" t="s">
        <v>645</v>
      </c>
      <c r="D15" s="10" t="s">
        <v>646</v>
      </c>
      <c r="E15" s="10" t="s">
        <v>646</v>
      </c>
      <c r="F15" s="10" t="s">
        <v>646</v>
      </c>
      <c r="G15" s="10" t="s">
        <v>647</v>
      </c>
      <c r="H15" s="11" t="s">
        <v>58</v>
      </c>
    </row>
    <row r="16" spans="1:8" ht="34" customHeight="1">
      <c r="A16" s="8" t="s">
        <v>648</v>
      </c>
      <c r="B16" s="8" t="s">
        <v>367</v>
      </c>
      <c r="C16" s="8" t="s">
        <v>649</v>
      </c>
      <c r="D16" s="8" t="s">
        <v>650</v>
      </c>
      <c r="E16" s="8" t="s">
        <v>650</v>
      </c>
      <c r="F16" s="8" t="s">
        <v>369</v>
      </c>
      <c r="G16" s="8" t="s">
        <v>651</v>
      </c>
      <c r="H16" s="9" t="s">
        <v>361</v>
      </c>
    </row>
    <row r="17" spans="1:8" ht="34" customHeight="1">
      <c r="A17" s="10" t="s">
        <v>648</v>
      </c>
      <c r="B17" s="10" t="s">
        <v>342</v>
      </c>
      <c r="C17" s="10" t="s">
        <v>343</v>
      </c>
      <c r="D17" s="10" t="s">
        <v>652</v>
      </c>
      <c r="E17" s="10" t="s">
        <v>652</v>
      </c>
      <c r="F17" s="10" t="s">
        <v>343</v>
      </c>
      <c r="G17" s="10" t="s">
        <v>653</v>
      </c>
      <c r="H17" s="11" t="s">
        <v>466</v>
      </c>
    </row>
    <row r="18" spans="1:8" ht="45" customHeight="1">
      <c r="A18" s="8" t="s">
        <v>654</v>
      </c>
      <c r="B18" s="8" t="s">
        <v>655</v>
      </c>
      <c r="C18" s="8" t="s">
        <v>656</v>
      </c>
      <c r="D18" s="8" t="s">
        <v>657</v>
      </c>
      <c r="E18" s="8" t="s">
        <v>658</v>
      </c>
      <c r="F18" s="8" t="s">
        <v>659</v>
      </c>
      <c r="G18" s="8" t="s">
        <v>660</v>
      </c>
      <c r="H18" s="9" t="s">
        <v>661</v>
      </c>
    </row>
    <row r="19" spans="1:8" ht="34" customHeight="1">
      <c r="A19" s="10" t="s">
        <v>662</v>
      </c>
      <c r="B19" s="10" t="s">
        <v>663</v>
      </c>
      <c r="C19" s="10" t="s">
        <v>664</v>
      </c>
      <c r="D19" s="10" t="s">
        <v>665</v>
      </c>
      <c r="E19" s="10" t="s">
        <v>627</v>
      </c>
      <c r="F19" s="10" t="s">
        <v>666</v>
      </c>
      <c r="G19" s="10" t="s">
        <v>667</v>
      </c>
      <c r="H19" s="11" t="s">
        <v>668</v>
      </c>
    </row>
    <row r="20" spans="1:8" ht="45" customHeight="1">
      <c r="A20" s="8" t="s">
        <v>662</v>
      </c>
      <c r="B20" s="8" t="s">
        <v>669</v>
      </c>
      <c r="C20" s="8" t="s">
        <v>664</v>
      </c>
      <c r="D20" s="8" t="s">
        <v>670</v>
      </c>
      <c r="E20" s="8" t="s">
        <v>671</v>
      </c>
      <c r="F20" s="8" t="s">
        <v>672</v>
      </c>
      <c r="G20" s="8" t="s">
        <v>673</v>
      </c>
      <c r="H20" s="9" t="s">
        <v>668</v>
      </c>
    </row>
    <row r="21" spans="1:8" ht="45" customHeight="1">
      <c r="A21" s="10" t="s">
        <v>674</v>
      </c>
      <c r="B21" s="10" t="s">
        <v>675</v>
      </c>
      <c r="C21" s="10" t="s">
        <v>676</v>
      </c>
      <c r="D21" s="10" t="s">
        <v>677</v>
      </c>
      <c r="E21" s="10" t="s">
        <v>649</v>
      </c>
      <c r="F21" s="10" t="s">
        <v>678</v>
      </c>
      <c r="G21" s="10" t="s">
        <v>679</v>
      </c>
      <c r="H21" s="11" t="s">
        <v>680</v>
      </c>
    </row>
    <row r="22" spans="1:8" ht="45" customHeight="1">
      <c r="A22" s="8" t="s">
        <v>654</v>
      </c>
      <c r="B22" s="8" t="s">
        <v>681</v>
      </c>
      <c r="C22" s="8" t="s">
        <v>682</v>
      </c>
      <c r="D22" s="8" t="s">
        <v>455</v>
      </c>
      <c r="E22" s="8" t="s">
        <v>652</v>
      </c>
      <c r="F22" s="8" t="s">
        <v>683</v>
      </c>
      <c r="G22" s="8" t="s">
        <v>684</v>
      </c>
      <c r="H22" s="9" t="s">
        <v>661</v>
      </c>
    </row>
    <row r="23" spans="1:8" ht="45" customHeight="1">
      <c r="A23" s="10" t="s">
        <v>685</v>
      </c>
      <c r="B23" s="10" t="s">
        <v>686</v>
      </c>
      <c r="C23" s="10" t="s">
        <v>687</v>
      </c>
      <c r="D23" s="10" t="s">
        <v>688</v>
      </c>
      <c r="E23" s="10" t="s">
        <v>689</v>
      </c>
      <c r="F23" s="10" t="s">
        <v>690</v>
      </c>
      <c r="G23" s="10" t="s">
        <v>691</v>
      </c>
      <c r="H23" s="11" t="s">
        <v>661</v>
      </c>
    </row>
    <row r="24" spans="1:8" ht="45" customHeight="1">
      <c r="A24" s="8" t="s">
        <v>692</v>
      </c>
      <c r="B24" s="8" t="s">
        <v>693</v>
      </c>
      <c r="C24" s="8" t="s">
        <v>682</v>
      </c>
      <c r="D24" s="8" t="s">
        <v>694</v>
      </c>
      <c r="E24" s="8" t="s">
        <v>695</v>
      </c>
      <c r="F24" s="8" t="s">
        <v>696</v>
      </c>
      <c r="G24" s="8" t="s">
        <v>697</v>
      </c>
      <c r="H24" s="9" t="s">
        <v>698</v>
      </c>
    </row>
    <row r="25" spans="1:8" ht="45" customHeight="1">
      <c r="A25" s="10" t="s">
        <v>699</v>
      </c>
      <c r="B25" s="10" t="s">
        <v>700</v>
      </c>
      <c r="C25" s="10" t="s">
        <v>701</v>
      </c>
      <c r="D25" s="10" t="s">
        <v>619</v>
      </c>
      <c r="E25" s="10" t="s">
        <v>652</v>
      </c>
      <c r="F25" s="10" t="s">
        <v>619</v>
      </c>
      <c r="G25" s="10" t="s">
        <v>702</v>
      </c>
      <c r="H25" s="10" t="s">
        <v>53</v>
      </c>
    </row>
    <row r="26" spans="1:8" ht="45" customHeight="1">
      <c r="A26" s="8" t="s">
        <v>703</v>
      </c>
      <c r="B26" s="8" t="s">
        <v>704</v>
      </c>
      <c r="C26" s="8" t="s">
        <v>701</v>
      </c>
      <c r="D26" s="8" t="s">
        <v>652</v>
      </c>
      <c r="E26" s="8" t="s">
        <v>705</v>
      </c>
      <c r="F26" s="8" t="s">
        <v>705</v>
      </c>
      <c r="G26" s="8" t="s">
        <v>706</v>
      </c>
      <c r="H26" s="8" t="s">
        <v>53</v>
      </c>
    </row>
    <row r="27" spans="1:8" ht="45" customHeight="1">
      <c r="A27" s="10" t="s">
        <v>707</v>
      </c>
      <c r="B27" s="10" t="s">
        <v>708</v>
      </c>
      <c r="C27" s="10" t="s">
        <v>709</v>
      </c>
      <c r="D27" s="10" t="s">
        <v>710</v>
      </c>
      <c r="E27" s="10" t="s">
        <v>711</v>
      </c>
      <c r="F27" s="10" t="s">
        <v>712</v>
      </c>
      <c r="G27" s="10" t="s">
        <v>713</v>
      </c>
      <c r="H27" s="10" t="s">
        <v>53</v>
      </c>
    </row>
  </sheetData>
  <autoFilter ref="A5:H27"/>
  <mergeCells count="2">
    <mergeCell ref="A1:H2"/>
    <mergeCell ref="A3:H3"/>
  </mergeCells>
  <hyperlinks>
    <hyperlink ref="H6" location="'90_公式出典'!A58" display="S53"/>
    <hyperlink ref="H7" location="'90_公式出典'!A58" display="S53 S07"/>
    <hyperlink ref="H8" location="'90_公式出典'!A32" display="S27 S53"/>
    <hyperlink ref="H9" location="'90_公式出典'!A59" display="S54"/>
    <hyperlink ref="H10" location="'90_公式出典'!A58" display="S53"/>
    <hyperlink ref="H11" location="'90_公式出典'!A58" display="S53"/>
    <hyperlink ref="H12" location="'90_公式出典'!A59" display="S54"/>
    <hyperlink ref="H13" location="'90_公式出典'!A58" display="S53"/>
    <hyperlink ref="H14" location="'90_公式出典'!A58" display="S53"/>
    <hyperlink ref="H15" location="'90_公式出典'!A61" display="S56 S57"/>
    <hyperlink ref="H16" location="'90_公式出典'!A11" display="S06 S07"/>
    <hyperlink ref="H17" location="'90_公式出典'!A12" display="S07"/>
    <hyperlink ref="H18" location="'90_公式出典'!A30" display="S25"/>
    <hyperlink ref="H19" location="'90_公式出典'!A33" display="S28"/>
    <hyperlink ref="H20" location="'90_公式出典'!A33" display="S28"/>
    <hyperlink ref="H21" location="'90_公式出典'!A30" display="S25 S29"/>
    <hyperlink ref="H22" location="'90_公式出典'!A30" display="S25"/>
    <hyperlink ref="H23" location="'90_公式出典'!A30" display="S25"/>
    <hyperlink ref="H24" location="'90_公式出典'!A12" display="S07 S25"/>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2.xml><?xml version="1.0" encoding="utf-8"?>
<worksheet xmlns="http://schemas.openxmlformats.org/spreadsheetml/2006/main" xmlns:r="http://schemas.openxmlformats.org/officeDocument/2006/relationships">
  <sheetPr>
    <tabColor rgb="FF777777"/>
    <pageSetUpPr fitToPage="1"/>
  </sheetPr>
  <dimension ref="A1:F28"/>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0.7109375" customWidth="1"/>
    <col min="2" max="2" width="40.7109375" customWidth="1"/>
    <col min="3" max="3" width="45.7109375" customWidth="1"/>
    <col min="4" max="4" width="48.7109375" customWidth="1"/>
    <col min="5" max="5" width="78.7109375" customWidth="1"/>
    <col min="6" max="6" width="20.7109375" customWidth="1"/>
  </cols>
  <sheetData>
    <row r="1" spans="1:6" ht="26" customHeight="1">
      <c r="A1" s="5" t="s">
        <v>714</v>
      </c>
      <c r="B1" s="5"/>
      <c r="C1" s="5"/>
      <c r="D1" s="5"/>
      <c r="E1" s="5"/>
      <c r="F1" s="5"/>
    </row>
    <row r="2" spans="1:6" ht="26" customHeight="1">
      <c r="A2" s="5"/>
      <c r="B2" s="5"/>
      <c r="C2" s="5"/>
      <c r="D2" s="5"/>
      <c r="E2" s="5"/>
      <c r="F2" s="5"/>
    </row>
    <row r="3" spans="1:6" ht="48" customHeight="1">
      <c r="A3" s="6" t="s">
        <v>715</v>
      </c>
      <c r="B3" s="6"/>
      <c r="C3" s="6"/>
      <c r="D3" s="6"/>
      <c r="E3" s="6"/>
      <c r="F3" s="6"/>
    </row>
    <row r="4" spans="1:6" ht="12" customHeight="1"/>
    <row r="5" spans="1:6" ht="38" customHeight="1">
      <c r="A5" s="7" t="s">
        <v>716</v>
      </c>
      <c r="B5" s="7" t="s">
        <v>717</v>
      </c>
      <c r="C5" s="7" t="s">
        <v>718</v>
      </c>
      <c r="D5" s="7" t="s">
        <v>719</v>
      </c>
      <c r="E5" s="7" t="s">
        <v>720</v>
      </c>
      <c r="F5" s="7" t="s">
        <v>33</v>
      </c>
    </row>
    <row r="6" spans="1:6" ht="45" customHeight="1">
      <c r="A6" s="8" t="s">
        <v>721</v>
      </c>
      <c r="B6" s="8" t="s">
        <v>722</v>
      </c>
      <c r="C6" s="8" t="s">
        <v>723</v>
      </c>
      <c r="D6" s="8" t="s">
        <v>724</v>
      </c>
      <c r="E6" s="8" t="s">
        <v>725</v>
      </c>
      <c r="F6" s="9" t="s">
        <v>726</v>
      </c>
    </row>
    <row r="7" spans="1:6" ht="45" customHeight="1">
      <c r="A7" s="10" t="s">
        <v>727</v>
      </c>
      <c r="B7" s="10" t="s">
        <v>728</v>
      </c>
      <c r="C7" s="10" t="s">
        <v>729</v>
      </c>
      <c r="D7" s="10" t="s">
        <v>730</v>
      </c>
      <c r="E7" s="10" t="s">
        <v>731</v>
      </c>
      <c r="F7" s="11" t="s">
        <v>732</v>
      </c>
    </row>
    <row r="8" spans="1:6" ht="34" customHeight="1">
      <c r="A8" s="8" t="s">
        <v>504</v>
      </c>
      <c r="B8" s="8" t="s">
        <v>733</v>
      </c>
      <c r="C8" s="8" t="s">
        <v>734</v>
      </c>
      <c r="D8" s="8" t="s">
        <v>735</v>
      </c>
      <c r="E8" s="8" t="s">
        <v>736</v>
      </c>
      <c r="F8" s="9" t="s">
        <v>737</v>
      </c>
    </row>
    <row r="9" spans="1:6" ht="34" customHeight="1">
      <c r="A9" s="10" t="s">
        <v>504</v>
      </c>
      <c r="B9" s="10" t="s">
        <v>738</v>
      </c>
      <c r="C9" s="10" t="s">
        <v>739</v>
      </c>
      <c r="D9" s="10" t="s">
        <v>740</v>
      </c>
      <c r="E9" s="10" t="s">
        <v>741</v>
      </c>
      <c r="F9" s="11" t="s">
        <v>513</v>
      </c>
    </row>
    <row r="10" spans="1:6" ht="45" customHeight="1">
      <c r="A10" s="8" t="s">
        <v>381</v>
      </c>
      <c r="B10" s="8" t="s">
        <v>742</v>
      </c>
      <c r="C10" s="8" t="s">
        <v>743</v>
      </c>
      <c r="D10" s="8" t="s">
        <v>743</v>
      </c>
      <c r="E10" s="8" t="s">
        <v>744</v>
      </c>
      <c r="F10" s="9" t="s">
        <v>737</v>
      </c>
    </row>
    <row r="11" spans="1:6" ht="45" customHeight="1">
      <c r="A11" s="10" t="s">
        <v>745</v>
      </c>
      <c r="B11" s="10" t="s">
        <v>746</v>
      </c>
      <c r="C11" s="10" t="s">
        <v>747</v>
      </c>
      <c r="D11" s="10" t="s">
        <v>748</v>
      </c>
      <c r="E11" s="10" t="s">
        <v>749</v>
      </c>
      <c r="F11" s="11" t="s">
        <v>750</v>
      </c>
    </row>
    <row r="12" spans="1:6" ht="45" customHeight="1">
      <c r="A12" s="8" t="s">
        <v>745</v>
      </c>
      <c r="B12" s="8" t="s">
        <v>751</v>
      </c>
      <c r="C12" s="8" t="s">
        <v>747</v>
      </c>
      <c r="D12" s="8" t="s">
        <v>752</v>
      </c>
      <c r="E12" s="8" t="s">
        <v>753</v>
      </c>
      <c r="F12" s="9" t="s">
        <v>615</v>
      </c>
    </row>
    <row r="13" spans="1:6" ht="45" customHeight="1">
      <c r="A13" s="10" t="s">
        <v>754</v>
      </c>
      <c r="B13" s="10" t="s">
        <v>755</v>
      </c>
      <c r="C13" s="10" t="s">
        <v>756</v>
      </c>
      <c r="D13" s="10" t="s">
        <v>757</v>
      </c>
      <c r="E13" s="10" t="s">
        <v>758</v>
      </c>
      <c r="F13" s="11" t="s">
        <v>750</v>
      </c>
    </row>
    <row r="14" spans="1:6" ht="45" customHeight="1">
      <c r="A14" s="8" t="s">
        <v>754</v>
      </c>
      <c r="B14" s="8" t="s">
        <v>759</v>
      </c>
      <c r="C14" s="8" t="s">
        <v>743</v>
      </c>
      <c r="D14" s="8" t="s">
        <v>760</v>
      </c>
      <c r="E14" s="8" t="s">
        <v>761</v>
      </c>
      <c r="F14" s="9" t="s">
        <v>762</v>
      </c>
    </row>
    <row r="15" spans="1:6" ht="45" customHeight="1">
      <c r="A15" s="10" t="s">
        <v>763</v>
      </c>
      <c r="B15" s="10" t="s">
        <v>764</v>
      </c>
      <c r="C15" s="10" t="s">
        <v>743</v>
      </c>
      <c r="D15" s="10" t="s">
        <v>743</v>
      </c>
      <c r="E15" s="10" t="s">
        <v>765</v>
      </c>
      <c r="F15" s="11" t="s">
        <v>750</v>
      </c>
    </row>
    <row r="16" spans="1:6" ht="45" customHeight="1">
      <c r="A16" s="8" t="s">
        <v>766</v>
      </c>
      <c r="B16" s="8" t="s">
        <v>767</v>
      </c>
      <c r="C16" s="8" t="s">
        <v>743</v>
      </c>
      <c r="D16" s="8" t="s">
        <v>743</v>
      </c>
      <c r="E16" s="8" t="s">
        <v>768</v>
      </c>
      <c r="F16" s="9" t="s">
        <v>750</v>
      </c>
    </row>
    <row r="17" spans="1:6" ht="34" customHeight="1">
      <c r="A17" s="10" t="s">
        <v>769</v>
      </c>
      <c r="B17" s="10" t="s">
        <v>770</v>
      </c>
      <c r="C17" s="10" t="s">
        <v>743</v>
      </c>
      <c r="D17" s="10" t="s">
        <v>743</v>
      </c>
      <c r="E17" s="10" t="s">
        <v>771</v>
      </c>
      <c r="F17" s="11" t="s">
        <v>750</v>
      </c>
    </row>
    <row r="18" spans="1:6" ht="45" customHeight="1">
      <c r="A18" s="8" t="s">
        <v>772</v>
      </c>
      <c r="B18" s="8" t="s">
        <v>773</v>
      </c>
      <c r="C18" s="8" t="s">
        <v>743</v>
      </c>
      <c r="D18" s="8" t="s">
        <v>774</v>
      </c>
      <c r="E18" s="8" t="s">
        <v>775</v>
      </c>
      <c r="F18" s="9" t="s">
        <v>132</v>
      </c>
    </row>
    <row r="19" spans="1:6" ht="45" customHeight="1">
      <c r="A19" s="10" t="s">
        <v>772</v>
      </c>
      <c r="B19" s="10" t="s">
        <v>776</v>
      </c>
      <c r="C19" s="10" t="s">
        <v>743</v>
      </c>
      <c r="D19" s="10" t="s">
        <v>777</v>
      </c>
      <c r="E19" s="10" t="s">
        <v>778</v>
      </c>
      <c r="F19" s="11" t="s">
        <v>779</v>
      </c>
    </row>
    <row r="20" spans="1:6" ht="45" customHeight="1">
      <c r="A20" s="8" t="s">
        <v>780</v>
      </c>
      <c r="B20" s="8" t="s">
        <v>781</v>
      </c>
      <c r="C20" s="8" t="s">
        <v>743</v>
      </c>
      <c r="D20" s="8" t="s">
        <v>782</v>
      </c>
      <c r="E20" s="8" t="s">
        <v>783</v>
      </c>
      <c r="F20" s="9" t="s">
        <v>132</v>
      </c>
    </row>
    <row r="21" spans="1:6" ht="45" customHeight="1">
      <c r="A21" s="10" t="s">
        <v>784</v>
      </c>
      <c r="B21" s="10" t="s">
        <v>785</v>
      </c>
      <c r="C21" s="10" t="s">
        <v>743</v>
      </c>
      <c r="D21" s="10" t="s">
        <v>786</v>
      </c>
      <c r="E21" s="10" t="s">
        <v>787</v>
      </c>
      <c r="F21" s="11" t="s">
        <v>132</v>
      </c>
    </row>
    <row r="22" spans="1:6" ht="45" customHeight="1">
      <c r="A22" s="8" t="s">
        <v>788</v>
      </c>
      <c r="B22" s="8" t="s">
        <v>789</v>
      </c>
      <c r="C22" s="8" t="s">
        <v>790</v>
      </c>
      <c r="D22" s="8" t="s">
        <v>791</v>
      </c>
      <c r="E22" s="8" t="s">
        <v>792</v>
      </c>
      <c r="F22" s="9" t="s">
        <v>793</v>
      </c>
    </row>
    <row r="23" spans="1:6" ht="45" customHeight="1">
      <c r="A23" s="10" t="s">
        <v>794</v>
      </c>
      <c r="B23" s="10" t="s">
        <v>795</v>
      </c>
      <c r="C23" s="10" t="s">
        <v>743</v>
      </c>
      <c r="D23" s="10" t="s">
        <v>796</v>
      </c>
      <c r="E23" s="10" t="s">
        <v>797</v>
      </c>
      <c r="F23" s="11" t="s">
        <v>793</v>
      </c>
    </row>
    <row r="24" spans="1:6" ht="45" customHeight="1">
      <c r="A24" s="8" t="s">
        <v>798</v>
      </c>
      <c r="B24" s="8" t="s">
        <v>799</v>
      </c>
      <c r="C24" s="8" t="s">
        <v>800</v>
      </c>
      <c r="D24" s="8" t="s">
        <v>801</v>
      </c>
      <c r="E24" s="8" t="s">
        <v>802</v>
      </c>
      <c r="F24" s="9" t="s">
        <v>803</v>
      </c>
    </row>
    <row r="25" spans="1:6" ht="45" customHeight="1">
      <c r="A25" s="10" t="s">
        <v>798</v>
      </c>
      <c r="B25" s="10" t="s">
        <v>804</v>
      </c>
      <c r="C25" s="10" t="s">
        <v>805</v>
      </c>
      <c r="D25" s="10" t="s">
        <v>806</v>
      </c>
      <c r="E25" s="10" t="s">
        <v>807</v>
      </c>
      <c r="F25" s="11" t="s">
        <v>726</v>
      </c>
    </row>
    <row r="26" spans="1:6" ht="45" customHeight="1">
      <c r="A26" s="8" t="s">
        <v>808</v>
      </c>
      <c r="B26" s="8" t="s">
        <v>809</v>
      </c>
      <c r="C26" s="8" t="s">
        <v>800</v>
      </c>
      <c r="D26" s="8" t="s">
        <v>810</v>
      </c>
      <c r="E26" s="8" t="s">
        <v>811</v>
      </c>
      <c r="F26" s="9" t="s">
        <v>812</v>
      </c>
    </row>
    <row r="27" spans="1:6" ht="45" customHeight="1">
      <c r="A27" s="10" t="s">
        <v>813</v>
      </c>
      <c r="B27" s="10" t="s">
        <v>814</v>
      </c>
      <c r="C27" s="10" t="s">
        <v>815</v>
      </c>
      <c r="D27" s="10" t="s">
        <v>816</v>
      </c>
      <c r="E27" s="10" t="s">
        <v>817</v>
      </c>
      <c r="F27" s="11" t="s">
        <v>818</v>
      </c>
    </row>
    <row r="28" spans="1:6" ht="45" customHeight="1">
      <c r="A28" s="8" t="s">
        <v>819</v>
      </c>
      <c r="B28" s="8" t="s">
        <v>820</v>
      </c>
      <c r="C28" s="8" t="s">
        <v>821</v>
      </c>
      <c r="D28" s="8" t="s">
        <v>822</v>
      </c>
      <c r="E28" s="8" t="s">
        <v>823</v>
      </c>
      <c r="F28" s="9" t="s">
        <v>803</v>
      </c>
    </row>
  </sheetData>
  <autoFilter ref="A5:F28"/>
  <mergeCells count="2">
    <mergeCell ref="A1:F2"/>
    <mergeCell ref="A3:F3"/>
  </mergeCells>
  <hyperlinks>
    <hyperlink ref="F6" location="'90_公式出典'!A29" display="S24"/>
    <hyperlink ref="F7" location="'90_公式出典'!A31" display="S26 S27"/>
    <hyperlink ref="F8" location="'90_公式出典'!A32" display="S27 S30"/>
    <hyperlink ref="F9" location="'90_公式出典'!A15" display="S10 S30"/>
    <hyperlink ref="F10" location="'90_公式出典'!A32" display="S27 S30"/>
    <hyperlink ref="F11" location="'90_公式出典'!A32" display="S27"/>
    <hyperlink ref="F12" location="'90_公式出典'!A32" display="S27 S53"/>
    <hyperlink ref="F13" location="'90_公式出典'!A32" display="S27"/>
    <hyperlink ref="F14" location="'90_公式出典'!A32" display="S27 S09"/>
    <hyperlink ref="F15" location="'90_公式出典'!A32" display="S27"/>
    <hyperlink ref="F16" location="'90_公式出典'!A32" display="S27"/>
    <hyperlink ref="F17" location="'90_公式出典'!A32" display="S27"/>
    <hyperlink ref="F18" location="'90_公式出典'!A14" display="S09 S27"/>
    <hyperlink ref="F19" location="'90_公式出典'!A32" display="S27 S25"/>
    <hyperlink ref="F20" location="'90_公式出典'!A14" display="S09 S27"/>
    <hyperlink ref="F21" location="'90_公式出典'!A14" display="S09 S27"/>
    <hyperlink ref="F22" location="'90_公式出典'!A34" display="S29"/>
    <hyperlink ref="F23" location="'90_公式出典'!A34" display="S29"/>
    <hyperlink ref="F24" location="'90_公式出典'!A29" display="S24 S25"/>
    <hyperlink ref="F25" location="'90_公式出典'!A29" display="S24"/>
    <hyperlink ref="F26" location="'90_公式出典'!A12" display="S07 設計提案"/>
    <hyperlink ref="F27" location="'90_公式出典'!A32" display="S27 設計提案"/>
    <hyperlink ref="F28" location="'90_公式出典'!A29" display="S24 S25"/>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3.xml><?xml version="1.0" encoding="utf-8"?>
<worksheet xmlns="http://schemas.openxmlformats.org/spreadsheetml/2006/main" xmlns:r="http://schemas.openxmlformats.org/officeDocument/2006/relationships">
  <sheetPr>
    <tabColor rgb="FF777777"/>
    <pageSetUpPr fitToPage="1"/>
  </sheetPr>
  <dimension ref="A1:E14"/>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824</v>
      </c>
      <c r="B1" s="5"/>
      <c r="C1" s="5"/>
      <c r="D1" s="5"/>
      <c r="E1" s="5"/>
    </row>
    <row r="2" spans="1:5" ht="26" customHeight="1">
      <c r="A2" s="5"/>
      <c r="B2" s="5"/>
      <c r="C2" s="5"/>
      <c r="D2" s="5"/>
      <c r="E2" s="5"/>
    </row>
    <row r="3" spans="1:5" ht="48" customHeight="1">
      <c r="A3" s="6" t="s">
        <v>825</v>
      </c>
      <c r="B3" s="6"/>
      <c r="C3" s="6"/>
      <c r="D3" s="6"/>
      <c r="E3" s="6"/>
    </row>
    <row r="4" spans="1:5" ht="12" customHeight="1"/>
    <row r="5" spans="1:5" ht="38" customHeight="1">
      <c r="A5" s="7" t="s">
        <v>29</v>
      </c>
      <c r="B5" s="7" t="s">
        <v>30</v>
      </c>
      <c r="C5" s="7" t="s">
        <v>31</v>
      </c>
      <c r="D5" s="7" t="s">
        <v>32</v>
      </c>
      <c r="E5" s="7" t="s">
        <v>33</v>
      </c>
    </row>
    <row r="6" spans="1:5" ht="62" customHeight="1">
      <c r="A6" s="8" t="s">
        <v>826</v>
      </c>
      <c r="B6" s="8" t="s">
        <v>827</v>
      </c>
      <c r="C6" s="8" t="s">
        <v>828</v>
      </c>
      <c r="D6" s="8" t="s">
        <v>829</v>
      </c>
      <c r="E6" s="9" t="s">
        <v>830</v>
      </c>
    </row>
    <row r="7" spans="1:5" ht="45" customHeight="1">
      <c r="A7" s="10" t="s">
        <v>831</v>
      </c>
      <c r="B7" s="10" t="s">
        <v>832</v>
      </c>
      <c r="C7" s="10" t="s">
        <v>833</v>
      </c>
      <c r="D7" s="10" t="s">
        <v>834</v>
      </c>
      <c r="E7" s="11" t="s">
        <v>835</v>
      </c>
    </row>
    <row r="8" spans="1:5" ht="45" customHeight="1">
      <c r="A8" s="8" t="s">
        <v>836</v>
      </c>
      <c r="B8" s="8" t="s">
        <v>837</v>
      </c>
      <c r="C8" s="8" t="s">
        <v>838</v>
      </c>
      <c r="D8" s="8" t="s">
        <v>839</v>
      </c>
      <c r="E8" s="9" t="s">
        <v>840</v>
      </c>
    </row>
    <row r="9" spans="1:5" ht="45" customHeight="1">
      <c r="A9" s="10" t="s">
        <v>841</v>
      </c>
      <c r="B9" s="10" t="s">
        <v>842</v>
      </c>
      <c r="C9" s="10" t="s">
        <v>843</v>
      </c>
      <c r="D9" s="10" t="s">
        <v>844</v>
      </c>
      <c r="E9" s="11" t="s">
        <v>845</v>
      </c>
    </row>
    <row r="10" spans="1:5" ht="45" customHeight="1">
      <c r="A10" s="8" t="s">
        <v>846</v>
      </c>
      <c r="B10" s="8" t="s">
        <v>847</v>
      </c>
      <c r="C10" s="8" t="s">
        <v>848</v>
      </c>
      <c r="D10" s="8" t="s">
        <v>849</v>
      </c>
      <c r="E10" s="8" t="s">
        <v>53</v>
      </c>
    </row>
    <row r="11" spans="1:5" ht="45" customHeight="1">
      <c r="A11" s="10" t="s">
        <v>850</v>
      </c>
      <c r="B11" s="10" t="s">
        <v>851</v>
      </c>
      <c r="C11" s="10" t="s">
        <v>852</v>
      </c>
      <c r="D11" s="10" t="s">
        <v>853</v>
      </c>
      <c r="E11" s="11" t="s">
        <v>854</v>
      </c>
    </row>
    <row r="12" spans="1:5" ht="45" customHeight="1">
      <c r="A12" s="8" t="s">
        <v>855</v>
      </c>
      <c r="B12" s="8" t="s">
        <v>856</v>
      </c>
      <c r="C12" s="8" t="s">
        <v>857</v>
      </c>
      <c r="D12" s="8" t="s">
        <v>858</v>
      </c>
      <c r="E12" s="9" t="s">
        <v>859</v>
      </c>
    </row>
    <row r="13" spans="1:5" ht="45" customHeight="1">
      <c r="A13" s="10" t="s">
        <v>860</v>
      </c>
      <c r="B13" s="10" t="s">
        <v>861</v>
      </c>
      <c r="C13" s="10" t="s">
        <v>862</v>
      </c>
      <c r="D13" s="10" t="s">
        <v>863</v>
      </c>
      <c r="E13" s="11" t="s">
        <v>864</v>
      </c>
    </row>
    <row r="14" spans="1:5" ht="62" customHeight="1">
      <c r="A14" s="8" t="s">
        <v>865</v>
      </c>
      <c r="B14" s="8" t="s">
        <v>866</v>
      </c>
      <c r="C14" s="8" t="s">
        <v>867</v>
      </c>
      <c r="D14" s="8" t="s">
        <v>868</v>
      </c>
      <c r="E14" s="9" t="s">
        <v>513</v>
      </c>
    </row>
  </sheetData>
  <autoFilter ref="A5:E14"/>
  <mergeCells count="2">
    <mergeCell ref="A1:E2"/>
    <mergeCell ref="A3:E3"/>
  </mergeCells>
  <hyperlinks>
    <hyperlink ref="E6" location="'90_公式出典'!A7" display="S02 S22"/>
    <hyperlink ref="E7" location="'90_公式出典'!A27" display="S22 S14"/>
    <hyperlink ref="E8" location="'90_公式出典'!A27" display="S22"/>
    <hyperlink ref="E9" location="'90_公式出典'!A27" display="S22 S30"/>
    <hyperlink ref="E11" location="'90_公式出典'!A13" display="S08 S33"/>
    <hyperlink ref="E12" location="'90_公式出典'!A28" display="S23 S20"/>
    <hyperlink ref="E13" location="'90_公式出典'!A28" display="S23"/>
    <hyperlink ref="E14" location="'90_公式出典'!A15" display="S10 S30"/>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4.xml><?xml version="1.0" encoding="utf-8"?>
<worksheet xmlns="http://schemas.openxmlformats.org/spreadsheetml/2006/main" xmlns:r="http://schemas.openxmlformats.org/officeDocument/2006/relationships">
  <sheetPr>
    <tabColor rgb="FF777777"/>
    <pageSetUpPr fitToPage="1"/>
  </sheetPr>
  <dimension ref="A1:E23"/>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869</v>
      </c>
      <c r="B1" s="5"/>
      <c r="C1" s="5"/>
      <c r="D1" s="5"/>
      <c r="E1" s="5"/>
    </row>
    <row r="2" spans="1:5" ht="26" customHeight="1">
      <c r="A2" s="5"/>
      <c r="B2" s="5"/>
      <c r="C2" s="5"/>
      <c r="D2" s="5"/>
      <c r="E2" s="5"/>
    </row>
    <row r="3" spans="1:5" ht="48" customHeight="1">
      <c r="A3" s="6" t="s">
        <v>870</v>
      </c>
      <c r="B3" s="6"/>
      <c r="C3" s="6"/>
      <c r="D3" s="6"/>
      <c r="E3" s="6"/>
    </row>
    <row r="4" spans="1:5" ht="12" customHeight="1"/>
    <row r="5" spans="1:5" ht="38" customHeight="1">
      <c r="A5" s="7" t="s">
        <v>29</v>
      </c>
      <c r="B5" s="7" t="s">
        <v>30</v>
      </c>
      <c r="C5" s="7" t="s">
        <v>31</v>
      </c>
      <c r="D5" s="7" t="s">
        <v>32</v>
      </c>
      <c r="E5" s="7" t="s">
        <v>33</v>
      </c>
    </row>
    <row r="6" spans="1:5" ht="45" customHeight="1">
      <c r="A6" s="8" t="s">
        <v>871</v>
      </c>
      <c r="B6" s="8" t="s">
        <v>872</v>
      </c>
      <c r="C6" s="8" t="s">
        <v>873</v>
      </c>
      <c r="D6" s="8" t="s">
        <v>874</v>
      </c>
      <c r="E6" s="9" t="s">
        <v>875</v>
      </c>
    </row>
    <row r="7" spans="1:5" ht="45" customHeight="1">
      <c r="A7" s="10" t="s">
        <v>876</v>
      </c>
      <c r="B7" s="10" t="s">
        <v>877</v>
      </c>
      <c r="C7" s="10" t="s">
        <v>878</v>
      </c>
      <c r="D7" s="10" t="s">
        <v>879</v>
      </c>
      <c r="E7" s="11" t="s">
        <v>880</v>
      </c>
    </row>
    <row r="8" spans="1:5" ht="45" customHeight="1">
      <c r="A8" s="8" t="s">
        <v>881</v>
      </c>
      <c r="B8" s="8" t="s">
        <v>882</v>
      </c>
      <c r="C8" s="8" t="s">
        <v>883</v>
      </c>
      <c r="D8" s="8" t="s">
        <v>884</v>
      </c>
      <c r="E8" s="9" t="s">
        <v>885</v>
      </c>
    </row>
    <row r="9" spans="1:5" ht="45" customHeight="1">
      <c r="A9" s="10" t="s">
        <v>886</v>
      </c>
      <c r="B9" s="10" t="s">
        <v>887</v>
      </c>
      <c r="C9" s="10" t="s">
        <v>888</v>
      </c>
      <c r="D9" s="10" t="s">
        <v>889</v>
      </c>
      <c r="E9" s="11" t="s">
        <v>890</v>
      </c>
    </row>
    <row r="10" spans="1:5" ht="45" customHeight="1">
      <c r="A10" s="8" t="s">
        <v>891</v>
      </c>
      <c r="B10" s="8" t="s">
        <v>892</v>
      </c>
      <c r="C10" s="8" t="s">
        <v>893</v>
      </c>
      <c r="D10" s="8" t="s">
        <v>894</v>
      </c>
      <c r="E10" s="9" t="s">
        <v>580</v>
      </c>
    </row>
    <row r="11" spans="1:5" ht="45" customHeight="1">
      <c r="A11" s="10" t="s">
        <v>895</v>
      </c>
      <c r="B11" s="10" t="s">
        <v>896</v>
      </c>
      <c r="C11" s="10" t="s">
        <v>897</v>
      </c>
      <c r="D11" s="10" t="s">
        <v>898</v>
      </c>
      <c r="E11" s="11" t="s">
        <v>899</v>
      </c>
    </row>
    <row r="12" spans="1:5" ht="45" customHeight="1">
      <c r="A12" s="8" t="s">
        <v>900</v>
      </c>
      <c r="B12" s="8" t="s">
        <v>901</v>
      </c>
      <c r="C12" s="8" t="s">
        <v>902</v>
      </c>
      <c r="D12" s="8" t="s">
        <v>903</v>
      </c>
      <c r="E12" s="9" t="s">
        <v>904</v>
      </c>
    </row>
    <row r="13" spans="1:5" ht="45" customHeight="1">
      <c r="A13" s="10" t="s">
        <v>905</v>
      </c>
      <c r="B13" s="10" t="s">
        <v>906</v>
      </c>
      <c r="C13" s="10" t="s">
        <v>907</v>
      </c>
      <c r="D13" s="10" t="s">
        <v>908</v>
      </c>
      <c r="E13" s="11" t="s">
        <v>909</v>
      </c>
    </row>
    <row r="14" spans="1:5" ht="45" customHeight="1">
      <c r="A14" s="8" t="s">
        <v>910</v>
      </c>
      <c r="B14" s="8" t="s">
        <v>911</v>
      </c>
      <c r="C14" s="8" t="s">
        <v>912</v>
      </c>
      <c r="D14" s="8" t="s">
        <v>913</v>
      </c>
      <c r="E14" s="9" t="s">
        <v>914</v>
      </c>
    </row>
    <row r="15" spans="1:5" ht="45" customHeight="1">
      <c r="A15" s="10" t="s">
        <v>915</v>
      </c>
      <c r="B15" s="10" t="s">
        <v>916</v>
      </c>
      <c r="C15" s="10" t="s">
        <v>917</v>
      </c>
      <c r="D15" s="10" t="s">
        <v>918</v>
      </c>
      <c r="E15" s="11" t="s">
        <v>919</v>
      </c>
    </row>
    <row r="16" spans="1:5" ht="45" customHeight="1">
      <c r="A16" s="8" t="s">
        <v>920</v>
      </c>
      <c r="B16" s="8" t="s">
        <v>921</v>
      </c>
      <c r="C16" s="8" t="s">
        <v>922</v>
      </c>
      <c r="D16" s="8" t="s">
        <v>923</v>
      </c>
      <c r="E16" s="9" t="s">
        <v>924</v>
      </c>
    </row>
    <row r="17" spans="1:5" ht="45" customHeight="1">
      <c r="A17" s="10" t="s">
        <v>925</v>
      </c>
      <c r="B17" s="10" t="s">
        <v>926</v>
      </c>
      <c r="C17" s="10" t="s">
        <v>927</v>
      </c>
      <c r="D17" s="10" t="s">
        <v>928</v>
      </c>
      <c r="E17" s="11" t="s">
        <v>929</v>
      </c>
    </row>
    <row r="18" spans="1:5" ht="45" customHeight="1">
      <c r="A18" s="8" t="s">
        <v>930</v>
      </c>
      <c r="B18" s="8" t="s">
        <v>931</v>
      </c>
      <c r="C18" s="8" t="s">
        <v>932</v>
      </c>
      <c r="D18" s="8" t="s">
        <v>933</v>
      </c>
      <c r="E18" s="9" t="s">
        <v>934</v>
      </c>
    </row>
    <row r="19" spans="1:5" ht="45" customHeight="1">
      <c r="A19" s="10" t="s">
        <v>935</v>
      </c>
      <c r="B19" s="10" t="s">
        <v>936</v>
      </c>
      <c r="C19" s="10" t="s">
        <v>937</v>
      </c>
      <c r="D19" s="10" t="s">
        <v>938</v>
      </c>
      <c r="E19" s="11" t="s">
        <v>939</v>
      </c>
    </row>
    <row r="20" spans="1:5" ht="45" customHeight="1">
      <c r="A20" s="8" t="s">
        <v>940</v>
      </c>
      <c r="B20" s="8" t="s">
        <v>941</v>
      </c>
      <c r="C20" s="8" t="s">
        <v>942</v>
      </c>
      <c r="D20" s="8" t="s">
        <v>943</v>
      </c>
      <c r="E20" s="9" t="s">
        <v>944</v>
      </c>
    </row>
    <row r="21" spans="1:5" ht="45" customHeight="1">
      <c r="A21" s="10" t="s">
        <v>945</v>
      </c>
      <c r="B21" s="10" t="s">
        <v>946</v>
      </c>
      <c r="C21" s="10" t="s">
        <v>947</v>
      </c>
      <c r="D21" s="10" t="s">
        <v>948</v>
      </c>
      <c r="E21" s="11" t="s">
        <v>949</v>
      </c>
    </row>
    <row r="22" spans="1:5" ht="45" customHeight="1">
      <c r="A22" s="8" t="s">
        <v>950</v>
      </c>
      <c r="B22" s="8" t="s">
        <v>951</v>
      </c>
      <c r="C22" s="8" t="s">
        <v>952</v>
      </c>
      <c r="D22" s="8" t="s">
        <v>953</v>
      </c>
      <c r="E22" s="9" t="s">
        <v>954</v>
      </c>
    </row>
    <row r="23" spans="1:5" ht="45" customHeight="1">
      <c r="A23" s="10" t="s">
        <v>955</v>
      </c>
      <c r="B23" s="10" t="s">
        <v>956</v>
      </c>
      <c r="C23" s="10" t="s">
        <v>957</v>
      </c>
      <c r="D23" s="10" t="s">
        <v>958</v>
      </c>
      <c r="E23" s="11" t="s">
        <v>959</v>
      </c>
    </row>
  </sheetData>
  <autoFilter ref="A5:E23"/>
  <mergeCells count="2">
    <mergeCell ref="A1:E2"/>
    <mergeCell ref="A3:E3"/>
  </mergeCells>
  <hyperlinks>
    <hyperlink ref="E6" location="'90_公式出典'!A40" display="S35"/>
    <hyperlink ref="E7" location="'90_公式出典'!A65" display="S60 S52"/>
    <hyperlink ref="E8" location="'90_公式出典'!A42" display="S37 S54"/>
    <hyperlink ref="E9" location="'90_公式出典'!A46" display="S41"/>
    <hyperlink ref="E10" location="'90_公式出典'!A59" display="S54 設計提案"/>
    <hyperlink ref="E11" location="'90_公式出典'!A7" display="S02 S36 S54"/>
    <hyperlink ref="E12" location="'90_公式出典'!A42" display="S37"/>
    <hyperlink ref="E13" location="'90_公式出典'!A42" display="S37 設計提案"/>
    <hyperlink ref="E14" location="'90_公式出典'!A43" display="S38 S23"/>
    <hyperlink ref="E15" location="'90_公式出典'!A28" display="S23 S38"/>
    <hyperlink ref="E16" location="'90_公式出典'!A47" display="S42 S43"/>
    <hyperlink ref="E17" location="'90_公式出典'!A47" display="S42"/>
    <hyperlink ref="E18" location="'90_公式出典'!A48" display="S43"/>
    <hyperlink ref="E19" location="'90_公式出典'!A47" display="S42 設計提案"/>
    <hyperlink ref="E20" location="'90_公式出典'!A44" display="S39"/>
    <hyperlink ref="E21" location="'90_公式出典'!A44" display="S39 S40 設計提案"/>
    <hyperlink ref="E22" location="'90_公式出典'!A45" display="S40"/>
    <hyperlink ref="E23" location="'90_公式出典'!A44" display="S39 設計提案"/>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5.xml><?xml version="1.0" encoding="utf-8"?>
<worksheet xmlns="http://schemas.openxmlformats.org/spreadsheetml/2006/main" xmlns:r="http://schemas.openxmlformats.org/officeDocument/2006/relationships">
  <sheetPr>
    <tabColor rgb="FF777777"/>
    <pageSetUpPr fitToPage="1"/>
  </sheetPr>
  <dimension ref="A1:E20"/>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960</v>
      </c>
      <c r="B1" s="5"/>
      <c r="C1" s="5"/>
      <c r="D1" s="5"/>
      <c r="E1" s="5"/>
    </row>
    <row r="2" spans="1:5" ht="26" customHeight="1">
      <c r="A2" s="5"/>
      <c r="B2" s="5"/>
      <c r="C2" s="5"/>
      <c r="D2" s="5"/>
      <c r="E2" s="5"/>
    </row>
    <row r="3" spans="1:5" ht="48" customHeight="1">
      <c r="A3" s="6" t="s">
        <v>961</v>
      </c>
      <c r="B3" s="6"/>
      <c r="C3" s="6"/>
      <c r="D3" s="6"/>
      <c r="E3" s="6"/>
    </row>
    <row r="4" spans="1:5" ht="12" customHeight="1"/>
    <row r="5" spans="1:5" ht="38" customHeight="1">
      <c r="A5" s="7" t="s">
        <v>29</v>
      </c>
      <c r="B5" s="7" t="s">
        <v>30</v>
      </c>
      <c r="C5" s="7" t="s">
        <v>31</v>
      </c>
      <c r="D5" s="7" t="s">
        <v>32</v>
      </c>
      <c r="E5" s="7" t="s">
        <v>33</v>
      </c>
    </row>
    <row r="6" spans="1:5" ht="45" customHeight="1">
      <c r="A6" s="8" t="s">
        <v>962</v>
      </c>
      <c r="B6" s="8" t="s">
        <v>963</v>
      </c>
      <c r="C6" s="8" t="s">
        <v>964</v>
      </c>
      <c r="D6" s="8" t="s">
        <v>965</v>
      </c>
      <c r="E6" s="9" t="s">
        <v>966</v>
      </c>
    </row>
    <row r="7" spans="1:5" ht="34" customHeight="1">
      <c r="A7" s="10" t="s">
        <v>967</v>
      </c>
      <c r="B7" s="10" t="s">
        <v>968</v>
      </c>
      <c r="C7" s="10" t="s">
        <v>969</v>
      </c>
      <c r="D7" s="10" t="s">
        <v>970</v>
      </c>
      <c r="E7" s="11" t="s">
        <v>971</v>
      </c>
    </row>
    <row r="8" spans="1:5" ht="45" customHeight="1">
      <c r="A8" s="8" t="s">
        <v>972</v>
      </c>
      <c r="B8" s="8" t="s">
        <v>973</v>
      </c>
      <c r="C8" s="8" t="s">
        <v>974</v>
      </c>
      <c r="D8" s="8" t="s">
        <v>975</v>
      </c>
      <c r="E8" s="9" t="s">
        <v>976</v>
      </c>
    </row>
    <row r="9" spans="1:5" ht="45" customHeight="1">
      <c r="A9" s="10" t="s">
        <v>977</v>
      </c>
      <c r="B9" s="10" t="s">
        <v>978</v>
      </c>
      <c r="C9" s="10" t="s">
        <v>979</v>
      </c>
      <c r="D9" s="10" t="s">
        <v>980</v>
      </c>
      <c r="E9" s="11" t="s">
        <v>981</v>
      </c>
    </row>
    <row r="10" spans="1:5" ht="45" customHeight="1">
      <c r="A10" s="8" t="s">
        <v>982</v>
      </c>
      <c r="B10" s="8" t="s">
        <v>983</v>
      </c>
      <c r="C10" s="8" t="s">
        <v>984</v>
      </c>
      <c r="D10" s="8" t="s">
        <v>985</v>
      </c>
      <c r="E10" s="9" t="s">
        <v>986</v>
      </c>
    </row>
    <row r="11" spans="1:5" ht="45" customHeight="1">
      <c r="A11" s="10" t="s">
        <v>987</v>
      </c>
      <c r="B11" s="10" t="s">
        <v>988</v>
      </c>
      <c r="C11" s="10" t="s">
        <v>989</v>
      </c>
      <c r="D11" s="10" t="s">
        <v>990</v>
      </c>
      <c r="E11" s="11" t="s">
        <v>127</v>
      </c>
    </row>
    <row r="12" spans="1:5" ht="34" customHeight="1">
      <c r="A12" s="8" t="s">
        <v>991</v>
      </c>
      <c r="B12" s="8" t="s">
        <v>992</v>
      </c>
      <c r="C12" s="8" t="s">
        <v>993</v>
      </c>
      <c r="D12" s="8" t="s">
        <v>994</v>
      </c>
      <c r="E12" s="9" t="s">
        <v>174</v>
      </c>
    </row>
    <row r="13" spans="1:5" ht="45" customHeight="1">
      <c r="A13" s="10" t="s">
        <v>995</v>
      </c>
      <c r="B13" s="10" t="s">
        <v>996</v>
      </c>
      <c r="C13" s="10" t="s">
        <v>997</v>
      </c>
      <c r="D13" s="10" t="s">
        <v>998</v>
      </c>
      <c r="E13" s="11" t="s">
        <v>227</v>
      </c>
    </row>
    <row r="14" spans="1:5" ht="45" customHeight="1">
      <c r="A14" s="8" t="s">
        <v>999</v>
      </c>
      <c r="B14" s="8" t="s">
        <v>1000</v>
      </c>
      <c r="C14" s="8" t="s">
        <v>1001</v>
      </c>
      <c r="D14" s="8" t="s">
        <v>1002</v>
      </c>
      <c r="E14" s="9" t="s">
        <v>318</v>
      </c>
    </row>
    <row r="15" spans="1:5" ht="45" customHeight="1">
      <c r="A15" s="10" t="s">
        <v>1003</v>
      </c>
      <c r="B15" s="10" t="s">
        <v>1004</v>
      </c>
      <c r="C15" s="10" t="s">
        <v>1005</v>
      </c>
      <c r="D15" s="10" t="s">
        <v>1006</v>
      </c>
      <c r="E15" s="10" t="s">
        <v>53</v>
      </c>
    </row>
    <row r="16" spans="1:5" ht="45" customHeight="1">
      <c r="A16" s="8" t="s">
        <v>1007</v>
      </c>
      <c r="B16" s="8" t="s">
        <v>1008</v>
      </c>
      <c r="C16" s="8" t="s">
        <v>1009</v>
      </c>
      <c r="D16" s="8" t="s">
        <v>1010</v>
      </c>
      <c r="E16" s="9" t="s">
        <v>1011</v>
      </c>
    </row>
    <row r="17" spans="1:5" ht="45" customHeight="1">
      <c r="A17" s="10" t="s">
        <v>1012</v>
      </c>
      <c r="B17" s="10" t="s">
        <v>1013</v>
      </c>
      <c r="C17" s="10" t="s">
        <v>1014</v>
      </c>
      <c r="D17" s="10" t="s">
        <v>1015</v>
      </c>
      <c r="E17" s="11" t="s">
        <v>1016</v>
      </c>
    </row>
    <row r="18" spans="1:5" ht="45" customHeight="1">
      <c r="A18" s="8" t="s">
        <v>1017</v>
      </c>
      <c r="B18" s="8" t="s">
        <v>1018</v>
      </c>
      <c r="C18" s="8" t="s">
        <v>1019</v>
      </c>
      <c r="D18" s="8" t="s">
        <v>1020</v>
      </c>
      <c r="E18" s="9" t="s">
        <v>1021</v>
      </c>
    </row>
    <row r="19" spans="1:5" ht="45" customHeight="1">
      <c r="A19" s="10" t="s">
        <v>1022</v>
      </c>
      <c r="B19" s="10" t="s">
        <v>1023</v>
      </c>
      <c r="C19" s="10" t="s">
        <v>1024</v>
      </c>
      <c r="D19" s="10" t="s">
        <v>1025</v>
      </c>
      <c r="E19" s="11" t="s">
        <v>1026</v>
      </c>
    </row>
    <row r="20" spans="1:5" ht="45" customHeight="1">
      <c r="A20" s="8" t="s">
        <v>1027</v>
      </c>
      <c r="B20" s="8" t="s">
        <v>1028</v>
      </c>
      <c r="C20" s="8" t="s">
        <v>1029</v>
      </c>
      <c r="D20" s="8" t="s">
        <v>1030</v>
      </c>
      <c r="E20" s="9" t="s">
        <v>1031</v>
      </c>
    </row>
  </sheetData>
  <autoFilter ref="A5:E20"/>
  <mergeCells count="2">
    <mergeCell ref="A1:E2"/>
    <mergeCell ref="A3:E3"/>
  </mergeCells>
  <hyperlinks>
    <hyperlink ref="E6" location="'90_公式出典'!A9" display="S04 S31"/>
    <hyperlink ref="E7" location="'90_公式出典'!A13" display="S08 S30"/>
    <hyperlink ref="E8" location="'90_公式出典'!A30" display="S25 S29 S53 S54"/>
    <hyperlink ref="E9" location="'90_公式出典'!A12" display="S07 S17"/>
    <hyperlink ref="E10" location="'90_公式出典'!A14" display="S09 S59"/>
    <hyperlink ref="E11" location="'90_公式出典'!A15" display="S10"/>
    <hyperlink ref="E12" location="'90_公式出典'!A21" display="S16"/>
    <hyperlink ref="E13" location="'90_公式出典'!A36" display="S31 S33 S34"/>
    <hyperlink ref="E14" location="'90_公式出典'!A38" display="S33"/>
    <hyperlink ref="E16" location="'90_公式出典'!A13" display="S08 S17"/>
    <hyperlink ref="E17" location="'90_公式出典'!A22" display="S17 S45 S46"/>
    <hyperlink ref="E18" location="'90_公式出典'!A64" display="S59"/>
    <hyperlink ref="E19" location="'90_公式出典'!A49" display="S44"/>
    <hyperlink ref="E20" location="'90_公式出典'!A12" display="S07 S52 設計提案"/>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6.xml><?xml version="1.0" encoding="utf-8"?>
<worksheet xmlns="http://schemas.openxmlformats.org/spreadsheetml/2006/main" xmlns:r="http://schemas.openxmlformats.org/officeDocument/2006/relationships">
  <sheetPr>
    <pageSetUpPr fitToPage="1"/>
  </sheetPr>
  <dimension ref="B2:D29"/>
  <sheetViews>
    <sheetView showGridLines="0" zoomScale="95" zoomScaleNormal="95" workbookViewId="0"/>
  </sheetViews>
  <sheetFormatPr defaultRowHeight="15"/>
  <cols>
    <col min="1" max="1" width="6.7109375" customWidth="1"/>
    <col min="2" max="2" width="52.7109375" customWidth="1"/>
    <col min="3" max="3" width="23.7109375" customWidth="1"/>
    <col min="4" max="4" width="86.7109375" customWidth="1"/>
  </cols>
  <sheetData>
    <row r="2" spans="2:4">
      <c r="B2" s="18" t="s">
        <v>1032</v>
      </c>
      <c r="C2" s="18"/>
      <c r="D2" s="18"/>
    </row>
    <row r="3" spans="2:4">
      <c r="B3" s="18"/>
      <c r="C3" s="18"/>
      <c r="D3" s="18"/>
    </row>
    <row r="5" spans="2:4">
      <c r="B5" s="3" t="s">
        <v>1033</v>
      </c>
      <c r="C5" s="3"/>
      <c r="D5" s="3"/>
    </row>
    <row r="6" spans="2:4">
      <c r="B6" s="3"/>
      <c r="C6" s="3"/>
      <c r="D6" s="3"/>
    </row>
    <row r="8" spans="2:4" ht="41" customHeight="1">
      <c r="B8" s="3" t="s">
        <v>1034</v>
      </c>
      <c r="C8" s="19">
        <v>3000</v>
      </c>
      <c r="D8" s="3" t="s">
        <v>1035</v>
      </c>
    </row>
    <row r="9" spans="2:4" ht="41" customHeight="1">
      <c r="B9" s="3" t="s">
        <v>1036</v>
      </c>
      <c r="C9" s="19">
        <v>80</v>
      </c>
      <c r="D9" s="3" t="s">
        <v>1037</v>
      </c>
    </row>
    <row r="10" spans="2:4" ht="41" customHeight="1">
      <c r="B10" s="3" t="s">
        <v>1038</v>
      </c>
      <c r="C10" s="19">
        <v>2300</v>
      </c>
      <c r="D10" s="3" t="s">
        <v>1039</v>
      </c>
    </row>
    <row r="11" spans="2:4" ht="41" customHeight="1">
      <c r="B11" s="3" t="s">
        <v>1040</v>
      </c>
      <c r="C11" s="19">
        <v>30</v>
      </c>
      <c r="D11" s="3" t="s">
        <v>1041</v>
      </c>
    </row>
    <row r="12" spans="2:4" ht="41" customHeight="1">
      <c r="B12" s="3" t="s">
        <v>1042</v>
      </c>
      <c r="C12" s="19">
        <v>20</v>
      </c>
      <c r="D12" s="3" t="s">
        <v>1043</v>
      </c>
    </row>
    <row r="13" spans="2:4" ht="41" customHeight="1">
      <c r="B13" s="3" t="s">
        <v>1044</v>
      </c>
      <c r="C13" s="19">
        <v>2</v>
      </c>
      <c r="D13" s="3" t="s">
        <v>1045</v>
      </c>
    </row>
    <row r="14" spans="2:4" ht="41" customHeight="1">
      <c r="B14" s="3" t="s">
        <v>1046</v>
      </c>
      <c r="C14" s="19">
        <v>8</v>
      </c>
      <c r="D14" s="3" t="s">
        <v>1047</v>
      </c>
    </row>
    <row r="15" spans="2:4" ht="41" customHeight="1">
      <c r="B15" s="3" t="s">
        <v>1048</v>
      </c>
      <c r="C15" s="19">
        <v>50</v>
      </c>
      <c r="D15" s="3" t="s">
        <v>1049</v>
      </c>
    </row>
    <row r="16" spans="2:4" ht="41" customHeight="1">
      <c r="B16" s="3" t="s">
        <v>1050</v>
      </c>
      <c r="C16" s="19">
        <v>1.3</v>
      </c>
      <c r="D16" s="3" t="s">
        <v>1051</v>
      </c>
    </row>
    <row r="19" spans="2:4" ht="46" customHeight="1">
      <c r="B19" s="3" t="s">
        <v>1052</v>
      </c>
      <c r="C19" s="20">
        <f>C11*C12*C13+C14</f>
        <v>1208</v>
      </c>
      <c r="D19" s="3" t="s">
        <v>1053</v>
      </c>
    </row>
    <row r="20" spans="2:4" ht="46" customHeight="1">
      <c r="B20" s="3" t="s">
        <v>1054</v>
      </c>
      <c r="C20" s="20">
        <f>ROUNDUP(C19*C16,0)</f>
        <v>1571</v>
      </c>
      <c r="D20" s="3" t="s">
        <v>1055</v>
      </c>
    </row>
    <row r="21" spans="2:4" ht="46" customHeight="1">
      <c r="B21" s="3" t="s">
        <v>1056</v>
      </c>
      <c r="C21" s="20">
        <f>C10-C20</f>
        <v>729</v>
      </c>
      <c r="D21" s="3" t="s">
        <v>1057</v>
      </c>
    </row>
    <row r="22" spans="2:4" ht="46" customHeight="1">
      <c r="B22" s="3" t="s">
        <v>1058</v>
      </c>
      <c r="C22" s="20">
        <f>ROUNDDOWN(C8*C9/100,0)</f>
        <v>2400</v>
      </c>
      <c r="D22" s="3" t="s">
        <v>1059</v>
      </c>
    </row>
    <row r="23" spans="2:4" ht="46" customHeight="1">
      <c r="B23" s="3" t="s">
        <v>1060</v>
      </c>
      <c r="C23" s="20">
        <f>C8-C22-C15</f>
        <v>550</v>
      </c>
      <c r="D23" s="3" t="s">
        <v>1061</v>
      </c>
    </row>
    <row r="24" spans="2:4" ht="46" customHeight="1">
      <c r="B24" s="3" t="s">
        <v>1062</v>
      </c>
      <c r="C24" s="20" t="str">
        <f>IF(AND(C21&gt;=0,C23&gt;=0),"枠内（性能は未検証）","要再設計")</f>
        <v>枠内（性能は未検証）</v>
      </c>
      <c r="D24" s="3" t="s">
        <v>1063</v>
      </c>
    </row>
    <row r="27" spans="2:4">
      <c r="B27" s="3" t="s">
        <v>1064</v>
      </c>
      <c r="C27" s="3"/>
      <c r="D27" s="3"/>
    </row>
    <row r="28" spans="2:4">
      <c r="B28" s="3"/>
      <c r="C28" s="3"/>
      <c r="D28" s="3"/>
    </row>
    <row r="29" spans="2:4">
      <c r="B29" s="3"/>
      <c r="C29" s="3"/>
      <c r="D29" s="3"/>
    </row>
  </sheetData>
  <mergeCells count="3">
    <mergeCell ref="B2:D3"/>
    <mergeCell ref="B5:D6"/>
    <mergeCell ref="B27:D29"/>
  </mergeCells>
  <dataValidations count="6">
    <dataValidation type="whole" operator="greaterThan" allowBlank="1" showInputMessage="1" showErrorMessage="1" sqref="C8">
      <formula1>0</formula1>
    </dataValidation>
    <dataValidation type="whole" operator="greaterThan" allowBlank="1" showInputMessage="1" showErrorMessage="1" sqref="C10:C12">
      <formula1>0</formula1>
    </dataValidation>
    <dataValidation type="whole" allowBlank="1" showInputMessage="1" showErrorMessage="1" sqref="C9">
      <formula1>1</formula1>
      <formula2>100</formula2>
    </dataValidation>
    <dataValidation type="decimal" operator="greaterThanOrEqual" allowBlank="1" showInputMessage="1" showErrorMessage="1" sqref="C13">
      <formula1>1</formula1>
    </dataValidation>
    <dataValidation type="whole" operator="greaterThanOrEqual" allowBlank="1" showInputMessage="1" showErrorMessage="1" sqref="C14:C15">
      <formula1>0</formula1>
    </dataValidation>
    <dataValidation type="decimal" operator="greaterThanOrEqual" allowBlank="1" showInputMessage="1" showErrorMessage="1" sqref="C16">
      <formula1>1</formula1>
    </dataValidation>
  </dataValidations>
  <pageMargins left="0.3" right="0.3" top="0.3" bottom="0.3" header="0.3" footer="0.3"/>
  <pageSetup paperSize="8" orientation="landscape"/>
</worksheet>
</file>

<file path=xl/worksheets/sheet17.xml><?xml version="1.0" encoding="utf-8"?>
<worksheet xmlns="http://schemas.openxmlformats.org/spreadsheetml/2006/main" xmlns:r="http://schemas.openxmlformats.org/officeDocument/2006/relationships">
  <sheetPr>
    <tabColor rgb="FF777777"/>
    <pageSetUpPr fitToPage="1"/>
  </sheetPr>
  <dimension ref="A1:E12"/>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50.7109375" customWidth="1"/>
    <col min="2" max="2" width="35.7109375" customWidth="1"/>
    <col min="3" max="3" width="78.7109375" customWidth="1"/>
    <col min="4" max="4" width="64.7109375" customWidth="1"/>
    <col min="5" max="5" width="20.7109375" customWidth="1"/>
  </cols>
  <sheetData>
    <row r="1" spans="1:5" ht="26" customHeight="1">
      <c r="A1" s="5" t="s">
        <v>1065</v>
      </c>
      <c r="B1" s="5"/>
      <c r="C1" s="5"/>
      <c r="D1" s="5"/>
      <c r="E1" s="5"/>
    </row>
    <row r="2" spans="1:5" ht="26" customHeight="1">
      <c r="A2" s="5"/>
      <c r="B2" s="5"/>
      <c r="C2" s="5"/>
      <c r="D2" s="5"/>
      <c r="E2" s="5"/>
    </row>
    <row r="3" spans="1:5" ht="48" customHeight="1">
      <c r="A3" s="6" t="s">
        <v>1066</v>
      </c>
      <c r="B3" s="6"/>
      <c r="C3" s="6"/>
      <c r="D3" s="6"/>
      <c r="E3" s="6"/>
    </row>
    <row r="4" spans="1:5" ht="12" customHeight="1"/>
    <row r="5" spans="1:5" ht="38" customHeight="1">
      <c r="A5" s="7" t="s">
        <v>1067</v>
      </c>
      <c r="B5" s="7" t="s">
        <v>1068</v>
      </c>
      <c r="C5" s="7" t="s">
        <v>1069</v>
      </c>
      <c r="D5" s="7" t="s">
        <v>1070</v>
      </c>
      <c r="E5" s="7" t="s">
        <v>33</v>
      </c>
    </row>
    <row r="6" spans="1:5" ht="34" customHeight="1">
      <c r="A6" s="8" t="s">
        <v>1071</v>
      </c>
      <c r="B6" s="8" t="s">
        <v>1072</v>
      </c>
      <c r="C6" s="8" t="s">
        <v>1073</v>
      </c>
      <c r="D6" s="8" t="s">
        <v>1074</v>
      </c>
      <c r="E6" s="9" t="s">
        <v>291</v>
      </c>
    </row>
    <row r="7" spans="1:5" ht="45" customHeight="1">
      <c r="A7" s="10" t="s">
        <v>1075</v>
      </c>
      <c r="B7" s="10" t="s">
        <v>1076</v>
      </c>
      <c r="C7" s="10" t="s">
        <v>1077</v>
      </c>
      <c r="D7" s="10" t="s">
        <v>1078</v>
      </c>
      <c r="E7" s="11" t="s">
        <v>803</v>
      </c>
    </row>
    <row r="8" spans="1:5" ht="34" customHeight="1">
      <c r="A8" s="8" t="s">
        <v>1079</v>
      </c>
      <c r="B8" s="8" t="s">
        <v>1080</v>
      </c>
      <c r="C8" s="8" t="s">
        <v>1081</v>
      </c>
      <c r="D8" s="8" t="s">
        <v>1082</v>
      </c>
      <c r="E8" s="9" t="s">
        <v>750</v>
      </c>
    </row>
    <row r="9" spans="1:5" ht="34" customHeight="1">
      <c r="A9" s="10" t="s">
        <v>1083</v>
      </c>
      <c r="B9" s="10" t="s">
        <v>1084</v>
      </c>
      <c r="C9" s="10" t="s">
        <v>1085</v>
      </c>
      <c r="D9" s="10" t="s">
        <v>1086</v>
      </c>
      <c r="E9" s="11" t="s">
        <v>1087</v>
      </c>
    </row>
    <row r="10" spans="1:5" ht="34" customHeight="1">
      <c r="A10" s="8" t="s">
        <v>1088</v>
      </c>
      <c r="B10" s="8" t="s">
        <v>1089</v>
      </c>
      <c r="C10" s="8" t="s">
        <v>1090</v>
      </c>
      <c r="D10" s="8" t="s">
        <v>1091</v>
      </c>
      <c r="E10" s="9" t="s">
        <v>924</v>
      </c>
    </row>
    <row r="11" spans="1:5" ht="34" customHeight="1">
      <c r="A11" s="10" t="s">
        <v>1092</v>
      </c>
      <c r="B11" s="10" t="s">
        <v>1093</v>
      </c>
      <c r="C11" s="10" t="s">
        <v>1094</v>
      </c>
      <c r="D11" s="10" t="s">
        <v>1095</v>
      </c>
      <c r="E11" s="11" t="s">
        <v>58</v>
      </c>
    </row>
    <row r="12" spans="1:5" ht="34" customHeight="1">
      <c r="A12" s="8" t="s">
        <v>1096</v>
      </c>
      <c r="B12" s="8" t="s">
        <v>1097</v>
      </c>
      <c r="C12" s="8" t="s">
        <v>1098</v>
      </c>
      <c r="D12" s="8" t="s">
        <v>1099</v>
      </c>
      <c r="E12" s="8" t="s">
        <v>1100</v>
      </c>
    </row>
  </sheetData>
  <autoFilter ref="A5:E12"/>
  <mergeCells count="2">
    <mergeCell ref="A1:E2"/>
    <mergeCell ref="A3:E3"/>
  </mergeCells>
  <hyperlinks>
    <hyperlink ref="E6" location="'90_公式出典'!A36" display="S31"/>
    <hyperlink ref="E7" location="'90_公式出典'!A29" display="S24 S25"/>
    <hyperlink ref="E8" location="'90_公式出典'!A32" display="S27"/>
    <hyperlink ref="E9" location="'90_公式出典'!A25" display="S20"/>
    <hyperlink ref="E10" location="'90_公式出典'!A47" display="S42 S43"/>
    <hyperlink ref="E11" location="'90_公式出典'!A61" display="S56 S57"/>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8.xml><?xml version="1.0" encoding="utf-8"?>
<worksheet xmlns="http://schemas.openxmlformats.org/spreadsheetml/2006/main" xmlns:r="http://schemas.openxmlformats.org/officeDocument/2006/relationships">
  <sheetPr>
    <tabColor rgb="FF777777"/>
    <pageSetUpPr fitToPage="1"/>
  </sheetPr>
  <dimension ref="A1:M435"/>
  <sheetViews>
    <sheetView showGridLines="0" zoomScale="80" zoomScaleNormal="8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9.7109375" customWidth="1"/>
    <col min="2" max="2" width="44.7109375" customWidth="1"/>
    <col min="3" max="3" width="36.7109375" customWidth="1"/>
    <col min="4" max="4" width="44.7109375" customWidth="1"/>
    <col min="5" max="5" width="45.7109375" customWidth="1"/>
    <col min="6" max="6" width="24.7109375" customWidth="1"/>
    <col min="7" max="7" width="10.7109375" customWidth="1"/>
    <col min="8" max="8" width="24.7109375" customWidth="1"/>
    <col min="9" max="9" width="12.7109375" customWidth="1"/>
    <col min="10" max="10" width="52.7109375" customWidth="1"/>
    <col min="11" max="11" width="22.7109375" customWidth="1"/>
    <col min="12" max="12" width="44.7109375" customWidth="1"/>
    <col min="13" max="13" width="20.7109375" customWidth="1"/>
  </cols>
  <sheetData>
    <row r="1" spans="1:13" ht="26" customHeight="1">
      <c r="A1" s="5" t="s">
        <v>1101</v>
      </c>
      <c r="B1" s="5"/>
      <c r="C1" s="5"/>
      <c r="D1" s="5"/>
      <c r="E1" s="5"/>
      <c r="F1" s="5"/>
      <c r="G1" s="5"/>
      <c r="H1" s="5"/>
      <c r="I1" s="5"/>
      <c r="J1" s="5"/>
      <c r="K1" s="5"/>
      <c r="L1" s="5"/>
      <c r="M1" s="5"/>
    </row>
    <row r="2" spans="1:13" ht="26" customHeight="1">
      <c r="A2" s="5"/>
      <c r="B2" s="5"/>
      <c r="C2" s="5"/>
      <c r="D2" s="5"/>
      <c r="E2" s="5"/>
      <c r="F2" s="5"/>
      <c r="G2" s="5"/>
      <c r="H2" s="5"/>
      <c r="I2" s="5"/>
      <c r="J2" s="5"/>
      <c r="K2" s="5"/>
      <c r="L2" s="5"/>
      <c r="M2" s="5"/>
    </row>
    <row r="3" spans="1:13" ht="48" customHeight="1">
      <c r="A3" s="6" t="s">
        <v>1102</v>
      </c>
      <c r="B3" s="6"/>
      <c r="C3" s="6"/>
      <c r="D3" s="6"/>
      <c r="E3" s="6"/>
      <c r="F3" s="6"/>
      <c r="G3" s="6"/>
      <c r="H3" s="6"/>
      <c r="I3" s="6"/>
      <c r="J3" s="6"/>
      <c r="K3" s="6"/>
      <c r="L3" s="6"/>
      <c r="M3" s="6"/>
    </row>
    <row r="4" spans="1:13" ht="12" customHeight="1"/>
    <row r="5" spans="1:13" ht="38" customHeight="1">
      <c r="A5" s="7" t="s">
        <v>1103</v>
      </c>
      <c r="B5" s="7" t="s">
        <v>1104</v>
      </c>
      <c r="C5" s="7" t="s">
        <v>1105</v>
      </c>
      <c r="D5" s="7" t="s">
        <v>1106</v>
      </c>
      <c r="E5" s="7" t="s">
        <v>1107</v>
      </c>
      <c r="F5" s="7" t="s">
        <v>1108</v>
      </c>
      <c r="G5" s="7" t="s">
        <v>1109</v>
      </c>
      <c r="H5" s="7" t="s">
        <v>1110</v>
      </c>
      <c r="I5" s="7" t="s">
        <v>1111</v>
      </c>
      <c r="J5" s="7" t="s">
        <v>1112</v>
      </c>
      <c r="K5" s="7" t="s">
        <v>1113</v>
      </c>
      <c r="L5" s="7" t="s">
        <v>1114</v>
      </c>
      <c r="M5" s="7" t="s">
        <v>33</v>
      </c>
    </row>
    <row r="6" spans="1:13" ht="62" customHeight="1">
      <c r="A6" s="8" t="s">
        <v>1115</v>
      </c>
      <c r="B6" s="8" t="s">
        <v>1116</v>
      </c>
      <c r="C6" s="8" t="s">
        <v>1117</v>
      </c>
      <c r="D6" s="8" t="s">
        <v>1118</v>
      </c>
      <c r="E6" s="8" t="s">
        <v>1119</v>
      </c>
      <c r="F6" s="8" t="s">
        <v>1120</v>
      </c>
      <c r="G6" s="8" t="s">
        <v>1121</v>
      </c>
      <c r="H6" s="8" t="s">
        <v>1122</v>
      </c>
      <c r="I6" s="8" t="s">
        <v>1123</v>
      </c>
      <c r="J6" s="8" t="s">
        <v>1124</v>
      </c>
      <c r="K6" s="8" t="s">
        <v>1125</v>
      </c>
      <c r="L6" s="8" t="s">
        <v>1126</v>
      </c>
      <c r="M6" s="9" t="s">
        <v>1127</v>
      </c>
    </row>
    <row r="7" spans="1:13" ht="62" customHeight="1">
      <c r="A7" s="10" t="s">
        <v>1128</v>
      </c>
      <c r="B7" s="10" t="s">
        <v>1129</v>
      </c>
      <c r="C7" s="10" t="s">
        <v>1130</v>
      </c>
      <c r="D7" s="10" t="s">
        <v>1131</v>
      </c>
      <c r="E7" s="10" t="s">
        <v>1132</v>
      </c>
      <c r="F7" s="10" t="s">
        <v>1120</v>
      </c>
      <c r="G7" s="10" t="s">
        <v>1133</v>
      </c>
      <c r="H7" s="10" t="s">
        <v>1134</v>
      </c>
      <c r="I7" s="10" t="s">
        <v>1123</v>
      </c>
      <c r="J7" s="10" t="s">
        <v>1124</v>
      </c>
      <c r="K7" s="10" t="s">
        <v>1135</v>
      </c>
      <c r="L7" s="12" t="s">
        <v>1136</v>
      </c>
      <c r="M7" s="11" t="s">
        <v>1127</v>
      </c>
    </row>
    <row r="8" spans="1:13" ht="62" customHeight="1">
      <c r="A8" s="8" t="s">
        <v>1137</v>
      </c>
      <c r="B8" s="8" t="s">
        <v>1138</v>
      </c>
      <c r="C8" s="8" t="s">
        <v>1139</v>
      </c>
      <c r="D8" s="8" t="s">
        <v>1131</v>
      </c>
      <c r="E8" s="8" t="s">
        <v>1132</v>
      </c>
      <c r="F8" s="8" t="s">
        <v>1140</v>
      </c>
      <c r="G8" s="8" t="s">
        <v>1121</v>
      </c>
      <c r="H8" s="8" t="s">
        <v>1122</v>
      </c>
      <c r="I8" s="8" t="s">
        <v>1141</v>
      </c>
      <c r="J8" s="8" t="s">
        <v>1142</v>
      </c>
      <c r="K8" s="8" t="s">
        <v>1135</v>
      </c>
      <c r="L8" s="8" t="s">
        <v>1126</v>
      </c>
      <c r="M8" s="9" t="s">
        <v>1127</v>
      </c>
    </row>
    <row r="9" spans="1:13" ht="62" customHeight="1">
      <c r="A9" s="10" t="s">
        <v>1143</v>
      </c>
      <c r="B9" s="10" t="s">
        <v>1144</v>
      </c>
      <c r="C9" s="10" t="s">
        <v>1145</v>
      </c>
      <c r="D9" s="10" t="s">
        <v>1131</v>
      </c>
      <c r="E9" s="10" t="s">
        <v>1132</v>
      </c>
      <c r="F9" s="10" t="s">
        <v>1120</v>
      </c>
      <c r="G9" s="10" t="s">
        <v>1121</v>
      </c>
      <c r="H9" s="10" t="s">
        <v>1122</v>
      </c>
      <c r="I9" s="10" t="s">
        <v>1141</v>
      </c>
      <c r="J9" s="10" t="s">
        <v>1146</v>
      </c>
      <c r="K9" s="10" t="s">
        <v>1135</v>
      </c>
      <c r="L9" s="10" t="s">
        <v>1126</v>
      </c>
      <c r="M9" s="11" t="s">
        <v>1127</v>
      </c>
    </row>
    <row r="10" spans="1:13" ht="62" customHeight="1">
      <c r="A10" s="8" t="s">
        <v>1147</v>
      </c>
      <c r="B10" s="8" t="s">
        <v>1148</v>
      </c>
      <c r="C10" s="8" t="s">
        <v>1149</v>
      </c>
      <c r="D10" s="8" t="s">
        <v>1131</v>
      </c>
      <c r="E10" s="8" t="s">
        <v>1132</v>
      </c>
      <c r="F10" s="8" t="s">
        <v>1120</v>
      </c>
      <c r="G10" s="8" t="s">
        <v>1121</v>
      </c>
      <c r="H10" s="8" t="s">
        <v>1122</v>
      </c>
      <c r="I10" s="8" t="s">
        <v>1123</v>
      </c>
      <c r="J10" s="8" t="s">
        <v>1124</v>
      </c>
      <c r="K10" s="8" t="s">
        <v>1135</v>
      </c>
      <c r="L10" s="8" t="s">
        <v>1126</v>
      </c>
      <c r="M10" s="9" t="s">
        <v>1150</v>
      </c>
    </row>
    <row r="11" spans="1:13" ht="62" customHeight="1">
      <c r="A11" s="10" t="s">
        <v>1151</v>
      </c>
      <c r="B11" s="10" t="s">
        <v>1152</v>
      </c>
      <c r="C11" s="10" t="s">
        <v>1153</v>
      </c>
      <c r="D11" s="10" t="s">
        <v>1131</v>
      </c>
      <c r="E11" s="10" t="s">
        <v>1132</v>
      </c>
      <c r="F11" s="10" t="s">
        <v>1140</v>
      </c>
      <c r="G11" s="10" t="s">
        <v>1121</v>
      </c>
      <c r="H11" s="10" t="s">
        <v>1122</v>
      </c>
      <c r="I11" s="10" t="s">
        <v>1123</v>
      </c>
      <c r="J11" s="10" t="s">
        <v>1124</v>
      </c>
      <c r="K11" s="10" t="s">
        <v>1135</v>
      </c>
      <c r="L11" s="10" t="s">
        <v>1126</v>
      </c>
      <c r="M11" s="11" t="s">
        <v>1127</v>
      </c>
    </row>
    <row r="12" spans="1:13" ht="62" customHeight="1">
      <c r="A12" s="8" t="s">
        <v>1154</v>
      </c>
      <c r="B12" s="8" t="s">
        <v>1155</v>
      </c>
      <c r="C12" s="8" t="s">
        <v>1156</v>
      </c>
      <c r="D12" s="8" t="s">
        <v>1118</v>
      </c>
      <c r="E12" s="8" t="s">
        <v>1132</v>
      </c>
      <c r="F12" s="8" t="s">
        <v>1140</v>
      </c>
      <c r="G12" s="8" t="s">
        <v>1121</v>
      </c>
      <c r="H12" s="8" t="s">
        <v>1122</v>
      </c>
      <c r="I12" s="8" t="s">
        <v>1123</v>
      </c>
      <c r="J12" s="8" t="s">
        <v>1124</v>
      </c>
      <c r="K12" s="8" t="s">
        <v>1135</v>
      </c>
      <c r="L12" s="8" t="s">
        <v>1126</v>
      </c>
      <c r="M12" s="9" t="s">
        <v>1157</v>
      </c>
    </row>
    <row r="13" spans="1:13" ht="62" customHeight="1">
      <c r="A13" s="10" t="s">
        <v>1158</v>
      </c>
      <c r="B13" s="10" t="s">
        <v>1159</v>
      </c>
      <c r="C13" s="10" t="s">
        <v>1160</v>
      </c>
      <c r="D13" s="10" t="s">
        <v>1131</v>
      </c>
      <c r="E13" s="10" t="s">
        <v>1132</v>
      </c>
      <c r="F13" s="10" t="s">
        <v>1140</v>
      </c>
      <c r="G13" s="10" t="s">
        <v>1121</v>
      </c>
      <c r="H13" s="10" t="s">
        <v>1134</v>
      </c>
      <c r="I13" s="10" t="s">
        <v>1123</v>
      </c>
      <c r="J13" s="10" t="s">
        <v>1124</v>
      </c>
      <c r="K13" s="10" t="s">
        <v>1135</v>
      </c>
      <c r="L13" s="10" t="s">
        <v>1161</v>
      </c>
      <c r="M13" s="11" t="s">
        <v>1127</v>
      </c>
    </row>
    <row r="14" spans="1:13" ht="62" customHeight="1">
      <c r="A14" s="8" t="s">
        <v>1162</v>
      </c>
      <c r="B14" s="8" t="s">
        <v>1163</v>
      </c>
      <c r="C14" s="8" t="s">
        <v>1164</v>
      </c>
      <c r="D14" s="8" t="s">
        <v>1118</v>
      </c>
      <c r="E14" s="8" t="s">
        <v>1132</v>
      </c>
      <c r="F14" s="8" t="s">
        <v>1140</v>
      </c>
      <c r="G14" s="8" t="s">
        <v>1121</v>
      </c>
      <c r="H14" s="8" t="s">
        <v>1122</v>
      </c>
      <c r="I14" s="8" t="s">
        <v>1123</v>
      </c>
      <c r="J14" s="8" t="s">
        <v>1124</v>
      </c>
      <c r="K14" s="8" t="s">
        <v>1135</v>
      </c>
      <c r="L14" s="8" t="s">
        <v>1126</v>
      </c>
      <c r="M14" s="9" t="s">
        <v>1127</v>
      </c>
    </row>
    <row r="15" spans="1:13" ht="62" customHeight="1">
      <c r="A15" s="10" t="s">
        <v>1165</v>
      </c>
      <c r="B15" s="10" t="s">
        <v>1166</v>
      </c>
      <c r="C15" s="10" t="s">
        <v>1167</v>
      </c>
      <c r="D15" s="10" t="s">
        <v>1168</v>
      </c>
      <c r="E15" s="10" t="s">
        <v>1132</v>
      </c>
      <c r="F15" s="10" t="s">
        <v>1140</v>
      </c>
      <c r="G15" s="10" t="s">
        <v>1121</v>
      </c>
      <c r="H15" s="10" t="s">
        <v>1122</v>
      </c>
      <c r="I15" s="10" t="s">
        <v>1141</v>
      </c>
      <c r="J15" s="10" t="s">
        <v>1169</v>
      </c>
      <c r="K15" s="10" t="s">
        <v>1135</v>
      </c>
      <c r="L15" s="10" t="s">
        <v>1126</v>
      </c>
      <c r="M15" s="11" t="s">
        <v>1170</v>
      </c>
    </row>
    <row r="16" spans="1:13" ht="62" customHeight="1">
      <c r="A16" s="8" t="s">
        <v>1171</v>
      </c>
      <c r="B16" s="8" t="s">
        <v>1172</v>
      </c>
      <c r="C16" s="8" t="s">
        <v>1173</v>
      </c>
      <c r="D16" s="8" t="s">
        <v>1174</v>
      </c>
      <c r="E16" s="8" t="s">
        <v>1132</v>
      </c>
      <c r="F16" s="8" t="s">
        <v>1140</v>
      </c>
      <c r="G16" s="8" t="s">
        <v>1121</v>
      </c>
      <c r="H16" s="8" t="s">
        <v>1122</v>
      </c>
      <c r="I16" s="8" t="s">
        <v>1141</v>
      </c>
      <c r="J16" s="8" t="s">
        <v>1175</v>
      </c>
      <c r="K16" s="8" t="s">
        <v>1135</v>
      </c>
      <c r="L16" s="8" t="s">
        <v>1126</v>
      </c>
      <c r="M16" s="9" t="s">
        <v>1127</v>
      </c>
    </row>
    <row r="17" spans="1:13" ht="62" customHeight="1">
      <c r="A17" s="10" t="s">
        <v>1176</v>
      </c>
      <c r="B17" s="10" t="s">
        <v>1177</v>
      </c>
      <c r="C17" s="10" t="s">
        <v>1178</v>
      </c>
      <c r="D17" s="10" t="s">
        <v>1179</v>
      </c>
      <c r="E17" s="10" t="s">
        <v>1132</v>
      </c>
      <c r="F17" s="10" t="s">
        <v>1120</v>
      </c>
      <c r="G17" s="10" t="s">
        <v>1121</v>
      </c>
      <c r="H17" s="10" t="s">
        <v>1122</v>
      </c>
      <c r="I17" s="10" t="s">
        <v>1180</v>
      </c>
      <c r="J17" s="10" t="s">
        <v>1181</v>
      </c>
      <c r="K17" s="10" t="s">
        <v>1135</v>
      </c>
      <c r="L17" s="10" t="s">
        <v>1126</v>
      </c>
      <c r="M17" s="11" t="s">
        <v>1127</v>
      </c>
    </row>
    <row r="18" spans="1:13" ht="62" customHeight="1">
      <c r="A18" s="8" t="s">
        <v>1182</v>
      </c>
      <c r="B18" s="8" t="s">
        <v>1183</v>
      </c>
      <c r="C18" s="8" t="s">
        <v>1184</v>
      </c>
      <c r="D18" s="8" t="s">
        <v>1131</v>
      </c>
      <c r="E18" s="8" t="s">
        <v>1132</v>
      </c>
      <c r="F18" s="8" t="s">
        <v>1120</v>
      </c>
      <c r="G18" s="8" t="s">
        <v>1121</v>
      </c>
      <c r="H18" s="8" t="s">
        <v>1122</v>
      </c>
      <c r="I18" s="8" t="s">
        <v>1123</v>
      </c>
      <c r="J18" s="8" t="s">
        <v>1124</v>
      </c>
      <c r="K18" s="8" t="s">
        <v>1135</v>
      </c>
      <c r="L18" s="8" t="s">
        <v>1126</v>
      </c>
      <c r="M18" s="9" t="s">
        <v>1127</v>
      </c>
    </row>
    <row r="19" spans="1:13" ht="62" customHeight="1">
      <c r="A19" s="10" t="s">
        <v>1185</v>
      </c>
      <c r="B19" s="10" t="s">
        <v>1186</v>
      </c>
      <c r="C19" s="10" t="s">
        <v>1187</v>
      </c>
      <c r="D19" s="10" t="s">
        <v>1131</v>
      </c>
      <c r="E19" s="10" t="s">
        <v>1132</v>
      </c>
      <c r="F19" s="10" t="s">
        <v>1120</v>
      </c>
      <c r="G19" s="10" t="s">
        <v>1121</v>
      </c>
      <c r="H19" s="10" t="s">
        <v>1122</v>
      </c>
      <c r="I19" s="10" t="s">
        <v>1141</v>
      </c>
      <c r="J19" s="10" t="s">
        <v>1188</v>
      </c>
      <c r="K19" s="10" t="s">
        <v>1135</v>
      </c>
      <c r="L19" s="10" t="s">
        <v>1126</v>
      </c>
      <c r="M19" s="11" t="s">
        <v>1127</v>
      </c>
    </row>
    <row r="20" spans="1:13" ht="62" customHeight="1">
      <c r="A20" s="8" t="s">
        <v>1189</v>
      </c>
      <c r="B20" s="8" t="s">
        <v>1190</v>
      </c>
      <c r="C20" s="8" t="s">
        <v>1191</v>
      </c>
      <c r="D20" s="8" t="s">
        <v>1131</v>
      </c>
      <c r="E20" s="8" t="s">
        <v>1132</v>
      </c>
      <c r="F20" s="8" t="s">
        <v>1120</v>
      </c>
      <c r="G20" s="8" t="s">
        <v>1121</v>
      </c>
      <c r="H20" s="8" t="s">
        <v>1122</v>
      </c>
      <c r="I20" s="8" t="s">
        <v>1123</v>
      </c>
      <c r="J20" s="8" t="s">
        <v>1124</v>
      </c>
      <c r="K20" s="8" t="s">
        <v>1135</v>
      </c>
      <c r="L20" s="8" t="s">
        <v>1126</v>
      </c>
      <c r="M20" s="9" t="s">
        <v>1192</v>
      </c>
    </row>
    <row r="21" spans="1:13" ht="62" customHeight="1">
      <c r="A21" s="10" t="s">
        <v>1193</v>
      </c>
      <c r="B21" s="10" t="s">
        <v>1194</v>
      </c>
      <c r="C21" s="10" t="s">
        <v>1195</v>
      </c>
      <c r="D21" s="10" t="s">
        <v>1131</v>
      </c>
      <c r="E21" s="10" t="s">
        <v>1132</v>
      </c>
      <c r="F21" s="10" t="s">
        <v>1140</v>
      </c>
      <c r="G21" s="10" t="s">
        <v>1121</v>
      </c>
      <c r="H21" s="10" t="s">
        <v>1122</v>
      </c>
      <c r="I21" s="10" t="s">
        <v>1141</v>
      </c>
      <c r="J21" s="10" t="s">
        <v>1196</v>
      </c>
      <c r="K21" s="10" t="s">
        <v>1135</v>
      </c>
      <c r="L21" s="10" t="s">
        <v>1126</v>
      </c>
      <c r="M21" s="11" t="s">
        <v>1150</v>
      </c>
    </row>
    <row r="22" spans="1:13" ht="62" customHeight="1">
      <c r="A22" s="8" t="s">
        <v>1197</v>
      </c>
      <c r="B22" s="8" t="s">
        <v>1198</v>
      </c>
      <c r="C22" s="8" t="s">
        <v>1199</v>
      </c>
      <c r="D22" s="8" t="s">
        <v>1200</v>
      </c>
      <c r="E22" s="8" t="s">
        <v>1132</v>
      </c>
      <c r="F22" s="8" t="s">
        <v>1140</v>
      </c>
      <c r="G22" s="8" t="s">
        <v>1121</v>
      </c>
      <c r="H22" s="8" t="s">
        <v>1122</v>
      </c>
      <c r="I22" s="8" t="s">
        <v>1141</v>
      </c>
      <c r="J22" s="8" t="s">
        <v>1201</v>
      </c>
      <c r="K22" s="8" t="s">
        <v>1135</v>
      </c>
      <c r="L22" s="8" t="s">
        <v>1126</v>
      </c>
      <c r="M22" s="9" t="s">
        <v>1150</v>
      </c>
    </row>
    <row r="23" spans="1:13" ht="62" customHeight="1">
      <c r="A23" s="10" t="s">
        <v>1202</v>
      </c>
      <c r="B23" s="10" t="s">
        <v>1203</v>
      </c>
      <c r="C23" s="10" t="s">
        <v>1204</v>
      </c>
      <c r="D23" s="10" t="s">
        <v>1131</v>
      </c>
      <c r="E23" s="10" t="s">
        <v>1132</v>
      </c>
      <c r="F23" s="10" t="s">
        <v>1120</v>
      </c>
      <c r="G23" s="10" t="s">
        <v>1121</v>
      </c>
      <c r="H23" s="10" t="s">
        <v>1122</v>
      </c>
      <c r="I23" s="10" t="s">
        <v>1180</v>
      </c>
      <c r="J23" s="10" t="s">
        <v>1205</v>
      </c>
      <c r="K23" s="10" t="s">
        <v>1135</v>
      </c>
      <c r="L23" s="10" t="s">
        <v>1126</v>
      </c>
      <c r="M23" s="11" t="s">
        <v>1150</v>
      </c>
    </row>
    <row r="24" spans="1:13" ht="62" customHeight="1">
      <c r="A24" s="8" t="s">
        <v>1206</v>
      </c>
      <c r="B24" s="8" t="s">
        <v>1207</v>
      </c>
      <c r="C24" s="8" t="s">
        <v>1208</v>
      </c>
      <c r="D24" s="8" t="s">
        <v>1131</v>
      </c>
      <c r="E24" s="8" t="s">
        <v>1132</v>
      </c>
      <c r="F24" s="8" t="s">
        <v>1120</v>
      </c>
      <c r="G24" s="8" t="s">
        <v>1121</v>
      </c>
      <c r="H24" s="8" t="s">
        <v>1122</v>
      </c>
      <c r="I24" s="8" t="s">
        <v>1123</v>
      </c>
      <c r="J24" s="8" t="s">
        <v>1124</v>
      </c>
      <c r="K24" s="8" t="s">
        <v>1135</v>
      </c>
      <c r="L24" s="8" t="s">
        <v>1209</v>
      </c>
      <c r="M24" s="9" t="s">
        <v>1210</v>
      </c>
    </row>
    <row r="25" spans="1:13" ht="62" customHeight="1">
      <c r="A25" s="10" t="s">
        <v>1211</v>
      </c>
      <c r="B25" s="10" t="s">
        <v>1212</v>
      </c>
      <c r="C25" s="10" t="s">
        <v>1213</v>
      </c>
      <c r="D25" s="10" t="s">
        <v>1179</v>
      </c>
      <c r="E25" s="10" t="s">
        <v>1132</v>
      </c>
      <c r="F25" s="10" t="s">
        <v>1140</v>
      </c>
      <c r="G25" s="10" t="s">
        <v>1121</v>
      </c>
      <c r="H25" s="10" t="s">
        <v>1122</v>
      </c>
      <c r="I25" s="10" t="s">
        <v>1180</v>
      </c>
      <c r="J25" s="10" t="s">
        <v>1214</v>
      </c>
      <c r="K25" s="10" t="s">
        <v>1135</v>
      </c>
      <c r="L25" s="10" t="s">
        <v>1126</v>
      </c>
      <c r="M25" s="11" t="s">
        <v>1150</v>
      </c>
    </row>
    <row r="26" spans="1:13" ht="62" customHeight="1">
      <c r="A26" s="8" t="s">
        <v>1215</v>
      </c>
      <c r="B26" s="8" t="s">
        <v>1216</v>
      </c>
      <c r="C26" s="8" t="s">
        <v>1217</v>
      </c>
      <c r="D26" s="8" t="s">
        <v>1131</v>
      </c>
      <c r="E26" s="8" t="s">
        <v>1132</v>
      </c>
      <c r="F26" s="8" t="s">
        <v>1120</v>
      </c>
      <c r="G26" s="8" t="s">
        <v>1121</v>
      </c>
      <c r="H26" s="8" t="s">
        <v>1122</v>
      </c>
      <c r="I26" s="8" t="s">
        <v>1180</v>
      </c>
      <c r="J26" s="8" t="s">
        <v>1218</v>
      </c>
      <c r="K26" s="8" t="s">
        <v>1135</v>
      </c>
      <c r="L26" s="8" t="s">
        <v>1126</v>
      </c>
      <c r="M26" s="9" t="s">
        <v>1219</v>
      </c>
    </row>
    <row r="27" spans="1:13" ht="62" customHeight="1">
      <c r="A27" s="10" t="s">
        <v>1220</v>
      </c>
      <c r="B27" s="10" t="s">
        <v>1221</v>
      </c>
      <c r="C27" s="10" t="s">
        <v>1222</v>
      </c>
      <c r="D27" s="10" t="s">
        <v>1131</v>
      </c>
      <c r="E27" s="10" t="s">
        <v>1132</v>
      </c>
      <c r="F27" s="10" t="s">
        <v>1120</v>
      </c>
      <c r="G27" s="10" t="s">
        <v>1121</v>
      </c>
      <c r="H27" s="10" t="s">
        <v>1122</v>
      </c>
      <c r="I27" s="10" t="s">
        <v>1123</v>
      </c>
      <c r="J27" s="10" t="s">
        <v>1124</v>
      </c>
      <c r="K27" s="10" t="s">
        <v>1135</v>
      </c>
      <c r="L27" s="10" t="s">
        <v>1126</v>
      </c>
      <c r="M27" s="11" t="s">
        <v>1127</v>
      </c>
    </row>
    <row r="28" spans="1:13" ht="62" customHeight="1">
      <c r="A28" s="8" t="s">
        <v>1223</v>
      </c>
      <c r="B28" s="8" t="s">
        <v>644</v>
      </c>
      <c r="C28" s="8" t="s">
        <v>1224</v>
      </c>
      <c r="D28" s="8" t="s">
        <v>1131</v>
      </c>
      <c r="E28" s="8" t="s">
        <v>1132</v>
      </c>
      <c r="F28" s="12" t="s">
        <v>1225</v>
      </c>
      <c r="G28" s="8" t="s">
        <v>1121</v>
      </c>
      <c r="H28" s="8" t="s">
        <v>1122</v>
      </c>
      <c r="I28" s="8" t="s">
        <v>1141</v>
      </c>
      <c r="J28" s="8" t="s">
        <v>1226</v>
      </c>
      <c r="K28" s="8" t="s">
        <v>1135</v>
      </c>
      <c r="L28" s="12" t="s">
        <v>1227</v>
      </c>
      <c r="M28" s="9" t="s">
        <v>1228</v>
      </c>
    </row>
    <row r="29" spans="1:13" ht="62" customHeight="1">
      <c r="A29" s="10" t="s">
        <v>1229</v>
      </c>
      <c r="B29" s="10" t="s">
        <v>1230</v>
      </c>
      <c r="C29" s="10" t="s">
        <v>1231</v>
      </c>
      <c r="D29" s="10" t="s">
        <v>1131</v>
      </c>
      <c r="E29" s="10" t="s">
        <v>1132</v>
      </c>
      <c r="F29" s="10" t="s">
        <v>1120</v>
      </c>
      <c r="G29" s="10" t="s">
        <v>1121</v>
      </c>
      <c r="H29" s="10" t="s">
        <v>1122</v>
      </c>
      <c r="I29" s="10" t="s">
        <v>1123</v>
      </c>
      <c r="J29" s="10" t="s">
        <v>1124</v>
      </c>
      <c r="K29" s="10" t="s">
        <v>1135</v>
      </c>
      <c r="L29" s="10" t="s">
        <v>1126</v>
      </c>
      <c r="M29" s="11" t="s">
        <v>1127</v>
      </c>
    </row>
    <row r="30" spans="1:13" ht="62" customHeight="1">
      <c r="A30" s="8" t="s">
        <v>1232</v>
      </c>
      <c r="B30" s="8" t="s">
        <v>1233</v>
      </c>
      <c r="C30" s="8" t="s">
        <v>1234</v>
      </c>
      <c r="D30" s="8" t="s">
        <v>1235</v>
      </c>
      <c r="E30" s="8" t="s">
        <v>1236</v>
      </c>
      <c r="F30" s="8" t="s">
        <v>1120</v>
      </c>
      <c r="G30" s="8" t="s">
        <v>1121</v>
      </c>
      <c r="H30" s="8" t="s">
        <v>1122</v>
      </c>
      <c r="I30" s="8" t="s">
        <v>1180</v>
      </c>
      <c r="J30" s="8" t="s">
        <v>1237</v>
      </c>
      <c r="K30" s="8" t="s">
        <v>1125</v>
      </c>
      <c r="L30" s="8" t="s">
        <v>1126</v>
      </c>
      <c r="M30" s="9" t="s">
        <v>1238</v>
      </c>
    </row>
    <row r="31" spans="1:13" ht="62" customHeight="1">
      <c r="A31" s="10" t="s">
        <v>1239</v>
      </c>
      <c r="B31" s="10" t="s">
        <v>1240</v>
      </c>
      <c r="C31" s="10" t="s">
        <v>1241</v>
      </c>
      <c r="D31" s="10" t="s">
        <v>1131</v>
      </c>
      <c r="E31" s="10" t="s">
        <v>1242</v>
      </c>
      <c r="F31" s="10" t="s">
        <v>1120</v>
      </c>
      <c r="G31" s="10" t="s">
        <v>1121</v>
      </c>
      <c r="H31" s="10" t="s">
        <v>1122</v>
      </c>
      <c r="I31" s="10" t="s">
        <v>1123</v>
      </c>
      <c r="J31" s="10" t="s">
        <v>1124</v>
      </c>
      <c r="K31" s="10" t="s">
        <v>1243</v>
      </c>
      <c r="L31" s="10" t="s">
        <v>1126</v>
      </c>
      <c r="M31" s="11" t="s">
        <v>1244</v>
      </c>
    </row>
    <row r="32" spans="1:13" ht="62" customHeight="1">
      <c r="A32" s="8" t="s">
        <v>1245</v>
      </c>
      <c r="B32" s="8" t="s">
        <v>1246</v>
      </c>
      <c r="C32" s="8" t="s">
        <v>1247</v>
      </c>
      <c r="D32" s="8" t="s">
        <v>1131</v>
      </c>
      <c r="E32" s="8" t="s">
        <v>1132</v>
      </c>
      <c r="F32" s="8" t="s">
        <v>1140</v>
      </c>
      <c r="G32" s="8" t="s">
        <v>1121</v>
      </c>
      <c r="H32" s="8" t="s">
        <v>1122</v>
      </c>
      <c r="I32" s="8" t="s">
        <v>1141</v>
      </c>
      <c r="J32" s="8" t="s">
        <v>1248</v>
      </c>
      <c r="K32" s="8" t="s">
        <v>1135</v>
      </c>
      <c r="L32" s="8" t="s">
        <v>1126</v>
      </c>
      <c r="M32" s="9" t="s">
        <v>1127</v>
      </c>
    </row>
    <row r="33" spans="1:13" ht="62" customHeight="1">
      <c r="A33" s="10" t="s">
        <v>1249</v>
      </c>
      <c r="B33" s="10" t="s">
        <v>1250</v>
      </c>
      <c r="C33" s="10" t="s">
        <v>1251</v>
      </c>
      <c r="D33" s="10" t="s">
        <v>1131</v>
      </c>
      <c r="E33" s="10" t="s">
        <v>1132</v>
      </c>
      <c r="F33" s="10" t="s">
        <v>1140</v>
      </c>
      <c r="G33" s="10" t="s">
        <v>1121</v>
      </c>
      <c r="H33" s="10" t="s">
        <v>1122</v>
      </c>
      <c r="I33" s="10" t="s">
        <v>1141</v>
      </c>
      <c r="J33" s="10" t="s">
        <v>1248</v>
      </c>
      <c r="K33" s="10" t="s">
        <v>1135</v>
      </c>
      <c r="L33" s="10" t="s">
        <v>1126</v>
      </c>
      <c r="M33" s="11" t="s">
        <v>1127</v>
      </c>
    </row>
    <row r="34" spans="1:13" ht="62" customHeight="1">
      <c r="A34" s="8" t="s">
        <v>1252</v>
      </c>
      <c r="B34" s="8" t="s">
        <v>1253</v>
      </c>
      <c r="C34" s="8" t="s">
        <v>1254</v>
      </c>
      <c r="D34" s="8" t="s">
        <v>1131</v>
      </c>
      <c r="E34" s="8" t="s">
        <v>1242</v>
      </c>
      <c r="F34" s="8" t="s">
        <v>1120</v>
      </c>
      <c r="G34" s="8" t="s">
        <v>1121</v>
      </c>
      <c r="H34" s="8" t="s">
        <v>1122</v>
      </c>
      <c r="I34" s="8" t="s">
        <v>1123</v>
      </c>
      <c r="J34" s="8" t="s">
        <v>1124</v>
      </c>
      <c r="K34" s="8" t="s">
        <v>1125</v>
      </c>
      <c r="L34" s="8" t="s">
        <v>1126</v>
      </c>
      <c r="M34" s="9" t="s">
        <v>1127</v>
      </c>
    </row>
    <row r="35" spans="1:13" ht="62" customHeight="1">
      <c r="A35" s="10" t="s">
        <v>1255</v>
      </c>
      <c r="B35" s="10" t="s">
        <v>1256</v>
      </c>
      <c r="C35" s="10" t="s">
        <v>1257</v>
      </c>
      <c r="D35" s="10" t="s">
        <v>1131</v>
      </c>
      <c r="E35" s="10" t="s">
        <v>1132</v>
      </c>
      <c r="F35" s="10" t="s">
        <v>1140</v>
      </c>
      <c r="G35" s="10" t="s">
        <v>1121</v>
      </c>
      <c r="H35" s="10" t="s">
        <v>1122</v>
      </c>
      <c r="I35" s="10" t="s">
        <v>1180</v>
      </c>
      <c r="J35" s="10" t="s">
        <v>1205</v>
      </c>
      <c r="K35" s="10" t="s">
        <v>1135</v>
      </c>
      <c r="L35" s="10" t="s">
        <v>1126</v>
      </c>
      <c r="M35" s="11" t="s">
        <v>1150</v>
      </c>
    </row>
    <row r="36" spans="1:13" ht="62" customHeight="1">
      <c r="A36" s="8" t="s">
        <v>1258</v>
      </c>
      <c r="B36" s="8" t="s">
        <v>1259</v>
      </c>
      <c r="C36" s="8" t="s">
        <v>1260</v>
      </c>
      <c r="D36" s="8" t="s">
        <v>1131</v>
      </c>
      <c r="E36" s="8" t="s">
        <v>1132</v>
      </c>
      <c r="F36" s="8" t="s">
        <v>1140</v>
      </c>
      <c r="G36" s="8" t="s">
        <v>1121</v>
      </c>
      <c r="H36" s="8" t="s">
        <v>1122</v>
      </c>
      <c r="I36" s="8" t="s">
        <v>1180</v>
      </c>
      <c r="J36" s="8" t="s">
        <v>1205</v>
      </c>
      <c r="K36" s="8" t="s">
        <v>1135</v>
      </c>
      <c r="L36" s="8" t="s">
        <v>1126</v>
      </c>
      <c r="M36" s="9" t="s">
        <v>1150</v>
      </c>
    </row>
    <row r="37" spans="1:13" ht="62" customHeight="1">
      <c r="A37" s="10" t="s">
        <v>1261</v>
      </c>
      <c r="B37" s="10" t="s">
        <v>1262</v>
      </c>
      <c r="C37" s="10" t="s">
        <v>1263</v>
      </c>
      <c r="D37" s="10" t="s">
        <v>1131</v>
      </c>
      <c r="E37" s="10" t="s">
        <v>1132</v>
      </c>
      <c r="F37" s="10" t="s">
        <v>1140</v>
      </c>
      <c r="G37" s="10" t="s">
        <v>1121</v>
      </c>
      <c r="H37" s="10" t="s">
        <v>1122</v>
      </c>
      <c r="I37" s="10" t="s">
        <v>1180</v>
      </c>
      <c r="J37" s="10" t="s">
        <v>1205</v>
      </c>
      <c r="K37" s="10" t="s">
        <v>1135</v>
      </c>
      <c r="L37" s="10" t="s">
        <v>1126</v>
      </c>
      <c r="M37" s="11" t="s">
        <v>1150</v>
      </c>
    </row>
    <row r="38" spans="1:13" ht="62" customHeight="1">
      <c r="A38" s="8" t="s">
        <v>1264</v>
      </c>
      <c r="B38" s="8" t="s">
        <v>1265</v>
      </c>
      <c r="C38" s="8" t="s">
        <v>1266</v>
      </c>
      <c r="D38" s="8" t="s">
        <v>1131</v>
      </c>
      <c r="E38" s="8" t="s">
        <v>1132</v>
      </c>
      <c r="F38" s="8" t="s">
        <v>1140</v>
      </c>
      <c r="G38" s="8" t="s">
        <v>1121</v>
      </c>
      <c r="H38" s="8" t="s">
        <v>1122</v>
      </c>
      <c r="I38" s="8" t="s">
        <v>1180</v>
      </c>
      <c r="J38" s="8" t="s">
        <v>1205</v>
      </c>
      <c r="K38" s="8" t="s">
        <v>1135</v>
      </c>
      <c r="L38" s="8" t="s">
        <v>1126</v>
      </c>
      <c r="M38" s="9" t="s">
        <v>1150</v>
      </c>
    </row>
    <row r="39" spans="1:13" ht="62" customHeight="1">
      <c r="A39" s="10" t="s">
        <v>1267</v>
      </c>
      <c r="B39" s="10" t="s">
        <v>1268</v>
      </c>
      <c r="C39" s="10" t="s">
        <v>1269</v>
      </c>
      <c r="D39" s="10" t="s">
        <v>1131</v>
      </c>
      <c r="E39" s="10" t="s">
        <v>1132</v>
      </c>
      <c r="F39" s="10" t="s">
        <v>1140</v>
      </c>
      <c r="G39" s="10" t="s">
        <v>1121</v>
      </c>
      <c r="H39" s="10" t="s">
        <v>1122</v>
      </c>
      <c r="I39" s="10" t="s">
        <v>1180</v>
      </c>
      <c r="J39" s="10" t="s">
        <v>1205</v>
      </c>
      <c r="K39" s="10" t="s">
        <v>1135</v>
      </c>
      <c r="L39" s="10" t="s">
        <v>1126</v>
      </c>
      <c r="M39" s="11" t="s">
        <v>1150</v>
      </c>
    </row>
    <row r="40" spans="1:13" ht="62" customHeight="1">
      <c r="A40" s="8" t="s">
        <v>1270</v>
      </c>
      <c r="B40" s="8" t="s">
        <v>1271</v>
      </c>
      <c r="C40" s="8" t="s">
        <v>1272</v>
      </c>
      <c r="D40" s="8" t="s">
        <v>1131</v>
      </c>
      <c r="E40" s="8" t="s">
        <v>1132</v>
      </c>
      <c r="F40" s="8" t="s">
        <v>1140</v>
      </c>
      <c r="G40" s="8" t="s">
        <v>1121</v>
      </c>
      <c r="H40" s="8" t="s">
        <v>1122</v>
      </c>
      <c r="I40" s="8" t="s">
        <v>1180</v>
      </c>
      <c r="J40" s="8" t="s">
        <v>1205</v>
      </c>
      <c r="K40" s="8" t="s">
        <v>1135</v>
      </c>
      <c r="L40" s="8" t="s">
        <v>1126</v>
      </c>
      <c r="M40" s="9" t="s">
        <v>1150</v>
      </c>
    </row>
    <row r="41" spans="1:13" ht="62" customHeight="1">
      <c r="A41" s="10" t="s">
        <v>1273</v>
      </c>
      <c r="B41" s="10" t="s">
        <v>1274</v>
      </c>
      <c r="C41" s="10" t="s">
        <v>1275</v>
      </c>
      <c r="D41" s="10" t="s">
        <v>1131</v>
      </c>
      <c r="E41" s="10" t="s">
        <v>1276</v>
      </c>
      <c r="F41" s="10" t="s">
        <v>1120</v>
      </c>
      <c r="G41" s="10" t="s">
        <v>1121</v>
      </c>
      <c r="H41" s="10" t="s">
        <v>1134</v>
      </c>
      <c r="I41" s="10" t="s">
        <v>1141</v>
      </c>
      <c r="J41" s="10" t="s">
        <v>1248</v>
      </c>
      <c r="K41" s="10" t="s">
        <v>1125</v>
      </c>
      <c r="L41" s="10" t="s">
        <v>1161</v>
      </c>
      <c r="M41" s="11" t="s">
        <v>1127</v>
      </c>
    </row>
    <row r="42" spans="1:13" ht="62" customHeight="1">
      <c r="A42" s="8" t="s">
        <v>1277</v>
      </c>
      <c r="B42" s="8" t="s">
        <v>1278</v>
      </c>
      <c r="C42" s="8" t="s">
        <v>1279</v>
      </c>
      <c r="D42" s="8" t="s">
        <v>1280</v>
      </c>
      <c r="E42" s="8" t="s">
        <v>1281</v>
      </c>
      <c r="F42" s="8" t="s">
        <v>1120</v>
      </c>
      <c r="G42" s="8" t="s">
        <v>1133</v>
      </c>
      <c r="H42" s="8" t="s">
        <v>1134</v>
      </c>
      <c r="I42" s="8" t="s">
        <v>1180</v>
      </c>
      <c r="J42" s="8" t="s">
        <v>1205</v>
      </c>
      <c r="K42" s="8" t="s">
        <v>1125</v>
      </c>
      <c r="L42" s="12" t="s">
        <v>1136</v>
      </c>
      <c r="M42" s="9" t="s">
        <v>1127</v>
      </c>
    </row>
    <row r="43" spans="1:13" ht="62" customHeight="1">
      <c r="A43" s="10" t="s">
        <v>1282</v>
      </c>
      <c r="B43" s="10" t="s">
        <v>1283</v>
      </c>
      <c r="C43" s="10" t="s">
        <v>1284</v>
      </c>
      <c r="D43" s="10" t="s">
        <v>1285</v>
      </c>
      <c r="E43" s="10" t="s">
        <v>1132</v>
      </c>
      <c r="F43" s="10" t="s">
        <v>1140</v>
      </c>
      <c r="G43" s="10" t="s">
        <v>1121</v>
      </c>
      <c r="H43" s="10" t="s">
        <v>1134</v>
      </c>
      <c r="I43" s="10" t="s">
        <v>1123</v>
      </c>
      <c r="J43" s="10" t="s">
        <v>1124</v>
      </c>
      <c r="K43" s="10" t="s">
        <v>1135</v>
      </c>
      <c r="L43" s="10" t="s">
        <v>1161</v>
      </c>
      <c r="M43" s="11" t="s">
        <v>1286</v>
      </c>
    </row>
    <row r="44" spans="1:13" ht="62" customHeight="1">
      <c r="A44" s="8" t="s">
        <v>1287</v>
      </c>
      <c r="B44" s="8" t="s">
        <v>1288</v>
      </c>
      <c r="C44" s="8" t="s">
        <v>1289</v>
      </c>
      <c r="D44" s="8" t="s">
        <v>1290</v>
      </c>
      <c r="E44" s="8" t="s">
        <v>1291</v>
      </c>
      <c r="F44" s="8" t="s">
        <v>1120</v>
      </c>
      <c r="G44" s="8" t="s">
        <v>1121</v>
      </c>
      <c r="H44" s="8" t="s">
        <v>1122</v>
      </c>
      <c r="I44" s="8" t="s">
        <v>1141</v>
      </c>
      <c r="J44" s="8" t="s">
        <v>1292</v>
      </c>
      <c r="K44" s="8" t="s">
        <v>1125</v>
      </c>
      <c r="L44" s="8" t="s">
        <v>1126</v>
      </c>
      <c r="M44" s="9" t="s">
        <v>1286</v>
      </c>
    </row>
    <row r="45" spans="1:13" ht="62" customHeight="1">
      <c r="A45" s="10" t="s">
        <v>1293</v>
      </c>
      <c r="B45" s="10" t="s">
        <v>1294</v>
      </c>
      <c r="C45" s="10" t="s">
        <v>1295</v>
      </c>
      <c r="D45" s="10" t="s">
        <v>1131</v>
      </c>
      <c r="E45" s="10" t="s">
        <v>1296</v>
      </c>
      <c r="F45" s="10" t="s">
        <v>1140</v>
      </c>
      <c r="G45" s="10" t="s">
        <v>1121</v>
      </c>
      <c r="H45" s="10" t="s">
        <v>1122</v>
      </c>
      <c r="I45" s="10" t="s">
        <v>1180</v>
      </c>
      <c r="J45" s="10" t="s">
        <v>1297</v>
      </c>
      <c r="K45" s="10" t="s">
        <v>1125</v>
      </c>
      <c r="L45" s="10" t="s">
        <v>1126</v>
      </c>
      <c r="M45" s="11" t="s">
        <v>1286</v>
      </c>
    </row>
    <row r="46" spans="1:13" ht="62" customHeight="1">
      <c r="A46" s="8" t="s">
        <v>1298</v>
      </c>
      <c r="B46" s="8" t="s">
        <v>1299</v>
      </c>
      <c r="C46" s="8" t="s">
        <v>1300</v>
      </c>
      <c r="D46" s="8" t="s">
        <v>1131</v>
      </c>
      <c r="E46" s="8" t="s">
        <v>1132</v>
      </c>
      <c r="F46" s="8" t="s">
        <v>1140</v>
      </c>
      <c r="G46" s="8" t="s">
        <v>1121</v>
      </c>
      <c r="H46" s="8" t="s">
        <v>1134</v>
      </c>
      <c r="I46" s="8" t="s">
        <v>1301</v>
      </c>
      <c r="J46" s="8" t="s">
        <v>1205</v>
      </c>
      <c r="K46" s="8" t="s">
        <v>1135</v>
      </c>
      <c r="L46" s="8" t="s">
        <v>1161</v>
      </c>
      <c r="M46" s="9" t="s">
        <v>1286</v>
      </c>
    </row>
    <row r="47" spans="1:13" ht="62" customHeight="1">
      <c r="A47" s="10" t="s">
        <v>1302</v>
      </c>
      <c r="B47" s="10" t="s">
        <v>1303</v>
      </c>
      <c r="C47" s="10" t="s">
        <v>1304</v>
      </c>
      <c r="D47" s="10" t="s">
        <v>1131</v>
      </c>
      <c r="E47" s="10" t="s">
        <v>1305</v>
      </c>
      <c r="F47" s="10" t="s">
        <v>1140</v>
      </c>
      <c r="G47" s="10" t="s">
        <v>1121</v>
      </c>
      <c r="H47" s="10" t="s">
        <v>1122</v>
      </c>
      <c r="I47" s="10" t="s">
        <v>1180</v>
      </c>
      <c r="J47" s="10" t="s">
        <v>1306</v>
      </c>
      <c r="K47" s="10" t="s">
        <v>1125</v>
      </c>
      <c r="L47" s="10" t="s">
        <v>1126</v>
      </c>
      <c r="M47" s="11" t="s">
        <v>1286</v>
      </c>
    </row>
    <row r="48" spans="1:13" ht="62" customHeight="1">
      <c r="A48" s="8" t="s">
        <v>1307</v>
      </c>
      <c r="B48" s="8" t="s">
        <v>1308</v>
      </c>
      <c r="C48" s="8" t="s">
        <v>1309</v>
      </c>
      <c r="D48" s="8" t="s">
        <v>1179</v>
      </c>
      <c r="E48" s="8" t="s">
        <v>1310</v>
      </c>
      <c r="F48" s="8" t="s">
        <v>1140</v>
      </c>
      <c r="G48" s="8" t="s">
        <v>1121</v>
      </c>
      <c r="H48" s="8" t="s">
        <v>1134</v>
      </c>
      <c r="I48" s="8" t="s">
        <v>1180</v>
      </c>
      <c r="J48" s="8" t="s">
        <v>1311</v>
      </c>
      <c r="K48" s="8" t="s">
        <v>1243</v>
      </c>
      <c r="L48" s="8" t="s">
        <v>1161</v>
      </c>
      <c r="M48" s="9" t="s">
        <v>1312</v>
      </c>
    </row>
    <row r="49" spans="1:13" ht="62" customHeight="1">
      <c r="A49" s="10" t="s">
        <v>1313</v>
      </c>
      <c r="B49" s="10" t="s">
        <v>1314</v>
      </c>
      <c r="C49" s="10" t="s">
        <v>1315</v>
      </c>
      <c r="D49" s="10" t="s">
        <v>1131</v>
      </c>
      <c r="E49" s="10" t="s">
        <v>1316</v>
      </c>
      <c r="F49" s="10" t="s">
        <v>1140</v>
      </c>
      <c r="G49" s="10" t="s">
        <v>1121</v>
      </c>
      <c r="H49" s="10" t="s">
        <v>1122</v>
      </c>
      <c r="I49" s="10" t="s">
        <v>1141</v>
      </c>
      <c r="J49" s="10" t="s">
        <v>1317</v>
      </c>
      <c r="K49" s="10" t="s">
        <v>1125</v>
      </c>
      <c r="L49" s="10" t="s">
        <v>1126</v>
      </c>
      <c r="M49" s="11" t="s">
        <v>1286</v>
      </c>
    </row>
    <row r="50" spans="1:13" ht="62" customHeight="1">
      <c r="A50" s="8" t="s">
        <v>1318</v>
      </c>
      <c r="B50" s="8" t="s">
        <v>1319</v>
      </c>
      <c r="C50" s="8" t="s">
        <v>1320</v>
      </c>
      <c r="D50" s="8" t="s">
        <v>1131</v>
      </c>
      <c r="E50" s="8" t="s">
        <v>1316</v>
      </c>
      <c r="F50" s="8" t="s">
        <v>1140</v>
      </c>
      <c r="G50" s="8" t="s">
        <v>1121</v>
      </c>
      <c r="H50" s="8" t="s">
        <v>1122</v>
      </c>
      <c r="I50" s="8" t="s">
        <v>1141</v>
      </c>
      <c r="J50" s="8" t="s">
        <v>1321</v>
      </c>
      <c r="K50" s="8" t="s">
        <v>1125</v>
      </c>
      <c r="L50" s="8" t="s">
        <v>1126</v>
      </c>
      <c r="M50" s="9" t="s">
        <v>1286</v>
      </c>
    </row>
    <row r="51" spans="1:13" ht="62" customHeight="1">
      <c r="A51" s="10" t="s">
        <v>1322</v>
      </c>
      <c r="B51" s="10" t="s">
        <v>1323</v>
      </c>
      <c r="C51" s="10" t="s">
        <v>1324</v>
      </c>
      <c r="D51" s="10" t="s">
        <v>1131</v>
      </c>
      <c r="E51" s="10" t="s">
        <v>1132</v>
      </c>
      <c r="F51" s="10" t="s">
        <v>1140</v>
      </c>
      <c r="G51" s="10" t="s">
        <v>1121</v>
      </c>
      <c r="H51" s="10" t="s">
        <v>1134</v>
      </c>
      <c r="I51" s="10" t="s">
        <v>1301</v>
      </c>
      <c r="J51" s="10" t="s">
        <v>1205</v>
      </c>
      <c r="K51" s="10" t="s">
        <v>1135</v>
      </c>
      <c r="L51" s="10" t="s">
        <v>1161</v>
      </c>
      <c r="M51" s="11" t="s">
        <v>1286</v>
      </c>
    </row>
    <row r="52" spans="1:13" ht="62" customHeight="1">
      <c r="A52" s="8" t="s">
        <v>1325</v>
      </c>
      <c r="B52" s="8" t="s">
        <v>1326</v>
      </c>
      <c r="C52" s="8" t="s">
        <v>1327</v>
      </c>
      <c r="D52" s="8" t="s">
        <v>1131</v>
      </c>
      <c r="E52" s="8" t="s">
        <v>1316</v>
      </c>
      <c r="F52" s="8" t="s">
        <v>1120</v>
      </c>
      <c r="G52" s="8" t="s">
        <v>1121</v>
      </c>
      <c r="H52" s="8" t="s">
        <v>1122</v>
      </c>
      <c r="I52" s="8" t="s">
        <v>1141</v>
      </c>
      <c r="J52" s="8" t="s">
        <v>1321</v>
      </c>
      <c r="K52" s="8" t="s">
        <v>1125</v>
      </c>
      <c r="L52" s="8" t="s">
        <v>1126</v>
      </c>
      <c r="M52" s="9" t="s">
        <v>1286</v>
      </c>
    </row>
    <row r="53" spans="1:13" ht="62" customHeight="1">
      <c r="A53" s="10" t="s">
        <v>1328</v>
      </c>
      <c r="B53" s="10" t="s">
        <v>1329</v>
      </c>
      <c r="C53" s="10" t="s">
        <v>1330</v>
      </c>
      <c r="D53" s="10" t="s">
        <v>1131</v>
      </c>
      <c r="E53" s="10" t="s">
        <v>1242</v>
      </c>
      <c r="F53" s="10" t="s">
        <v>1120</v>
      </c>
      <c r="G53" s="10" t="s">
        <v>1121</v>
      </c>
      <c r="H53" s="10" t="s">
        <v>1122</v>
      </c>
      <c r="I53" s="10" t="s">
        <v>1123</v>
      </c>
      <c r="J53" s="10" t="s">
        <v>1124</v>
      </c>
      <c r="K53" s="10" t="s">
        <v>1125</v>
      </c>
      <c r="L53" s="10" t="s">
        <v>1126</v>
      </c>
      <c r="M53" s="11" t="s">
        <v>1286</v>
      </c>
    </row>
    <row r="54" spans="1:13" ht="62" customHeight="1">
      <c r="A54" s="8" t="s">
        <v>1331</v>
      </c>
      <c r="B54" s="8" t="s">
        <v>1332</v>
      </c>
      <c r="C54" s="8" t="s">
        <v>1333</v>
      </c>
      <c r="D54" s="8" t="s">
        <v>1285</v>
      </c>
      <c r="E54" s="8" t="s">
        <v>1132</v>
      </c>
      <c r="F54" s="8" t="s">
        <v>1140</v>
      </c>
      <c r="G54" s="8" t="s">
        <v>1121</v>
      </c>
      <c r="H54" s="8" t="s">
        <v>1134</v>
      </c>
      <c r="I54" s="8" t="s">
        <v>1123</v>
      </c>
      <c r="J54" s="8" t="s">
        <v>1124</v>
      </c>
      <c r="K54" s="8" t="s">
        <v>1135</v>
      </c>
      <c r="L54" s="8" t="s">
        <v>1161</v>
      </c>
      <c r="M54" s="9" t="s">
        <v>1286</v>
      </c>
    </row>
    <row r="55" spans="1:13" ht="62" customHeight="1">
      <c r="A55" s="10" t="s">
        <v>1334</v>
      </c>
      <c r="B55" s="10" t="s">
        <v>1335</v>
      </c>
      <c r="C55" s="10" t="s">
        <v>1336</v>
      </c>
      <c r="D55" s="10" t="s">
        <v>1131</v>
      </c>
      <c r="E55" s="10" t="s">
        <v>1337</v>
      </c>
      <c r="F55" s="10" t="s">
        <v>1140</v>
      </c>
      <c r="G55" s="10" t="s">
        <v>1121</v>
      </c>
      <c r="H55" s="10" t="s">
        <v>1122</v>
      </c>
      <c r="I55" s="10" t="s">
        <v>1180</v>
      </c>
      <c r="J55" s="10" t="s">
        <v>1338</v>
      </c>
      <c r="K55" s="10" t="s">
        <v>1243</v>
      </c>
      <c r="L55" s="10" t="s">
        <v>1126</v>
      </c>
      <c r="M55" s="11" t="s">
        <v>1286</v>
      </c>
    </row>
    <row r="56" spans="1:13" ht="62" customHeight="1">
      <c r="A56" s="8" t="s">
        <v>1339</v>
      </c>
      <c r="B56" s="8" t="s">
        <v>1340</v>
      </c>
      <c r="C56" s="8" t="s">
        <v>1341</v>
      </c>
      <c r="D56" s="8" t="s">
        <v>1131</v>
      </c>
      <c r="E56" s="8" t="s">
        <v>1342</v>
      </c>
      <c r="F56" s="8" t="s">
        <v>1140</v>
      </c>
      <c r="G56" s="8" t="s">
        <v>1121</v>
      </c>
      <c r="H56" s="8" t="s">
        <v>1122</v>
      </c>
      <c r="I56" s="8" t="s">
        <v>1180</v>
      </c>
      <c r="J56" s="8" t="s">
        <v>1343</v>
      </c>
      <c r="K56" s="8" t="s">
        <v>1125</v>
      </c>
      <c r="L56" s="8" t="s">
        <v>1126</v>
      </c>
      <c r="M56" s="9" t="s">
        <v>1286</v>
      </c>
    </row>
    <row r="57" spans="1:13" ht="62" customHeight="1">
      <c r="A57" s="10" t="s">
        <v>1344</v>
      </c>
      <c r="B57" s="10" t="s">
        <v>1345</v>
      </c>
      <c r="C57" s="10" t="s">
        <v>1346</v>
      </c>
      <c r="D57" s="10" t="s">
        <v>1131</v>
      </c>
      <c r="E57" s="10" t="s">
        <v>1119</v>
      </c>
      <c r="F57" s="10" t="s">
        <v>1140</v>
      </c>
      <c r="G57" s="10" t="s">
        <v>1121</v>
      </c>
      <c r="H57" s="10" t="s">
        <v>1122</v>
      </c>
      <c r="I57" s="10" t="s">
        <v>1123</v>
      </c>
      <c r="J57" s="10" t="s">
        <v>1124</v>
      </c>
      <c r="K57" s="10" t="s">
        <v>1243</v>
      </c>
      <c r="L57" s="10" t="s">
        <v>1126</v>
      </c>
      <c r="M57" s="11" t="s">
        <v>1286</v>
      </c>
    </row>
    <row r="58" spans="1:13" ht="62" customHeight="1">
      <c r="A58" s="8" t="s">
        <v>1347</v>
      </c>
      <c r="B58" s="8" t="s">
        <v>1348</v>
      </c>
      <c r="C58" s="8" t="s">
        <v>1349</v>
      </c>
      <c r="D58" s="8" t="s">
        <v>1131</v>
      </c>
      <c r="E58" s="8" t="s">
        <v>1350</v>
      </c>
      <c r="F58" s="8" t="s">
        <v>1140</v>
      </c>
      <c r="G58" s="8" t="s">
        <v>1121</v>
      </c>
      <c r="H58" s="8" t="s">
        <v>1122</v>
      </c>
      <c r="I58" s="8" t="s">
        <v>1180</v>
      </c>
      <c r="J58" s="8" t="s">
        <v>1351</v>
      </c>
      <c r="K58" s="8" t="s">
        <v>1243</v>
      </c>
      <c r="L58" s="8" t="s">
        <v>1126</v>
      </c>
      <c r="M58" s="9" t="s">
        <v>1286</v>
      </c>
    </row>
    <row r="59" spans="1:13" ht="62" customHeight="1">
      <c r="A59" s="10" t="s">
        <v>1352</v>
      </c>
      <c r="B59" s="10" t="s">
        <v>1353</v>
      </c>
      <c r="C59" s="10" t="s">
        <v>1354</v>
      </c>
      <c r="D59" s="10" t="s">
        <v>1131</v>
      </c>
      <c r="E59" s="10" t="s">
        <v>1291</v>
      </c>
      <c r="F59" s="10" t="s">
        <v>1120</v>
      </c>
      <c r="G59" s="10" t="s">
        <v>1121</v>
      </c>
      <c r="H59" s="10" t="s">
        <v>1122</v>
      </c>
      <c r="I59" s="10" t="s">
        <v>1141</v>
      </c>
      <c r="J59" s="10" t="s">
        <v>1292</v>
      </c>
      <c r="K59" s="10" t="s">
        <v>1125</v>
      </c>
      <c r="L59" s="10" t="s">
        <v>1126</v>
      </c>
      <c r="M59" s="11" t="s">
        <v>1286</v>
      </c>
    </row>
    <row r="60" spans="1:13" ht="62" customHeight="1">
      <c r="A60" s="8" t="s">
        <v>1355</v>
      </c>
      <c r="B60" s="8" t="s">
        <v>1356</v>
      </c>
      <c r="C60" s="8" t="s">
        <v>1357</v>
      </c>
      <c r="D60" s="8" t="s">
        <v>1131</v>
      </c>
      <c r="E60" s="8" t="s">
        <v>1119</v>
      </c>
      <c r="F60" s="8" t="s">
        <v>1120</v>
      </c>
      <c r="G60" s="8" t="s">
        <v>1121</v>
      </c>
      <c r="H60" s="8" t="s">
        <v>1122</v>
      </c>
      <c r="I60" s="8" t="s">
        <v>1180</v>
      </c>
      <c r="J60" s="8" t="s">
        <v>1214</v>
      </c>
      <c r="K60" s="8" t="s">
        <v>1243</v>
      </c>
      <c r="L60" s="8" t="s">
        <v>1126</v>
      </c>
      <c r="M60" s="9" t="s">
        <v>1286</v>
      </c>
    </row>
    <row r="61" spans="1:13" ht="62" customHeight="1">
      <c r="A61" s="10" t="s">
        <v>1358</v>
      </c>
      <c r="B61" s="10" t="s">
        <v>1359</v>
      </c>
      <c r="C61" s="10" t="s">
        <v>1360</v>
      </c>
      <c r="D61" s="10" t="s">
        <v>1131</v>
      </c>
      <c r="E61" s="10" t="s">
        <v>1361</v>
      </c>
      <c r="F61" s="10" t="s">
        <v>1120</v>
      </c>
      <c r="G61" s="10" t="s">
        <v>1121</v>
      </c>
      <c r="H61" s="10" t="s">
        <v>1122</v>
      </c>
      <c r="I61" s="10" t="s">
        <v>1141</v>
      </c>
      <c r="J61" s="10" t="s">
        <v>1362</v>
      </c>
      <c r="K61" s="10" t="s">
        <v>1243</v>
      </c>
      <c r="L61" s="10" t="s">
        <v>1126</v>
      </c>
      <c r="M61" s="11" t="s">
        <v>1286</v>
      </c>
    </row>
    <row r="62" spans="1:13" ht="62" customHeight="1">
      <c r="A62" s="8" t="s">
        <v>1363</v>
      </c>
      <c r="B62" s="8" t="s">
        <v>1364</v>
      </c>
      <c r="C62" s="8" t="s">
        <v>1365</v>
      </c>
      <c r="D62" s="8" t="s">
        <v>1131</v>
      </c>
      <c r="E62" s="8" t="s">
        <v>1366</v>
      </c>
      <c r="F62" s="8" t="s">
        <v>1140</v>
      </c>
      <c r="G62" s="8" t="s">
        <v>1121</v>
      </c>
      <c r="H62" s="8" t="s">
        <v>1122</v>
      </c>
      <c r="I62" s="8" t="s">
        <v>1141</v>
      </c>
      <c r="J62" s="8" t="s">
        <v>1367</v>
      </c>
      <c r="K62" s="8" t="s">
        <v>1125</v>
      </c>
      <c r="L62" s="8" t="s">
        <v>1126</v>
      </c>
      <c r="M62" s="9" t="s">
        <v>1286</v>
      </c>
    </row>
    <row r="63" spans="1:13" ht="62" customHeight="1">
      <c r="A63" s="10" t="s">
        <v>1368</v>
      </c>
      <c r="B63" s="10" t="s">
        <v>1369</v>
      </c>
      <c r="C63" s="10" t="s">
        <v>1370</v>
      </c>
      <c r="D63" s="10" t="s">
        <v>1131</v>
      </c>
      <c r="E63" s="10" t="s">
        <v>1371</v>
      </c>
      <c r="F63" s="10" t="s">
        <v>1120</v>
      </c>
      <c r="G63" s="10" t="s">
        <v>1121</v>
      </c>
      <c r="H63" s="10" t="s">
        <v>1122</v>
      </c>
      <c r="I63" s="10" t="s">
        <v>1141</v>
      </c>
      <c r="J63" s="10" t="s">
        <v>1372</v>
      </c>
      <c r="K63" s="10" t="s">
        <v>1243</v>
      </c>
      <c r="L63" s="10" t="s">
        <v>1126</v>
      </c>
      <c r="M63" s="11" t="s">
        <v>1127</v>
      </c>
    </row>
    <row r="64" spans="1:13" ht="95" customHeight="1">
      <c r="A64" s="8" t="s">
        <v>1373</v>
      </c>
      <c r="B64" s="8" t="s">
        <v>1374</v>
      </c>
      <c r="C64" s="8" t="s">
        <v>1375</v>
      </c>
      <c r="D64" s="8" t="s">
        <v>1131</v>
      </c>
      <c r="E64" s="8" t="s">
        <v>1376</v>
      </c>
      <c r="F64" s="8" t="s">
        <v>1140</v>
      </c>
      <c r="G64" s="8" t="s">
        <v>1121</v>
      </c>
      <c r="H64" s="8" t="s">
        <v>1122</v>
      </c>
      <c r="I64" s="8" t="s">
        <v>1180</v>
      </c>
      <c r="J64" s="8" t="s">
        <v>1377</v>
      </c>
      <c r="K64" s="8" t="s">
        <v>1243</v>
      </c>
      <c r="L64" s="8" t="s">
        <v>1126</v>
      </c>
      <c r="M64" s="9" t="s">
        <v>1378</v>
      </c>
    </row>
    <row r="65" spans="1:13" ht="111" customHeight="1">
      <c r="A65" s="10" t="s">
        <v>1379</v>
      </c>
      <c r="B65" s="10" t="s">
        <v>1380</v>
      </c>
      <c r="C65" s="10" t="s">
        <v>1381</v>
      </c>
      <c r="D65" s="10" t="s">
        <v>1131</v>
      </c>
      <c r="E65" s="10" t="s">
        <v>1376</v>
      </c>
      <c r="F65" s="10" t="s">
        <v>1140</v>
      </c>
      <c r="G65" s="10" t="s">
        <v>1121</v>
      </c>
      <c r="H65" s="10" t="s">
        <v>1122</v>
      </c>
      <c r="I65" s="10" t="s">
        <v>1180</v>
      </c>
      <c r="J65" s="10" t="s">
        <v>1382</v>
      </c>
      <c r="K65" s="10" t="s">
        <v>1243</v>
      </c>
      <c r="L65" s="10" t="s">
        <v>1126</v>
      </c>
      <c r="M65" s="11" t="s">
        <v>1378</v>
      </c>
    </row>
    <row r="66" spans="1:13" ht="111" customHeight="1">
      <c r="A66" s="8" t="s">
        <v>1383</v>
      </c>
      <c r="B66" s="8" t="s">
        <v>1384</v>
      </c>
      <c r="C66" s="8" t="s">
        <v>1385</v>
      </c>
      <c r="D66" s="8" t="s">
        <v>1131</v>
      </c>
      <c r="E66" s="8" t="s">
        <v>1376</v>
      </c>
      <c r="F66" s="8" t="s">
        <v>1140</v>
      </c>
      <c r="G66" s="8" t="s">
        <v>1121</v>
      </c>
      <c r="H66" s="8" t="s">
        <v>1122</v>
      </c>
      <c r="I66" s="8" t="s">
        <v>1180</v>
      </c>
      <c r="J66" s="8" t="s">
        <v>1382</v>
      </c>
      <c r="K66" s="8" t="s">
        <v>1243</v>
      </c>
      <c r="L66" s="8" t="s">
        <v>1126</v>
      </c>
      <c r="M66" s="9" t="s">
        <v>1386</v>
      </c>
    </row>
    <row r="67" spans="1:13" ht="111" customHeight="1">
      <c r="A67" s="10" t="s">
        <v>1387</v>
      </c>
      <c r="B67" s="10" t="s">
        <v>1388</v>
      </c>
      <c r="C67" s="10" t="s">
        <v>1389</v>
      </c>
      <c r="D67" s="10" t="s">
        <v>1131</v>
      </c>
      <c r="E67" s="10" t="s">
        <v>1390</v>
      </c>
      <c r="F67" s="10" t="s">
        <v>1140</v>
      </c>
      <c r="G67" s="10" t="s">
        <v>1121</v>
      </c>
      <c r="H67" s="10" t="s">
        <v>1122</v>
      </c>
      <c r="I67" s="10" t="s">
        <v>1180</v>
      </c>
      <c r="J67" s="10" t="s">
        <v>1382</v>
      </c>
      <c r="K67" s="10" t="s">
        <v>1243</v>
      </c>
      <c r="L67" s="10" t="s">
        <v>1126</v>
      </c>
      <c r="M67" s="11" t="s">
        <v>1127</v>
      </c>
    </row>
    <row r="68" spans="1:13" ht="111" customHeight="1">
      <c r="A68" s="8" t="s">
        <v>1391</v>
      </c>
      <c r="B68" s="8" t="s">
        <v>1392</v>
      </c>
      <c r="C68" s="8" t="s">
        <v>1393</v>
      </c>
      <c r="D68" s="8" t="s">
        <v>1131</v>
      </c>
      <c r="E68" s="8" t="s">
        <v>1376</v>
      </c>
      <c r="F68" s="8" t="s">
        <v>1140</v>
      </c>
      <c r="G68" s="8" t="s">
        <v>1121</v>
      </c>
      <c r="H68" s="8" t="s">
        <v>1122</v>
      </c>
      <c r="I68" s="8" t="s">
        <v>1180</v>
      </c>
      <c r="J68" s="8" t="s">
        <v>1382</v>
      </c>
      <c r="K68" s="8" t="s">
        <v>1243</v>
      </c>
      <c r="L68" s="8" t="s">
        <v>1126</v>
      </c>
      <c r="M68" s="9" t="s">
        <v>1378</v>
      </c>
    </row>
    <row r="69" spans="1:13" ht="111" customHeight="1">
      <c r="A69" s="10" t="s">
        <v>1394</v>
      </c>
      <c r="B69" s="10" t="s">
        <v>1395</v>
      </c>
      <c r="C69" s="10" t="s">
        <v>1396</v>
      </c>
      <c r="D69" s="10" t="s">
        <v>1131</v>
      </c>
      <c r="E69" s="10" t="s">
        <v>1376</v>
      </c>
      <c r="F69" s="10" t="s">
        <v>1140</v>
      </c>
      <c r="G69" s="10" t="s">
        <v>1121</v>
      </c>
      <c r="H69" s="10" t="s">
        <v>1122</v>
      </c>
      <c r="I69" s="10" t="s">
        <v>1180</v>
      </c>
      <c r="J69" s="10" t="s">
        <v>1382</v>
      </c>
      <c r="K69" s="10" t="s">
        <v>1243</v>
      </c>
      <c r="L69" s="10" t="s">
        <v>1126</v>
      </c>
      <c r="M69" s="11" t="s">
        <v>1386</v>
      </c>
    </row>
    <row r="70" spans="1:13" ht="62" customHeight="1">
      <c r="A70" s="8" t="s">
        <v>1397</v>
      </c>
      <c r="B70" s="8" t="s">
        <v>1398</v>
      </c>
      <c r="C70" s="8" t="s">
        <v>1399</v>
      </c>
      <c r="D70" s="8" t="s">
        <v>1131</v>
      </c>
      <c r="E70" s="8" t="s">
        <v>1119</v>
      </c>
      <c r="F70" s="8" t="s">
        <v>1140</v>
      </c>
      <c r="G70" s="8" t="s">
        <v>1121</v>
      </c>
      <c r="H70" s="8" t="s">
        <v>1122</v>
      </c>
      <c r="I70" s="8" t="s">
        <v>1123</v>
      </c>
      <c r="J70" s="8" t="s">
        <v>1124</v>
      </c>
      <c r="K70" s="8" t="s">
        <v>1125</v>
      </c>
      <c r="L70" s="8" t="s">
        <v>1126</v>
      </c>
      <c r="M70" s="9" t="s">
        <v>1127</v>
      </c>
    </row>
    <row r="71" spans="1:13" ht="62" customHeight="1">
      <c r="A71" s="10" t="s">
        <v>1400</v>
      </c>
      <c r="B71" s="10" t="s">
        <v>1401</v>
      </c>
      <c r="C71" s="10" t="s">
        <v>1402</v>
      </c>
      <c r="D71" s="10" t="s">
        <v>1131</v>
      </c>
      <c r="E71" s="10" t="s">
        <v>1132</v>
      </c>
      <c r="F71" s="10" t="s">
        <v>1140</v>
      </c>
      <c r="G71" s="10" t="s">
        <v>1121</v>
      </c>
      <c r="H71" s="10" t="s">
        <v>1122</v>
      </c>
      <c r="I71" s="10" t="s">
        <v>1180</v>
      </c>
      <c r="J71" s="10" t="s">
        <v>1403</v>
      </c>
      <c r="K71" s="10" t="s">
        <v>1135</v>
      </c>
      <c r="L71" s="10" t="s">
        <v>1126</v>
      </c>
      <c r="M71" s="11" t="s">
        <v>1404</v>
      </c>
    </row>
    <row r="72" spans="1:13" ht="62" customHeight="1">
      <c r="A72" s="8" t="s">
        <v>1405</v>
      </c>
      <c r="B72" s="8" t="s">
        <v>1406</v>
      </c>
      <c r="C72" s="8" t="s">
        <v>1407</v>
      </c>
      <c r="D72" s="8" t="s">
        <v>1131</v>
      </c>
      <c r="E72" s="8" t="s">
        <v>1408</v>
      </c>
      <c r="F72" s="8" t="s">
        <v>1140</v>
      </c>
      <c r="G72" s="8" t="s">
        <v>1121</v>
      </c>
      <c r="H72" s="8" t="s">
        <v>1122</v>
      </c>
      <c r="I72" s="8" t="s">
        <v>1180</v>
      </c>
      <c r="J72" s="8" t="s">
        <v>1403</v>
      </c>
      <c r="K72" s="8" t="s">
        <v>1243</v>
      </c>
      <c r="L72" s="8" t="s">
        <v>1126</v>
      </c>
      <c r="M72" s="9" t="s">
        <v>1386</v>
      </c>
    </row>
    <row r="73" spans="1:13" ht="62" customHeight="1">
      <c r="A73" s="10" t="s">
        <v>1409</v>
      </c>
      <c r="B73" s="10" t="s">
        <v>1410</v>
      </c>
      <c r="C73" s="10" t="s">
        <v>1411</v>
      </c>
      <c r="D73" s="10" t="s">
        <v>1131</v>
      </c>
      <c r="E73" s="10" t="s">
        <v>1412</v>
      </c>
      <c r="F73" s="10" t="s">
        <v>1140</v>
      </c>
      <c r="G73" s="10" t="s">
        <v>1121</v>
      </c>
      <c r="H73" s="10" t="s">
        <v>1122</v>
      </c>
      <c r="I73" s="10" t="s">
        <v>1141</v>
      </c>
      <c r="J73" s="10" t="s">
        <v>1413</v>
      </c>
      <c r="K73" s="10" t="s">
        <v>1243</v>
      </c>
      <c r="L73" s="10" t="s">
        <v>1126</v>
      </c>
      <c r="M73" s="11" t="s">
        <v>1127</v>
      </c>
    </row>
    <row r="74" spans="1:13" ht="62" customHeight="1">
      <c r="A74" s="8" t="s">
        <v>1414</v>
      </c>
      <c r="B74" s="8" t="s">
        <v>1415</v>
      </c>
      <c r="C74" s="8" t="s">
        <v>1416</v>
      </c>
      <c r="D74" s="8" t="s">
        <v>1131</v>
      </c>
      <c r="E74" s="8" t="s">
        <v>1417</v>
      </c>
      <c r="F74" s="8" t="s">
        <v>1120</v>
      </c>
      <c r="G74" s="8" t="s">
        <v>1121</v>
      </c>
      <c r="H74" s="8" t="s">
        <v>1122</v>
      </c>
      <c r="I74" s="8" t="s">
        <v>1141</v>
      </c>
      <c r="J74" s="8" t="s">
        <v>1413</v>
      </c>
      <c r="K74" s="8" t="s">
        <v>1125</v>
      </c>
      <c r="L74" s="8" t="s">
        <v>1126</v>
      </c>
      <c r="M74" s="9" t="s">
        <v>1127</v>
      </c>
    </row>
    <row r="75" spans="1:13" ht="62" customHeight="1">
      <c r="A75" s="10" t="s">
        <v>1418</v>
      </c>
      <c r="B75" s="10" t="s">
        <v>601</v>
      </c>
      <c r="C75" s="10" t="s">
        <v>1419</v>
      </c>
      <c r="D75" s="10" t="s">
        <v>1131</v>
      </c>
      <c r="E75" s="10" t="s">
        <v>1420</v>
      </c>
      <c r="F75" s="10" t="s">
        <v>1120</v>
      </c>
      <c r="G75" s="10" t="s">
        <v>1121</v>
      </c>
      <c r="H75" s="10" t="s">
        <v>1122</v>
      </c>
      <c r="I75" s="10" t="s">
        <v>1141</v>
      </c>
      <c r="J75" s="10" t="s">
        <v>1421</v>
      </c>
      <c r="K75" s="10" t="s">
        <v>1125</v>
      </c>
      <c r="L75" s="10" t="s">
        <v>1126</v>
      </c>
      <c r="M75" s="11" t="s">
        <v>1386</v>
      </c>
    </row>
    <row r="76" spans="1:13" ht="62" customHeight="1">
      <c r="A76" s="8" t="s">
        <v>1422</v>
      </c>
      <c r="B76" s="8" t="s">
        <v>1423</v>
      </c>
      <c r="C76" s="8" t="s">
        <v>1424</v>
      </c>
      <c r="D76" s="8" t="s">
        <v>1131</v>
      </c>
      <c r="E76" s="8" t="s">
        <v>1119</v>
      </c>
      <c r="F76" s="8" t="s">
        <v>1120</v>
      </c>
      <c r="G76" s="8" t="s">
        <v>1133</v>
      </c>
      <c r="H76" s="8" t="s">
        <v>1134</v>
      </c>
      <c r="I76" s="8" t="s">
        <v>1123</v>
      </c>
      <c r="J76" s="8" t="s">
        <v>1124</v>
      </c>
      <c r="K76" s="8" t="s">
        <v>1125</v>
      </c>
      <c r="L76" s="12" t="s">
        <v>1136</v>
      </c>
      <c r="M76" s="9" t="s">
        <v>1127</v>
      </c>
    </row>
    <row r="77" spans="1:13" ht="62" customHeight="1">
      <c r="A77" s="10" t="s">
        <v>1425</v>
      </c>
      <c r="B77" s="10" t="s">
        <v>1426</v>
      </c>
      <c r="C77" s="10" t="s">
        <v>1427</v>
      </c>
      <c r="D77" s="10" t="s">
        <v>1131</v>
      </c>
      <c r="E77" s="10" t="s">
        <v>1428</v>
      </c>
      <c r="F77" s="10" t="s">
        <v>1120</v>
      </c>
      <c r="G77" s="10" t="s">
        <v>1121</v>
      </c>
      <c r="H77" s="10" t="s">
        <v>1122</v>
      </c>
      <c r="I77" s="10" t="s">
        <v>1141</v>
      </c>
      <c r="J77" s="10" t="s">
        <v>1429</v>
      </c>
      <c r="K77" s="10" t="s">
        <v>1243</v>
      </c>
      <c r="L77" s="10" t="s">
        <v>1126</v>
      </c>
      <c r="M77" s="11" t="s">
        <v>1386</v>
      </c>
    </row>
    <row r="78" spans="1:13" ht="62" customHeight="1">
      <c r="A78" s="8" t="s">
        <v>1430</v>
      </c>
      <c r="B78" s="8" t="s">
        <v>1431</v>
      </c>
      <c r="C78" s="8" t="s">
        <v>1432</v>
      </c>
      <c r="D78" s="8" t="s">
        <v>1433</v>
      </c>
      <c r="E78" s="8" t="s">
        <v>1132</v>
      </c>
      <c r="F78" s="8" t="s">
        <v>1120</v>
      </c>
      <c r="G78" s="8" t="s">
        <v>1133</v>
      </c>
      <c r="H78" s="8" t="s">
        <v>1134</v>
      </c>
      <c r="I78" s="8" t="s">
        <v>1180</v>
      </c>
      <c r="J78" s="8" t="s">
        <v>1205</v>
      </c>
      <c r="K78" s="8" t="s">
        <v>1135</v>
      </c>
      <c r="L78" s="12" t="s">
        <v>1136</v>
      </c>
      <c r="M78" s="9" t="s">
        <v>1127</v>
      </c>
    </row>
    <row r="79" spans="1:13" ht="62" customHeight="1">
      <c r="A79" s="10" t="s">
        <v>1434</v>
      </c>
      <c r="B79" s="10" t="s">
        <v>1435</v>
      </c>
      <c r="C79" s="10" t="s">
        <v>1436</v>
      </c>
      <c r="D79" s="10" t="s">
        <v>1118</v>
      </c>
      <c r="E79" s="10" t="s">
        <v>1316</v>
      </c>
      <c r="F79" s="10" t="s">
        <v>1140</v>
      </c>
      <c r="G79" s="10" t="s">
        <v>1121</v>
      </c>
      <c r="H79" s="10" t="s">
        <v>1122</v>
      </c>
      <c r="I79" s="10" t="s">
        <v>1141</v>
      </c>
      <c r="J79" s="10" t="s">
        <v>1437</v>
      </c>
      <c r="K79" s="10" t="s">
        <v>1125</v>
      </c>
      <c r="L79" s="10" t="s">
        <v>1126</v>
      </c>
      <c r="M79" s="11" t="s">
        <v>1438</v>
      </c>
    </row>
    <row r="80" spans="1:13" ht="62" customHeight="1">
      <c r="A80" s="8" t="s">
        <v>1439</v>
      </c>
      <c r="B80" s="8" t="s">
        <v>1440</v>
      </c>
      <c r="C80" s="8" t="s">
        <v>1441</v>
      </c>
      <c r="D80" s="8" t="s">
        <v>1442</v>
      </c>
      <c r="E80" s="8" t="s">
        <v>1443</v>
      </c>
      <c r="F80" s="8" t="s">
        <v>1140</v>
      </c>
      <c r="G80" s="8" t="s">
        <v>1133</v>
      </c>
      <c r="H80" s="8" t="s">
        <v>1122</v>
      </c>
      <c r="I80" s="8" t="s">
        <v>1180</v>
      </c>
      <c r="J80" s="8" t="s">
        <v>1444</v>
      </c>
      <c r="K80" s="8" t="s">
        <v>1243</v>
      </c>
      <c r="L80" s="12" t="s">
        <v>1136</v>
      </c>
      <c r="M80" s="9" t="s">
        <v>1127</v>
      </c>
    </row>
    <row r="81" spans="1:13" ht="62" customHeight="1">
      <c r="A81" s="10" t="s">
        <v>1445</v>
      </c>
      <c r="B81" s="10" t="s">
        <v>1446</v>
      </c>
      <c r="C81" s="10" t="s">
        <v>1447</v>
      </c>
      <c r="D81" s="10" t="s">
        <v>1131</v>
      </c>
      <c r="E81" s="10" t="s">
        <v>1132</v>
      </c>
      <c r="F81" s="10" t="s">
        <v>1120</v>
      </c>
      <c r="G81" s="10" t="s">
        <v>1133</v>
      </c>
      <c r="H81" s="10" t="s">
        <v>1134</v>
      </c>
      <c r="I81" s="10" t="s">
        <v>1180</v>
      </c>
      <c r="J81" s="10" t="s">
        <v>1205</v>
      </c>
      <c r="K81" s="10" t="s">
        <v>1135</v>
      </c>
      <c r="L81" s="12" t="s">
        <v>1136</v>
      </c>
      <c r="M81" s="11" t="s">
        <v>1127</v>
      </c>
    </row>
    <row r="82" spans="1:13" ht="62" customHeight="1">
      <c r="A82" s="8" t="s">
        <v>1448</v>
      </c>
      <c r="B82" s="8" t="s">
        <v>1449</v>
      </c>
      <c r="C82" s="8" t="s">
        <v>1450</v>
      </c>
      <c r="D82" s="8" t="s">
        <v>1442</v>
      </c>
      <c r="E82" s="8" t="s">
        <v>1443</v>
      </c>
      <c r="F82" s="8" t="s">
        <v>1120</v>
      </c>
      <c r="G82" s="8" t="s">
        <v>1121</v>
      </c>
      <c r="H82" s="8" t="s">
        <v>1134</v>
      </c>
      <c r="I82" s="8" t="s">
        <v>1180</v>
      </c>
      <c r="J82" s="8" t="s">
        <v>1451</v>
      </c>
      <c r="K82" s="8" t="s">
        <v>1243</v>
      </c>
      <c r="L82" s="8" t="s">
        <v>1161</v>
      </c>
      <c r="M82" s="9" t="s">
        <v>1127</v>
      </c>
    </row>
    <row r="83" spans="1:13" ht="62" customHeight="1">
      <c r="A83" s="10" t="s">
        <v>1452</v>
      </c>
      <c r="B83" s="10" t="s">
        <v>1453</v>
      </c>
      <c r="C83" s="10" t="s">
        <v>1454</v>
      </c>
      <c r="D83" s="10" t="s">
        <v>1131</v>
      </c>
      <c r="E83" s="10" t="s">
        <v>1316</v>
      </c>
      <c r="F83" s="10" t="s">
        <v>1120</v>
      </c>
      <c r="G83" s="10" t="s">
        <v>1121</v>
      </c>
      <c r="H83" s="10" t="s">
        <v>1122</v>
      </c>
      <c r="I83" s="10" t="s">
        <v>1141</v>
      </c>
      <c r="J83" s="10" t="s">
        <v>1455</v>
      </c>
      <c r="K83" s="10" t="s">
        <v>1243</v>
      </c>
      <c r="L83" s="10" t="s">
        <v>1126</v>
      </c>
      <c r="M83" s="11" t="s">
        <v>1127</v>
      </c>
    </row>
    <row r="84" spans="1:13" ht="62" customHeight="1">
      <c r="A84" s="8" t="s">
        <v>1456</v>
      </c>
      <c r="B84" s="8" t="s">
        <v>1457</v>
      </c>
      <c r="C84" s="8" t="s">
        <v>1458</v>
      </c>
      <c r="D84" s="8" t="s">
        <v>1131</v>
      </c>
      <c r="E84" s="8" t="s">
        <v>1459</v>
      </c>
      <c r="F84" s="8" t="s">
        <v>1120</v>
      </c>
      <c r="G84" s="8" t="s">
        <v>1121</v>
      </c>
      <c r="H84" s="8" t="s">
        <v>1122</v>
      </c>
      <c r="I84" s="8" t="s">
        <v>1141</v>
      </c>
      <c r="J84" s="8" t="s">
        <v>1460</v>
      </c>
      <c r="K84" s="8" t="s">
        <v>1125</v>
      </c>
      <c r="L84" s="8" t="s">
        <v>1126</v>
      </c>
      <c r="M84" s="9" t="s">
        <v>1127</v>
      </c>
    </row>
    <row r="85" spans="1:13" ht="62" customHeight="1">
      <c r="A85" s="10" t="s">
        <v>1461</v>
      </c>
      <c r="B85" s="10" t="s">
        <v>1462</v>
      </c>
      <c r="C85" s="10" t="s">
        <v>1463</v>
      </c>
      <c r="D85" s="10" t="s">
        <v>1131</v>
      </c>
      <c r="E85" s="10" t="s">
        <v>1464</v>
      </c>
      <c r="F85" s="10" t="s">
        <v>1120</v>
      </c>
      <c r="G85" s="10" t="s">
        <v>1121</v>
      </c>
      <c r="H85" s="10" t="s">
        <v>1122</v>
      </c>
      <c r="I85" s="10" t="s">
        <v>1141</v>
      </c>
      <c r="J85" s="10" t="s">
        <v>1465</v>
      </c>
      <c r="K85" s="10" t="s">
        <v>1125</v>
      </c>
      <c r="L85" s="10" t="s">
        <v>1126</v>
      </c>
      <c r="M85" s="11" t="s">
        <v>1127</v>
      </c>
    </row>
    <row r="86" spans="1:13" ht="62" customHeight="1">
      <c r="A86" s="8" t="s">
        <v>1466</v>
      </c>
      <c r="B86" s="8" t="s">
        <v>1467</v>
      </c>
      <c r="C86" s="8" t="s">
        <v>1468</v>
      </c>
      <c r="D86" s="8" t="s">
        <v>1131</v>
      </c>
      <c r="E86" s="8" t="s">
        <v>1428</v>
      </c>
      <c r="F86" s="8" t="s">
        <v>1120</v>
      </c>
      <c r="G86" s="8" t="s">
        <v>1121</v>
      </c>
      <c r="H86" s="8" t="s">
        <v>1122</v>
      </c>
      <c r="I86" s="8" t="s">
        <v>1141</v>
      </c>
      <c r="J86" s="8" t="s">
        <v>1460</v>
      </c>
      <c r="K86" s="8" t="s">
        <v>1125</v>
      </c>
      <c r="L86" s="8" t="s">
        <v>1126</v>
      </c>
      <c r="M86" s="9" t="s">
        <v>1127</v>
      </c>
    </row>
    <row r="87" spans="1:13" ht="62" customHeight="1">
      <c r="A87" s="10" t="s">
        <v>1469</v>
      </c>
      <c r="B87" s="10" t="s">
        <v>1470</v>
      </c>
      <c r="C87" s="10" t="s">
        <v>1471</v>
      </c>
      <c r="D87" s="10" t="s">
        <v>1131</v>
      </c>
      <c r="E87" s="10" t="s">
        <v>1242</v>
      </c>
      <c r="F87" s="10" t="s">
        <v>1120</v>
      </c>
      <c r="G87" s="10" t="s">
        <v>1121</v>
      </c>
      <c r="H87" s="10" t="s">
        <v>1122</v>
      </c>
      <c r="I87" s="10" t="s">
        <v>1180</v>
      </c>
      <c r="J87" s="10" t="s">
        <v>1472</v>
      </c>
      <c r="K87" s="10" t="s">
        <v>1125</v>
      </c>
      <c r="L87" s="10" t="s">
        <v>1126</v>
      </c>
      <c r="M87" s="11" t="s">
        <v>1127</v>
      </c>
    </row>
    <row r="88" spans="1:13" ht="62" customHeight="1">
      <c r="A88" s="8" t="s">
        <v>1473</v>
      </c>
      <c r="B88" s="8" t="s">
        <v>1474</v>
      </c>
      <c r="C88" s="8" t="s">
        <v>1475</v>
      </c>
      <c r="D88" s="8" t="s">
        <v>1131</v>
      </c>
      <c r="E88" s="8" t="s">
        <v>1242</v>
      </c>
      <c r="F88" s="8" t="s">
        <v>1140</v>
      </c>
      <c r="G88" s="8" t="s">
        <v>1121</v>
      </c>
      <c r="H88" s="8" t="s">
        <v>1134</v>
      </c>
      <c r="I88" s="8" t="s">
        <v>1123</v>
      </c>
      <c r="J88" s="8" t="s">
        <v>1124</v>
      </c>
      <c r="K88" s="8" t="s">
        <v>1125</v>
      </c>
      <c r="L88" s="8" t="s">
        <v>1161</v>
      </c>
      <c r="M88" s="9" t="s">
        <v>1127</v>
      </c>
    </row>
    <row r="89" spans="1:13" ht="62" customHeight="1">
      <c r="A89" s="10" t="s">
        <v>1476</v>
      </c>
      <c r="B89" s="10" t="s">
        <v>1477</v>
      </c>
      <c r="C89" s="10" t="s">
        <v>1478</v>
      </c>
      <c r="D89" s="10" t="s">
        <v>1131</v>
      </c>
      <c r="E89" s="10" t="s">
        <v>1479</v>
      </c>
      <c r="F89" s="10" t="s">
        <v>1120</v>
      </c>
      <c r="G89" s="10" t="s">
        <v>1121</v>
      </c>
      <c r="H89" s="10" t="s">
        <v>1122</v>
      </c>
      <c r="I89" s="10" t="s">
        <v>1141</v>
      </c>
      <c r="J89" s="10" t="s">
        <v>1480</v>
      </c>
      <c r="K89" s="10" t="s">
        <v>1243</v>
      </c>
      <c r="L89" s="10" t="s">
        <v>1126</v>
      </c>
      <c r="M89" s="11" t="s">
        <v>1127</v>
      </c>
    </row>
    <row r="90" spans="1:13" ht="62" customHeight="1">
      <c r="A90" s="8" t="s">
        <v>1481</v>
      </c>
      <c r="B90" s="8" t="s">
        <v>1482</v>
      </c>
      <c r="C90" s="8" t="s">
        <v>1483</v>
      </c>
      <c r="D90" s="8" t="s">
        <v>1131</v>
      </c>
      <c r="E90" s="8" t="s">
        <v>1119</v>
      </c>
      <c r="F90" s="8" t="s">
        <v>1120</v>
      </c>
      <c r="G90" s="8" t="s">
        <v>1121</v>
      </c>
      <c r="H90" s="8" t="s">
        <v>1122</v>
      </c>
      <c r="I90" s="8" t="s">
        <v>1123</v>
      </c>
      <c r="J90" s="8" t="s">
        <v>1124</v>
      </c>
      <c r="K90" s="8" t="s">
        <v>1243</v>
      </c>
      <c r="L90" s="8" t="s">
        <v>1126</v>
      </c>
      <c r="M90" s="9" t="s">
        <v>1127</v>
      </c>
    </row>
    <row r="91" spans="1:13" ht="62" customHeight="1">
      <c r="A91" s="10" t="s">
        <v>1484</v>
      </c>
      <c r="B91" s="10" t="s">
        <v>1485</v>
      </c>
      <c r="C91" s="10" t="s">
        <v>1486</v>
      </c>
      <c r="D91" s="10" t="s">
        <v>1131</v>
      </c>
      <c r="E91" s="10" t="s">
        <v>1119</v>
      </c>
      <c r="F91" s="10" t="s">
        <v>1140</v>
      </c>
      <c r="G91" s="10" t="s">
        <v>1121</v>
      </c>
      <c r="H91" s="10" t="s">
        <v>1134</v>
      </c>
      <c r="I91" s="10" t="s">
        <v>1180</v>
      </c>
      <c r="J91" s="10" t="s">
        <v>1487</v>
      </c>
      <c r="K91" s="10" t="s">
        <v>1125</v>
      </c>
      <c r="L91" s="10" t="s">
        <v>1161</v>
      </c>
      <c r="M91" s="11" t="s">
        <v>1127</v>
      </c>
    </row>
    <row r="92" spans="1:13" ht="62" customHeight="1">
      <c r="A92" s="8" t="s">
        <v>1488</v>
      </c>
      <c r="B92" s="8" t="s">
        <v>1489</v>
      </c>
      <c r="C92" s="8" t="s">
        <v>1490</v>
      </c>
      <c r="D92" s="8" t="s">
        <v>1131</v>
      </c>
      <c r="E92" s="8" t="s">
        <v>1491</v>
      </c>
      <c r="F92" s="8" t="s">
        <v>1120</v>
      </c>
      <c r="G92" s="8" t="s">
        <v>1121</v>
      </c>
      <c r="H92" s="8" t="s">
        <v>1122</v>
      </c>
      <c r="I92" s="8" t="s">
        <v>1141</v>
      </c>
      <c r="J92" s="8" t="s">
        <v>1429</v>
      </c>
      <c r="K92" s="8" t="s">
        <v>1243</v>
      </c>
      <c r="L92" s="8" t="s">
        <v>1126</v>
      </c>
      <c r="M92" s="9" t="s">
        <v>1386</v>
      </c>
    </row>
    <row r="93" spans="1:13" ht="62" customHeight="1">
      <c r="A93" s="10" t="s">
        <v>1492</v>
      </c>
      <c r="B93" s="10" t="s">
        <v>1493</v>
      </c>
      <c r="C93" s="10" t="s">
        <v>1494</v>
      </c>
      <c r="D93" s="10" t="s">
        <v>1131</v>
      </c>
      <c r="E93" s="10" t="s">
        <v>1242</v>
      </c>
      <c r="F93" s="10" t="s">
        <v>1140</v>
      </c>
      <c r="G93" s="10" t="s">
        <v>1121</v>
      </c>
      <c r="H93" s="10" t="s">
        <v>1122</v>
      </c>
      <c r="I93" s="10" t="s">
        <v>1180</v>
      </c>
      <c r="J93" s="10" t="s">
        <v>1214</v>
      </c>
      <c r="K93" s="10" t="s">
        <v>1125</v>
      </c>
      <c r="L93" s="10" t="s">
        <v>1126</v>
      </c>
      <c r="M93" s="11" t="s">
        <v>1386</v>
      </c>
    </row>
    <row r="94" spans="1:13" ht="62" customHeight="1">
      <c r="A94" s="8" t="s">
        <v>1495</v>
      </c>
      <c r="B94" s="8" t="s">
        <v>1496</v>
      </c>
      <c r="C94" s="8" t="s">
        <v>1497</v>
      </c>
      <c r="D94" s="8" t="s">
        <v>1131</v>
      </c>
      <c r="E94" s="8" t="s">
        <v>1498</v>
      </c>
      <c r="F94" s="8" t="s">
        <v>1120</v>
      </c>
      <c r="G94" s="8" t="s">
        <v>1121</v>
      </c>
      <c r="H94" s="8" t="s">
        <v>1122</v>
      </c>
      <c r="I94" s="8" t="s">
        <v>1180</v>
      </c>
      <c r="J94" s="8" t="s">
        <v>1499</v>
      </c>
      <c r="K94" s="8" t="s">
        <v>1243</v>
      </c>
      <c r="L94" s="8" t="s">
        <v>1126</v>
      </c>
      <c r="M94" s="9" t="s">
        <v>1127</v>
      </c>
    </row>
    <row r="95" spans="1:13" ht="62" customHeight="1">
      <c r="A95" s="10" t="s">
        <v>1500</v>
      </c>
      <c r="B95" s="10" t="s">
        <v>1501</v>
      </c>
      <c r="C95" s="10" t="s">
        <v>1502</v>
      </c>
      <c r="D95" s="10" t="s">
        <v>1285</v>
      </c>
      <c r="E95" s="10" t="s">
        <v>1242</v>
      </c>
      <c r="F95" s="10" t="s">
        <v>1120</v>
      </c>
      <c r="G95" s="10" t="s">
        <v>1121</v>
      </c>
      <c r="H95" s="10" t="s">
        <v>1134</v>
      </c>
      <c r="I95" s="10" t="s">
        <v>1123</v>
      </c>
      <c r="J95" s="10" t="s">
        <v>1124</v>
      </c>
      <c r="K95" s="10" t="s">
        <v>1243</v>
      </c>
      <c r="L95" s="10" t="s">
        <v>1161</v>
      </c>
      <c r="M95" s="11" t="s">
        <v>1127</v>
      </c>
    </row>
    <row r="96" spans="1:13" ht="62" customHeight="1">
      <c r="A96" s="8" t="s">
        <v>1503</v>
      </c>
      <c r="B96" s="8" t="s">
        <v>1504</v>
      </c>
      <c r="C96" s="8" t="s">
        <v>1505</v>
      </c>
      <c r="D96" s="8" t="s">
        <v>1131</v>
      </c>
      <c r="E96" s="8" t="s">
        <v>1119</v>
      </c>
      <c r="F96" s="8" t="s">
        <v>1120</v>
      </c>
      <c r="G96" s="8" t="s">
        <v>1133</v>
      </c>
      <c r="H96" s="8" t="s">
        <v>1122</v>
      </c>
      <c r="I96" s="8" t="s">
        <v>1123</v>
      </c>
      <c r="J96" s="8" t="s">
        <v>1124</v>
      </c>
      <c r="K96" s="8" t="s">
        <v>1125</v>
      </c>
      <c r="L96" s="12" t="s">
        <v>1136</v>
      </c>
      <c r="M96" s="9" t="s">
        <v>1127</v>
      </c>
    </row>
    <row r="97" spans="1:13" ht="62" customHeight="1">
      <c r="A97" s="10" t="s">
        <v>1506</v>
      </c>
      <c r="B97" s="10" t="s">
        <v>1507</v>
      </c>
      <c r="C97" s="10" t="s">
        <v>1508</v>
      </c>
      <c r="D97" s="10" t="s">
        <v>1131</v>
      </c>
      <c r="E97" s="10" t="s">
        <v>1316</v>
      </c>
      <c r="F97" s="10" t="s">
        <v>1120</v>
      </c>
      <c r="G97" s="10" t="s">
        <v>1121</v>
      </c>
      <c r="H97" s="10" t="s">
        <v>1122</v>
      </c>
      <c r="I97" s="10" t="s">
        <v>1141</v>
      </c>
      <c r="J97" s="10" t="s">
        <v>1509</v>
      </c>
      <c r="K97" s="10" t="s">
        <v>1125</v>
      </c>
      <c r="L97" s="10" t="s">
        <v>1126</v>
      </c>
      <c r="M97" s="11" t="s">
        <v>1127</v>
      </c>
    </row>
    <row r="98" spans="1:13" ht="62" customHeight="1">
      <c r="A98" s="8" t="s">
        <v>1510</v>
      </c>
      <c r="B98" s="8" t="s">
        <v>1511</v>
      </c>
      <c r="C98" s="8" t="s">
        <v>1512</v>
      </c>
      <c r="D98" s="8" t="s">
        <v>1131</v>
      </c>
      <c r="E98" s="8" t="s">
        <v>1513</v>
      </c>
      <c r="F98" s="8" t="s">
        <v>1120</v>
      </c>
      <c r="G98" s="8" t="s">
        <v>1133</v>
      </c>
      <c r="H98" s="8" t="s">
        <v>1122</v>
      </c>
      <c r="I98" s="8" t="s">
        <v>1180</v>
      </c>
      <c r="J98" s="8" t="s">
        <v>1205</v>
      </c>
      <c r="K98" s="8" t="s">
        <v>1125</v>
      </c>
      <c r="L98" s="12" t="s">
        <v>1136</v>
      </c>
      <c r="M98" s="9" t="s">
        <v>1127</v>
      </c>
    </row>
    <row r="99" spans="1:13" ht="62" customHeight="1">
      <c r="A99" s="10" t="s">
        <v>1514</v>
      </c>
      <c r="B99" s="10" t="s">
        <v>1515</v>
      </c>
      <c r="C99" s="10" t="s">
        <v>1516</v>
      </c>
      <c r="D99" s="10" t="s">
        <v>1131</v>
      </c>
      <c r="E99" s="10" t="s">
        <v>1517</v>
      </c>
      <c r="F99" s="10" t="s">
        <v>1120</v>
      </c>
      <c r="G99" s="10" t="s">
        <v>1121</v>
      </c>
      <c r="H99" s="10" t="s">
        <v>1134</v>
      </c>
      <c r="I99" s="10" t="s">
        <v>1141</v>
      </c>
      <c r="J99" s="10" t="s">
        <v>1518</v>
      </c>
      <c r="K99" s="10" t="s">
        <v>1125</v>
      </c>
      <c r="L99" s="10" t="s">
        <v>1161</v>
      </c>
      <c r="M99" s="11" t="s">
        <v>1127</v>
      </c>
    </row>
    <row r="100" spans="1:13" ht="62" customHeight="1">
      <c r="A100" s="8" t="s">
        <v>1519</v>
      </c>
      <c r="B100" s="8" t="s">
        <v>1520</v>
      </c>
      <c r="C100" s="8" t="s">
        <v>1521</v>
      </c>
      <c r="D100" s="8" t="s">
        <v>1131</v>
      </c>
      <c r="E100" s="8" t="s">
        <v>1479</v>
      </c>
      <c r="F100" s="8" t="s">
        <v>1120</v>
      </c>
      <c r="G100" s="8" t="s">
        <v>1121</v>
      </c>
      <c r="H100" s="8" t="s">
        <v>1134</v>
      </c>
      <c r="I100" s="8" t="s">
        <v>1141</v>
      </c>
      <c r="J100" s="8" t="s">
        <v>1522</v>
      </c>
      <c r="K100" s="8" t="s">
        <v>1125</v>
      </c>
      <c r="L100" s="8" t="s">
        <v>1161</v>
      </c>
      <c r="M100" s="9" t="s">
        <v>1127</v>
      </c>
    </row>
    <row r="101" spans="1:13" ht="62" customHeight="1">
      <c r="A101" s="10" t="s">
        <v>1523</v>
      </c>
      <c r="B101" s="10" t="s">
        <v>1524</v>
      </c>
      <c r="C101" s="10" t="s">
        <v>1525</v>
      </c>
      <c r="D101" s="10" t="s">
        <v>1131</v>
      </c>
      <c r="E101" s="10" t="s">
        <v>1526</v>
      </c>
      <c r="F101" s="10" t="s">
        <v>1120</v>
      </c>
      <c r="G101" s="10" t="s">
        <v>1121</v>
      </c>
      <c r="H101" s="10" t="s">
        <v>1134</v>
      </c>
      <c r="I101" s="10" t="s">
        <v>1141</v>
      </c>
      <c r="J101" s="10" t="s">
        <v>1527</v>
      </c>
      <c r="K101" s="10" t="s">
        <v>1125</v>
      </c>
      <c r="L101" s="10" t="s">
        <v>1161</v>
      </c>
      <c r="M101" s="11" t="s">
        <v>1127</v>
      </c>
    </row>
    <row r="102" spans="1:13" ht="62" customHeight="1">
      <c r="A102" s="8" t="s">
        <v>1528</v>
      </c>
      <c r="B102" s="8" t="s">
        <v>1529</v>
      </c>
      <c r="C102" s="8" t="s">
        <v>1530</v>
      </c>
      <c r="D102" s="8" t="s">
        <v>1131</v>
      </c>
      <c r="E102" s="8" t="s">
        <v>1132</v>
      </c>
      <c r="F102" s="8" t="s">
        <v>1120</v>
      </c>
      <c r="G102" s="8" t="s">
        <v>1121</v>
      </c>
      <c r="H102" s="8" t="s">
        <v>1134</v>
      </c>
      <c r="I102" s="8" t="s">
        <v>1180</v>
      </c>
      <c r="J102" s="8" t="s">
        <v>1531</v>
      </c>
      <c r="K102" s="8" t="s">
        <v>1135</v>
      </c>
      <c r="L102" s="8" t="s">
        <v>1161</v>
      </c>
      <c r="M102" s="9" t="s">
        <v>1127</v>
      </c>
    </row>
    <row r="103" spans="1:13" ht="62" customHeight="1">
      <c r="A103" s="10" t="s">
        <v>1532</v>
      </c>
      <c r="B103" s="10" t="s">
        <v>1533</v>
      </c>
      <c r="C103" s="10" t="s">
        <v>1534</v>
      </c>
      <c r="D103" s="10" t="s">
        <v>1131</v>
      </c>
      <c r="E103" s="10" t="s">
        <v>1119</v>
      </c>
      <c r="F103" s="10" t="s">
        <v>1120</v>
      </c>
      <c r="G103" s="10" t="s">
        <v>1121</v>
      </c>
      <c r="H103" s="10" t="s">
        <v>1122</v>
      </c>
      <c r="I103" s="10" t="s">
        <v>1123</v>
      </c>
      <c r="J103" s="10" t="s">
        <v>1124</v>
      </c>
      <c r="K103" s="10" t="s">
        <v>1125</v>
      </c>
      <c r="L103" s="10" t="s">
        <v>1126</v>
      </c>
      <c r="M103" s="11" t="s">
        <v>1150</v>
      </c>
    </row>
    <row r="104" spans="1:13" ht="62" customHeight="1">
      <c r="A104" s="8" t="s">
        <v>1535</v>
      </c>
      <c r="B104" s="8" t="s">
        <v>1536</v>
      </c>
      <c r="C104" s="8" t="s">
        <v>1537</v>
      </c>
      <c r="D104" s="8" t="s">
        <v>1538</v>
      </c>
      <c r="E104" s="8" t="s">
        <v>1539</v>
      </c>
      <c r="F104" s="8" t="s">
        <v>1120</v>
      </c>
      <c r="G104" s="8" t="s">
        <v>1133</v>
      </c>
      <c r="H104" s="8" t="s">
        <v>1122</v>
      </c>
      <c r="I104" s="8" t="s">
        <v>1180</v>
      </c>
      <c r="J104" s="8" t="s">
        <v>1205</v>
      </c>
      <c r="K104" s="8" t="s">
        <v>1125</v>
      </c>
      <c r="L104" s="12" t="s">
        <v>1136</v>
      </c>
      <c r="M104" s="9" t="s">
        <v>1150</v>
      </c>
    </row>
    <row r="105" spans="1:13" ht="62" customHeight="1">
      <c r="A105" s="10" t="s">
        <v>1540</v>
      </c>
      <c r="B105" s="10" t="s">
        <v>1541</v>
      </c>
      <c r="C105" s="10" t="s">
        <v>1542</v>
      </c>
      <c r="D105" s="10" t="s">
        <v>1543</v>
      </c>
      <c r="E105" s="10" t="s">
        <v>1526</v>
      </c>
      <c r="F105" s="10" t="s">
        <v>1140</v>
      </c>
      <c r="G105" s="10" t="s">
        <v>1121</v>
      </c>
      <c r="H105" s="10" t="s">
        <v>1122</v>
      </c>
      <c r="I105" s="10" t="s">
        <v>1141</v>
      </c>
      <c r="J105" s="10" t="s">
        <v>1544</v>
      </c>
      <c r="K105" s="10" t="s">
        <v>1243</v>
      </c>
      <c r="L105" s="10" t="s">
        <v>1126</v>
      </c>
      <c r="M105" s="11" t="s">
        <v>1157</v>
      </c>
    </row>
    <row r="106" spans="1:13" ht="62" customHeight="1">
      <c r="A106" s="8" t="s">
        <v>1545</v>
      </c>
      <c r="B106" s="8" t="s">
        <v>1546</v>
      </c>
      <c r="C106" s="8" t="s">
        <v>1547</v>
      </c>
      <c r="D106" s="8" t="s">
        <v>1131</v>
      </c>
      <c r="E106" s="8" t="s">
        <v>1548</v>
      </c>
      <c r="F106" s="8" t="s">
        <v>1120</v>
      </c>
      <c r="G106" s="8" t="s">
        <v>1121</v>
      </c>
      <c r="H106" s="8" t="s">
        <v>1122</v>
      </c>
      <c r="I106" s="8" t="s">
        <v>1141</v>
      </c>
      <c r="J106" s="8" t="s">
        <v>1549</v>
      </c>
      <c r="K106" s="8" t="s">
        <v>1243</v>
      </c>
      <c r="L106" s="8" t="s">
        <v>1126</v>
      </c>
      <c r="M106" s="9" t="s">
        <v>1127</v>
      </c>
    </row>
    <row r="107" spans="1:13" ht="62" customHeight="1">
      <c r="A107" s="10" t="s">
        <v>1550</v>
      </c>
      <c r="B107" s="10" t="s">
        <v>1551</v>
      </c>
      <c r="C107" s="10" t="s">
        <v>1552</v>
      </c>
      <c r="D107" s="10" t="s">
        <v>1131</v>
      </c>
      <c r="E107" s="10" t="s">
        <v>1316</v>
      </c>
      <c r="F107" s="10" t="s">
        <v>1140</v>
      </c>
      <c r="G107" s="10" t="s">
        <v>1121</v>
      </c>
      <c r="H107" s="10" t="s">
        <v>1122</v>
      </c>
      <c r="I107" s="10" t="s">
        <v>1141</v>
      </c>
      <c r="J107" s="10" t="s">
        <v>1429</v>
      </c>
      <c r="K107" s="10" t="s">
        <v>1125</v>
      </c>
      <c r="L107" s="10" t="s">
        <v>1126</v>
      </c>
      <c r="M107" s="11" t="s">
        <v>1286</v>
      </c>
    </row>
    <row r="108" spans="1:13" ht="62" customHeight="1">
      <c r="A108" s="8" t="s">
        <v>1553</v>
      </c>
      <c r="B108" s="8" t="s">
        <v>1554</v>
      </c>
      <c r="C108" s="8" t="s">
        <v>1555</v>
      </c>
      <c r="D108" s="8" t="s">
        <v>1556</v>
      </c>
      <c r="E108" s="8" t="s">
        <v>1119</v>
      </c>
      <c r="F108" s="8" t="s">
        <v>1140</v>
      </c>
      <c r="G108" s="8" t="s">
        <v>1121</v>
      </c>
      <c r="H108" s="8" t="s">
        <v>1134</v>
      </c>
      <c r="I108" s="8" t="s">
        <v>1180</v>
      </c>
      <c r="J108" s="8" t="s">
        <v>1557</v>
      </c>
      <c r="K108" s="8" t="s">
        <v>1125</v>
      </c>
      <c r="L108" s="8" t="s">
        <v>1161</v>
      </c>
      <c r="M108" s="9" t="s">
        <v>1286</v>
      </c>
    </row>
    <row r="109" spans="1:13" ht="62" customHeight="1">
      <c r="A109" s="10" t="s">
        <v>1558</v>
      </c>
      <c r="B109" s="10" t="s">
        <v>1559</v>
      </c>
      <c r="C109" s="10" t="s">
        <v>1560</v>
      </c>
      <c r="D109" s="10" t="s">
        <v>1131</v>
      </c>
      <c r="E109" s="10" t="s">
        <v>1132</v>
      </c>
      <c r="F109" s="10" t="s">
        <v>1140</v>
      </c>
      <c r="G109" s="10" t="s">
        <v>1133</v>
      </c>
      <c r="H109" s="10" t="s">
        <v>1122</v>
      </c>
      <c r="I109" s="10" t="s">
        <v>1180</v>
      </c>
      <c r="J109" s="10" t="s">
        <v>1205</v>
      </c>
      <c r="K109" s="10" t="s">
        <v>1135</v>
      </c>
      <c r="L109" s="12" t="s">
        <v>1136</v>
      </c>
      <c r="M109" s="11" t="s">
        <v>1286</v>
      </c>
    </row>
    <row r="110" spans="1:13" ht="62" customHeight="1">
      <c r="A110" s="8" t="s">
        <v>1561</v>
      </c>
      <c r="B110" s="8" t="s">
        <v>1562</v>
      </c>
      <c r="C110" s="8" t="s">
        <v>1563</v>
      </c>
      <c r="D110" s="8" t="s">
        <v>1131</v>
      </c>
      <c r="E110" s="8" t="s">
        <v>1564</v>
      </c>
      <c r="F110" s="8" t="s">
        <v>1120</v>
      </c>
      <c r="G110" s="8" t="s">
        <v>1121</v>
      </c>
      <c r="H110" s="8" t="s">
        <v>1122</v>
      </c>
      <c r="I110" s="8" t="s">
        <v>1141</v>
      </c>
      <c r="J110" s="8" t="s">
        <v>1565</v>
      </c>
      <c r="K110" s="8" t="s">
        <v>1243</v>
      </c>
      <c r="L110" s="8" t="s">
        <v>1126</v>
      </c>
      <c r="M110" s="9" t="s">
        <v>1386</v>
      </c>
    </row>
    <row r="111" spans="1:13" ht="62" customHeight="1">
      <c r="A111" s="10" t="s">
        <v>1566</v>
      </c>
      <c r="B111" s="10" t="s">
        <v>1567</v>
      </c>
      <c r="C111" s="10" t="s">
        <v>1568</v>
      </c>
      <c r="D111" s="10" t="s">
        <v>1131</v>
      </c>
      <c r="E111" s="10" t="s">
        <v>1276</v>
      </c>
      <c r="F111" s="10" t="s">
        <v>1120</v>
      </c>
      <c r="G111" s="10" t="s">
        <v>1121</v>
      </c>
      <c r="H111" s="10" t="s">
        <v>1122</v>
      </c>
      <c r="I111" s="10" t="s">
        <v>1141</v>
      </c>
      <c r="J111" s="10" t="s">
        <v>1569</v>
      </c>
      <c r="K111" s="10" t="s">
        <v>1125</v>
      </c>
      <c r="L111" s="10" t="s">
        <v>1126</v>
      </c>
      <c r="M111" s="11" t="s">
        <v>1192</v>
      </c>
    </row>
    <row r="112" spans="1:13" ht="62" customHeight="1">
      <c r="A112" s="8" t="s">
        <v>1570</v>
      </c>
      <c r="B112" s="8" t="s">
        <v>1571</v>
      </c>
      <c r="C112" s="8" t="s">
        <v>1572</v>
      </c>
      <c r="D112" s="8" t="s">
        <v>1131</v>
      </c>
      <c r="E112" s="8" t="s">
        <v>1573</v>
      </c>
      <c r="F112" s="8" t="s">
        <v>1120</v>
      </c>
      <c r="G112" s="8" t="s">
        <v>1121</v>
      </c>
      <c r="H112" s="8" t="s">
        <v>1122</v>
      </c>
      <c r="I112" s="8" t="s">
        <v>1141</v>
      </c>
      <c r="J112" s="8" t="s">
        <v>1509</v>
      </c>
      <c r="K112" s="8" t="s">
        <v>1243</v>
      </c>
      <c r="L112" s="8" t="s">
        <v>1126</v>
      </c>
      <c r="M112" s="9" t="s">
        <v>1127</v>
      </c>
    </row>
    <row r="113" spans="1:13" ht="62" customHeight="1">
      <c r="A113" s="10" t="s">
        <v>1574</v>
      </c>
      <c r="B113" s="10" t="s">
        <v>1575</v>
      </c>
      <c r="C113" s="10" t="s">
        <v>1576</v>
      </c>
      <c r="D113" s="10" t="s">
        <v>1131</v>
      </c>
      <c r="E113" s="10" t="s">
        <v>1132</v>
      </c>
      <c r="F113" s="10" t="s">
        <v>1120</v>
      </c>
      <c r="G113" s="10" t="s">
        <v>1121</v>
      </c>
      <c r="H113" s="10" t="s">
        <v>1122</v>
      </c>
      <c r="I113" s="10" t="s">
        <v>1180</v>
      </c>
      <c r="J113" s="10" t="s">
        <v>1205</v>
      </c>
      <c r="K113" s="10" t="s">
        <v>1135</v>
      </c>
      <c r="L113" s="10" t="s">
        <v>1126</v>
      </c>
      <c r="M113" s="11" t="s">
        <v>1577</v>
      </c>
    </row>
    <row r="114" spans="1:13" ht="62" customHeight="1">
      <c r="A114" s="8" t="s">
        <v>1578</v>
      </c>
      <c r="B114" s="8" t="s">
        <v>1579</v>
      </c>
      <c r="C114" s="8" t="s">
        <v>1580</v>
      </c>
      <c r="D114" s="8" t="s">
        <v>1131</v>
      </c>
      <c r="E114" s="8" t="s">
        <v>1242</v>
      </c>
      <c r="F114" s="8" t="s">
        <v>1120</v>
      </c>
      <c r="G114" s="8" t="s">
        <v>1121</v>
      </c>
      <c r="H114" s="8" t="s">
        <v>1122</v>
      </c>
      <c r="I114" s="8" t="s">
        <v>1123</v>
      </c>
      <c r="J114" s="8" t="s">
        <v>1124</v>
      </c>
      <c r="K114" s="8" t="s">
        <v>1125</v>
      </c>
      <c r="L114" s="8" t="s">
        <v>1126</v>
      </c>
      <c r="M114" s="9" t="s">
        <v>1581</v>
      </c>
    </row>
    <row r="115" spans="1:13" ht="62" customHeight="1">
      <c r="A115" s="10" t="s">
        <v>1582</v>
      </c>
      <c r="B115" s="10" t="s">
        <v>1583</v>
      </c>
      <c r="C115" s="10" t="s">
        <v>1584</v>
      </c>
      <c r="D115" s="10" t="s">
        <v>1118</v>
      </c>
      <c r="E115" s="10" t="s">
        <v>1119</v>
      </c>
      <c r="F115" s="10" t="s">
        <v>1140</v>
      </c>
      <c r="G115" s="10" t="s">
        <v>1121</v>
      </c>
      <c r="H115" s="10" t="s">
        <v>1122</v>
      </c>
      <c r="I115" s="10" t="s">
        <v>1123</v>
      </c>
      <c r="J115" s="10" t="s">
        <v>1124</v>
      </c>
      <c r="K115" s="10" t="s">
        <v>1125</v>
      </c>
      <c r="L115" s="10" t="s">
        <v>1126</v>
      </c>
      <c r="M115" s="11" t="s">
        <v>1581</v>
      </c>
    </row>
    <row r="116" spans="1:13" ht="62" customHeight="1">
      <c r="A116" s="8" t="s">
        <v>1585</v>
      </c>
      <c r="B116" s="8" t="s">
        <v>1586</v>
      </c>
      <c r="C116" s="8" t="s">
        <v>1587</v>
      </c>
      <c r="D116" s="8" t="s">
        <v>1131</v>
      </c>
      <c r="E116" s="8" t="s">
        <v>1588</v>
      </c>
      <c r="F116" s="8" t="s">
        <v>1140</v>
      </c>
      <c r="G116" s="8" t="s">
        <v>1121</v>
      </c>
      <c r="H116" s="8" t="s">
        <v>1134</v>
      </c>
      <c r="I116" s="8" t="s">
        <v>1141</v>
      </c>
      <c r="J116" s="8" t="s">
        <v>1589</v>
      </c>
      <c r="K116" s="8" t="s">
        <v>1125</v>
      </c>
      <c r="L116" s="8" t="s">
        <v>1161</v>
      </c>
      <c r="M116" s="9" t="s">
        <v>1581</v>
      </c>
    </row>
    <row r="117" spans="1:13" ht="62" customHeight="1">
      <c r="A117" s="10" t="s">
        <v>1590</v>
      </c>
      <c r="B117" s="10" t="s">
        <v>1591</v>
      </c>
      <c r="C117" s="10" t="s">
        <v>1592</v>
      </c>
      <c r="D117" s="10" t="s">
        <v>1131</v>
      </c>
      <c r="E117" s="10" t="s">
        <v>1593</v>
      </c>
      <c r="F117" s="10" t="s">
        <v>1120</v>
      </c>
      <c r="G117" s="10" t="s">
        <v>1121</v>
      </c>
      <c r="H117" s="10" t="s">
        <v>1122</v>
      </c>
      <c r="I117" s="10" t="s">
        <v>1141</v>
      </c>
      <c r="J117" s="10" t="s">
        <v>1317</v>
      </c>
      <c r="K117" s="10" t="s">
        <v>1125</v>
      </c>
      <c r="L117" s="10" t="s">
        <v>1126</v>
      </c>
      <c r="M117" s="11" t="s">
        <v>1581</v>
      </c>
    </row>
    <row r="118" spans="1:13" ht="62" customHeight="1">
      <c r="A118" s="8" t="s">
        <v>1594</v>
      </c>
      <c r="B118" s="8" t="s">
        <v>1595</v>
      </c>
      <c r="C118" s="8" t="s">
        <v>1596</v>
      </c>
      <c r="D118" s="8" t="s">
        <v>1131</v>
      </c>
      <c r="E118" s="8" t="s">
        <v>1132</v>
      </c>
      <c r="F118" s="8" t="s">
        <v>1140</v>
      </c>
      <c r="G118" s="8" t="s">
        <v>1121</v>
      </c>
      <c r="H118" s="8" t="s">
        <v>1122</v>
      </c>
      <c r="I118" s="8" t="s">
        <v>1123</v>
      </c>
      <c r="J118" s="8" t="s">
        <v>1124</v>
      </c>
      <c r="K118" s="8" t="s">
        <v>1135</v>
      </c>
      <c r="L118" s="8" t="s">
        <v>1126</v>
      </c>
      <c r="M118" s="9" t="s">
        <v>1581</v>
      </c>
    </row>
    <row r="119" spans="1:13" ht="62" customHeight="1">
      <c r="A119" s="10" t="s">
        <v>1597</v>
      </c>
      <c r="B119" s="10" t="s">
        <v>1598</v>
      </c>
      <c r="C119" s="10" t="s">
        <v>1599</v>
      </c>
      <c r="D119" s="10" t="s">
        <v>1118</v>
      </c>
      <c r="E119" s="10" t="s">
        <v>1132</v>
      </c>
      <c r="F119" s="10" t="s">
        <v>1120</v>
      </c>
      <c r="G119" s="10" t="s">
        <v>1121</v>
      </c>
      <c r="H119" s="10" t="s">
        <v>1122</v>
      </c>
      <c r="I119" s="10" t="s">
        <v>1141</v>
      </c>
      <c r="J119" s="10" t="s">
        <v>1600</v>
      </c>
      <c r="K119" s="10" t="s">
        <v>1135</v>
      </c>
      <c r="L119" s="10" t="s">
        <v>1126</v>
      </c>
      <c r="M119" s="11" t="s">
        <v>1581</v>
      </c>
    </row>
    <row r="120" spans="1:13" ht="62" customHeight="1">
      <c r="A120" s="8" t="s">
        <v>1601</v>
      </c>
      <c r="B120" s="8" t="s">
        <v>1602</v>
      </c>
      <c r="C120" s="8" t="s">
        <v>1603</v>
      </c>
      <c r="D120" s="8" t="s">
        <v>1131</v>
      </c>
      <c r="E120" s="8" t="s">
        <v>1604</v>
      </c>
      <c r="F120" s="8" t="s">
        <v>1140</v>
      </c>
      <c r="G120" s="8" t="s">
        <v>1121</v>
      </c>
      <c r="H120" s="8" t="s">
        <v>1122</v>
      </c>
      <c r="I120" s="8" t="s">
        <v>1141</v>
      </c>
      <c r="J120" s="8" t="s">
        <v>1605</v>
      </c>
      <c r="K120" s="8" t="s">
        <v>1125</v>
      </c>
      <c r="L120" s="8" t="s">
        <v>1126</v>
      </c>
      <c r="M120" s="9" t="s">
        <v>1581</v>
      </c>
    </row>
    <row r="121" spans="1:13" ht="62" customHeight="1">
      <c r="A121" s="10" t="s">
        <v>1606</v>
      </c>
      <c r="B121" s="10" t="s">
        <v>1607</v>
      </c>
      <c r="C121" s="10" t="s">
        <v>1608</v>
      </c>
      <c r="D121" s="10" t="s">
        <v>1131</v>
      </c>
      <c r="E121" s="10" t="s">
        <v>1609</v>
      </c>
      <c r="F121" s="10" t="s">
        <v>1140</v>
      </c>
      <c r="G121" s="10" t="s">
        <v>1121</v>
      </c>
      <c r="H121" s="10" t="s">
        <v>1134</v>
      </c>
      <c r="I121" s="10" t="s">
        <v>1141</v>
      </c>
      <c r="J121" s="10" t="s">
        <v>1413</v>
      </c>
      <c r="K121" s="10" t="s">
        <v>1125</v>
      </c>
      <c r="L121" s="10" t="s">
        <v>1161</v>
      </c>
      <c r="M121" s="11" t="s">
        <v>1581</v>
      </c>
    </row>
    <row r="122" spans="1:13" ht="62" customHeight="1">
      <c r="A122" s="8" t="s">
        <v>1610</v>
      </c>
      <c r="B122" s="8" t="s">
        <v>1611</v>
      </c>
      <c r="C122" s="8" t="s">
        <v>1612</v>
      </c>
      <c r="D122" s="8" t="s">
        <v>1118</v>
      </c>
      <c r="E122" s="8" t="s">
        <v>1242</v>
      </c>
      <c r="F122" s="8" t="s">
        <v>1120</v>
      </c>
      <c r="G122" s="8" t="s">
        <v>1133</v>
      </c>
      <c r="H122" s="8" t="s">
        <v>1122</v>
      </c>
      <c r="I122" s="8" t="s">
        <v>1123</v>
      </c>
      <c r="J122" s="8" t="s">
        <v>1124</v>
      </c>
      <c r="K122" s="8" t="s">
        <v>1125</v>
      </c>
      <c r="L122" s="12" t="s">
        <v>1136</v>
      </c>
      <c r="M122" s="9" t="s">
        <v>1192</v>
      </c>
    </row>
    <row r="123" spans="1:13" ht="62" customHeight="1">
      <c r="A123" s="10" t="s">
        <v>1613</v>
      </c>
      <c r="B123" s="10" t="s">
        <v>1614</v>
      </c>
      <c r="C123" s="10" t="s">
        <v>1615</v>
      </c>
      <c r="D123" s="10" t="s">
        <v>1131</v>
      </c>
      <c r="E123" s="10" t="s">
        <v>1119</v>
      </c>
      <c r="F123" s="10" t="s">
        <v>1120</v>
      </c>
      <c r="G123" s="10" t="s">
        <v>1133</v>
      </c>
      <c r="H123" s="10" t="s">
        <v>1122</v>
      </c>
      <c r="I123" s="10" t="s">
        <v>1123</v>
      </c>
      <c r="J123" s="10" t="s">
        <v>1124</v>
      </c>
      <c r="K123" s="10" t="s">
        <v>1125</v>
      </c>
      <c r="L123" s="12" t="s">
        <v>1136</v>
      </c>
      <c r="M123" s="11" t="s">
        <v>1192</v>
      </c>
    </row>
    <row r="124" spans="1:13" ht="62" customHeight="1">
      <c r="A124" s="8" t="s">
        <v>1616</v>
      </c>
      <c r="B124" s="8" t="s">
        <v>1617</v>
      </c>
      <c r="C124" s="8" t="s">
        <v>1618</v>
      </c>
      <c r="D124" s="8" t="s">
        <v>1131</v>
      </c>
      <c r="E124" s="8" t="s">
        <v>1619</v>
      </c>
      <c r="F124" s="8" t="s">
        <v>1120</v>
      </c>
      <c r="G124" s="8" t="s">
        <v>1133</v>
      </c>
      <c r="H124" s="8" t="s">
        <v>1122</v>
      </c>
      <c r="I124" s="8" t="s">
        <v>1180</v>
      </c>
      <c r="J124" s="8" t="s">
        <v>1205</v>
      </c>
      <c r="K124" s="8" t="s">
        <v>1125</v>
      </c>
      <c r="L124" s="12" t="s">
        <v>1136</v>
      </c>
      <c r="M124" s="9" t="s">
        <v>1192</v>
      </c>
    </row>
    <row r="125" spans="1:13" ht="62" customHeight="1">
      <c r="A125" s="10" t="s">
        <v>1620</v>
      </c>
      <c r="B125" s="10" t="s">
        <v>1621</v>
      </c>
      <c r="C125" s="10" t="s">
        <v>1622</v>
      </c>
      <c r="D125" s="10" t="s">
        <v>1131</v>
      </c>
      <c r="E125" s="10" t="s">
        <v>1119</v>
      </c>
      <c r="F125" s="10" t="s">
        <v>1120</v>
      </c>
      <c r="G125" s="10" t="s">
        <v>1133</v>
      </c>
      <c r="H125" s="10" t="s">
        <v>1122</v>
      </c>
      <c r="I125" s="10" t="s">
        <v>1123</v>
      </c>
      <c r="J125" s="10" t="s">
        <v>1124</v>
      </c>
      <c r="K125" s="10" t="s">
        <v>1125</v>
      </c>
      <c r="L125" s="12" t="s">
        <v>1136</v>
      </c>
      <c r="M125" s="11" t="s">
        <v>1192</v>
      </c>
    </row>
    <row r="126" spans="1:13" ht="62" customHeight="1">
      <c r="A126" s="8" t="s">
        <v>1623</v>
      </c>
      <c r="B126" s="8" t="s">
        <v>1624</v>
      </c>
      <c r="C126" s="8" t="s">
        <v>1625</v>
      </c>
      <c r="D126" s="8" t="s">
        <v>1118</v>
      </c>
      <c r="E126" s="8" t="s">
        <v>1242</v>
      </c>
      <c r="F126" s="8" t="s">
        <v>1120</v>
      </c>
      <c r="G126" s="8" t="s">
        <v>1133</v>
      </c>
      <c r="H126" s="8" t="s">
        <v>1134</v>
      </c>
      <c r="I126" s="8" t="s">
        <v>1123</v>
      </c>
      <c r="J126" s="8" t="s">
        <v>1124</v>
      </c>
      <c r="K126" s="8" t="s">
        <v>1125</v>
      </c>
      <c r="L126" s="12" t="s">
        <v>1136</v>
      </c>
      <c r="M126" s="9" t="s">
        <v>1192</v>
      </c>
    </row>
    <row r="127" spans="1:13" ht="62" customHeight="1">
      <c r="A127" s="10" t="s">
        <v>1626</v>
      </c>
      <c r="B127" s="10" t="s">
        <v>1627</v>
      </c>
      <c r="C127" s="10" t="s">
        <v>1628</v>
      </c>
      <c r="D127" s="10" t="s">
        <v>1131</v>
      </c>
      <c r="E127" s="10" t="s">
        <v>1119</v>
      </c>
      <c r="F127" s="10" t="s">
        <v>1120</v>
      </c>
      <c r="G127" s="10" t="s">
        <v>1133</v>
      </c>
      <c r="H127" s="10" t="s">
        <v>1122</v>
      </c>
      <c r="I127" s="10" t="s">
        <v>1123</v>
      </c>
      <c r="J127" s="10" t="s">
        <v>1124</v>
      </c>
      <c r="K127" s="10" t="s">
        <v>1125</v>
      </c>
      <c r="L127" s="12" t="s">
        <v>1136</v>
      </c>
      <c r="M127" s="11" t="s">
        <v>1192</v>
      </c>
    </row>
    <row r="128" spans="1:13" ht="62" customHeight="1">
      <c r="A128" s="8" t="s">
        <v>1629</v>
      </c>
      <c r="B128" s="8" t="s">
        <v>1630</v>
      </c>
      <c r="C128" s="8" t="s">
        <v>1631</v>
      </c>
      <c r="D128" s="8" t="s">
        <v>1632</v>
      </c>
      <c r="E128" s="8" t="s">
        <v>1633</v>
      </c>
      <c r="F128" s="8" t="s">
        <v>1120</v>
      </c>
      <c r="G128" s="8" t="s">
        <v>1121</v>
      </c>
      <c r="H128" s="8" t="s">
        <v>1134</v>
      </c>
      <c r="I128" s="8" t="s">
        <v>1141</v>
      </c>
      <c r="J128" s="8" t="s">
        <v>1634</v>
      </c>
      <c r="K128" s="8" t="s">
        <v>1125</v>
      </c>
      <c r="L128" s="8" t="s">
        <v>1635</v>
      </c>
      <c r="M128" s="9" t="s">
        <v>1636</v>
      </c>
    </row>
    <row r="129" spans="1:13" ht="62" customHeight="1">
      <c r="A129" s="10" t="s">
        <v>1637</v>
      </c>
      <c r="B129" s="10" t="s">
        <v>1638</v>
      </c>
      <c r="C129" s="10" t="s">
        <v>1639</v>
      </c>
      <c r="D129" s="10" t="s">
        <v>1131</v>
      </c>
      <c r="E129" s="10" t="s">
        <v>1640</v>
      </c>
      <c r="F129" s="10" t="s">
        <v>1120</v>
      </c>
      <c r="G129" s="10" t="s">
        <v>1133</v>
      </c>
      <c r="H129" s="10" t="s">
        <v>1122</v>
      </c>
      <c r="I129" s="10" t="s">
        <v>1141</v>
      </c>
      <c r="J129" s="10" t="s">
        <v>1641</v>
      </c>
      <c r="K129" s="10" t="s">
        <v>1125</v>
      </c>
      <c r="L129" s="12" t="s">
        <v>1136</v>
      </c>
      <c r="M129" s="11" t="s">
        <v>1192</v>
      </c>
    </row>
    <row r="130" spans="1:13" ht="62" customHeight="1">
      <c r="A130" s="8" t="s">
        <v>1642</v>
      </c>
      <c r="B130" s="8" t="s">
        <v>1643</v>
      </c>
      <c r="C130" s="8" t="s">
        <v>1644</v>
      </c>
      <c r="D130" s="8" t="s">
        <v>1645</v>
      </c>
      <c r="E130" s="8" t="s">
        <v>1646</v>
      </c>
      <c r="F130" s="8" t="s">
        <v>1140</v>
      </c>
      <c r="G130" s="8" t="s">
        <v>1133</v>
      </c>
      <c r="H130" s="8" t="s">
        <v>1122</v>
      </c>
      <c r="I130" s="8" t="s">
        <v>1180</v>
      </c>
      <c r="J130" s="8" t="s">
        <v>1647</v>
      </c>
      <c r="K130" s="8" t="s">
        <v>1125</v>
      </c>
      <c r="L130" s="12" t="s">
        <v>1136</v>
      </c>
      <c r="M130" s="9" t="s">
        <v>1581</v>
      </c>
    </row>
    <row r="131" spans="1:13" ht="62" customHeight="1">
      <c r="A131" s="10" t="s">
        <v>1648</v>
      </c>
      <c r="B131" s="10" t="s">
        <v>1649</v>
      </c>
      <c r="C131" s="10" t="s">
        <v>1650</v>
      </c>
      <c r="D131" s="10" t="s">
        <v>1131</v>
      </c>
      <c r="E131" s="10" t="s">
        <v>1316</v>
      </c>
      <c r="F131" s="10" t="s">
        <v>1140</v>
      </c>
      <c r="G131" s="10" t="s">
        <v>1121</v>
      </c>
      <c r="H131" s="10" t="s">
        <v>1134</v>
      </c>
      <c r="I131" s="10" t="s">
        <v>1141</v>
      </c>
      <c r="J131" s="10" t="s">
        <v>1527</v>
      </c>
      <c r="K131" s="10" t="s">
        <v>1125</v>
      </c>
      <c r="L131" s="10" t="s">
        <v>1161</v>
      </c>
      <c r="M131" s="11" t="s">
        <v>1581</v>
      </c>
    </row>
    <row r="132" spans="1:13" ht="62" customHeight="1">
      <c r="A132" s="8" t="s">
        <v>1651</v>
      </c>
      <c r="B132" s="8" t="s">
        <v>1652</v>
      </c>
      <c r="C132" s="8" t="s">
        <v>1653</v>
      </c>
      <c r="D132" s="8" t="s">
        <v>1131</v>
      </c>
      <c r="E132" s="8" t="s">
        <v>1654</v>
      </c>
      <c r="F132" s="8" t="s">
        <v>1120</v>
      </c>
      <c r="G132" s="8" t="s">
        <v>1121</v>
      </c>
      <c r="H132" s="8" t="s">
        <v>1122</v>
      </c>
      <c r="I132" s="8" t="s">
        <v>1141</v>
      </c>
      <c r="J132" s="8" t="s">
        <v>1655</v>
      </c>
      <c r="K132" s="8" t="s">
        <v>1125</v>
      </c>
      <c r="L132" s="8" t="s">
        <v>1126</v>
      </c>
      <c r="M132" s="9" t="s">
        <v>1581</v>
      </c>
    </row>
    <row r="133" spans="1:13" ht="62" customHeight="1">
      <c r="A133" s="10" t="s">
        <v>1656</v>
      </c>
      <c r="B133" s="10" t="s">
        <v>1657</v>
      </c>
      <c r="C133" s="10" t="s">
        <v>1658</v>
      </c>
      <c r="D133" s="10" t="s">
        <v>1131</v>
      </c>
      <c r="E133" s="10" t="s">
        <v>1132</v>
      </c>
      <c r="F133" s="10" t="s">
        <v>1140</v>
      </c>
      <c r="G133" s="10" t="s">
        <v>1133</v>
      </c>
      <c r="H133" s="10" t="s">
        <v>1134</v>
      </c>
      <c r="I133" s="10" t="s">
        <v>1180</v>
      </c>
      <c r="J133" s="10" t="s">
        <v>1205</v>
      </c>
      <c r="K133" s="10" t="s">
        <v>1135</v>
      </c>
      <c r="L133" s="12" t="s">
        <v>1136</v>
      </c>
      <c r="M133" s="11" t="s">
        <v>1581</v>
      </c>
    </row>
    <row r="134" spans="1:13" ht="62" customHeight="1">
      <c r="A134" s="8" t="s">
        <v>1659</v>
      </c>
      <c r="B134" s="8" t="s">
        <v>1660</v>
      </c>
      <c r="C134" s="8" t="s">
        <v>1661</v>
      </c>
      <c r="D134" s="8" t="s">
        <v>1662</v>
      </c>
      <c r="E134" s="8" t="s">
        <v>1242</v>
      </c>
      <c r="F134" s="8" t="s">
        <v>1120</v>
      </c>
      <c r="G134" s="8" t="s">
        <v>1121</v>
      </c>
      <c r="H134" s="8" t="s">
        <v>1122</v>
      </c>
      <c r="I134" s="8" t="s">
        <v>1180</v>
      </c>
      <c r="J134" s="8" t="s">
        <v>1214</v>
      </c>
      <c r="K134" s="8" t="s">
        <v>1125</v>
      </c>
      <c r="L134" s="8" t="s">
        <v>1126</v>
      </c>
      <c r="M134" s="9" t="s">
        <v>1663</v>
      </c>
    </row>
    <row r="135" spans="1:13" ht="62" customHeight="1">
      <c r="A135" s="10" t="s">
        <v>1664</v>
      </c>
      <c r="B135" s="10" t="s">
        <v>1665</v>
      </c>
      <c r="C135" s="10" t="s">
        <v>1666</v>
      </c>
      <c r="D135" s="10" t="s">
        <v>1131</v>
      </c>
      <c r="E135" s="10" t="s">
        <v>1667</v>
      </c>
      <c r="F135" s="10" t="s">
        <v>1140</v>
      </c>
      <c r="G135" s="10" t="s">
        <v>1121</v>
      </c>
      <c r="H135" s="10" t="s">
        <v>1122</v>
      </c>
      <c r="I135" s="10" t="s">
        <v>1180</v>
      </c>
      <c r="J135" s="10" t="s">
        <v>1668</v>
      </c>
      <c r="K135" s="10" t="s">
        <v>1125</v>
      </c>
      <c r="L135" s="10" t="s">
        <v>1126</v>
      </c>
      <c r="M135" s="11" t="s">
        <v>1663</v>
      </c>
    </row>
    <row r="136" spans="1:13" ht="62" customHeight="1">
      <c r="A136" s="8" t="s">
        <v>1669</v>
      </c>
      <c r="B136" s="8" t="s">
        <v>1670</v>
      </c>
      <c r="C136" s="8" t="s">
        <v>1671</v>
      </c>
      <c r="D136" s="8" t="s">
        <v>1118</v>
      </c>
      <c r="E136" s="8" t="s">
        <v>1242</v>
      </c>
      <c r="F136" s="8" t="s">
        <v>1140</v>
      </c>
      <c r="G136" s="8" t="s">
        <v>1133</v>
      </c>
      <c r="H136" s="8" t="s">
        <v>1134</v>
      </c>
      <c r="I136" s="8" t="s">
        <v>1123</v>
      </c>
      <c r="J136" s="8" t="s">
        <v>1118</v>
      </c>
      <c r="K136" s="8" t="s">
        <v>1125</v>
      </c>
      <c r="L136" s="12" t="s">
        <v>1136</v>
      </c>
      <c r="M136" s="9" t="s">
        <v>1581</v>
      </c>
    </row>
    <row r="137" spans="1:13" ht="62" customHeight="1">
      <c r="A137" s="10" t="s">
        <v>1672</v>
      </c>
      <c r="B137" s="10" t="s">
        <v>1673</v>
      </c>
      <c r="C137" s="10" t="s">
        <v>1674</v>
      </c>
      <c r="D137" s="10" t="s">
        <v>1131</v>
      </c>
      <c r="E137" s="10" t="s">
        <v>1242</v>
      </c>
      <c r="F137" s="10" t="s">
        <v>1140</v>
      </c>
      <c r="G137" s="10" t="s">
        <v>1121</v>
      </c>
      <c r="H137" s="10" t="s">
        <v>1134</v>
      </c>
      <c r="I137" s="10" t="s">
        <v>1123</v>
      </c>
      <c r="J137" s="10" t="s">
        <v>1124</v>
      </c>
      <c r="K137" s="10" t="s">
        <v>1125</v>
      </c>
      <c r="L137" s="10" t="s">
        <v>1161</v>
      </c>
      <c r="M137" s="11" t="s">
        <v>1675</v>
      </c>
    </row>
    <row r="138" spans="1:13" ht="62" customHeight="1">
      <c r="A138" s="8" t="s">
        <v>1676</v>
      </c>
      <c r="B138" s="8" t="s">
        <v>1677</v>
      </c>
      <c r="C138" s="8" t="s">
        <v>1678</v>
      </c>
      <c r="D138" s="8" t="s">
        <v>1131</v>
      </c>
      <c r="E138" s="8" t="s">
        <v>1459</v>
      </c>
      <c r="F138" s="8" t="s">
        <v>1140</v>
      </c>
      <c r="G138" s="8" t="s">
        <v>1121</v>
      </c>
      <c r="H138" s="8" t="s">
        <v>1122</v>
      </c>
      <c r="I138" s="8" t="s">
        <v>1141</v>
      </c>
      <c r="J138" s="8" t="s">
        <v>1679</v>
      </c>
      <c r="K138" s="8" t="s">
        <v>1125</v>
      </c>
      <c r="L138" s="8" t="s">
        <v>1126</v>
      </c>
      <c r="M138" s="9" t="s">
        <v>1581</v>
      </c>
    </row>
    <row r="139" spans="1:13" ht="62" customHeight="1">
      <c r="A139" s="10" t="s">
        <v>1680</v>
      </c>
      <c r="B139" s="10" t="s">
        <v>1681</v>
      </c>
      <c r="C139" s="10" t="s">
        <v>1682</v>
      </c>
      <c r="D139" s="10" t="s">
        <v>1131</v>
      </c>
      <c r="E139" s="10" t="s">
        <v>1683</v>
      </c>
      <c r="F139" s="10" t="s">
        <v>1120</v>
      </c>
      <c r="G139" s="10" t="s">
        <v>1133</v>
      </c>
      <c r="H139" s="10" t="s">
        <v>1122</v>
      </c>
      <c r="I139" s="10" t="s">
        <v>1141</v>
      </c>
      <c r="J139" s="10" t="s">
        <v>1605</v>
      </c>
      <c r="K139" s="10" t="s">
        <v>1125</v>
      </c>
      <c r="L139" s="12" t="s">
        <v>1136</v>
      </c>
      <c r="M139" s="11" t="s">
        <v>1581</v>
      </c>
    </row>
    <row r="140" spans="1:13" ht="62" customHeight="1">
      <c r="A140" s="8" t="s">
        <v>1684</v>
      </c>
      <c r="B140" s="8" t="s">
        <v>1685</v>
      </c>
      <c r="C140" s="8" t="s">
        <v>1686</v>
      </c>
      <c r="D140" s="8" t="s">
        <v>1131</v>
      </c>
      <c r="E140" s="8" t="s">
        <v>1687</v>
      </c>
      <c r="F140" s="8" t="s">
        <v>1120</v>
      </c>
      <c r="G140" s="8" t="s">
        <v>1133</v>
      </c>
      <c r="H140" s="8" t="s">
        <v>1122</v>
      </c>
      <c r="I140" s="8" t="s">
        <v>1141</v>
      </c>
      <c r="J140" s="8" t="s">
        <v>1688</v>
      </c>
      <c r="K140" s="8" t="s">
        <v>1125</v>
      </c>
      <c r="L140" s="12" t="s">
        <v>1136</v>
      </c>
      <c r="M140" s="9" t="s">
        <v>1170</v>
      </c>
    </row>
    <row r="141" spans="1:13" ht="62" customHeight="1">
      <c r="A141" s="10" t="s">
        <v>1689</v>
      </c>
      <c r="B141" s="10" t="s">
        <v>1690</v>
      </c>
      <c r="C141" s="10" t="s">
        <v>1691</v>
      </c>
      <c r="D141" s="10" t="s">
        <v>1131</v>
      </c>
      <c r="E141" s="10" t="s">
        <v>1687</v>
      </c>
      <c r="F141" s="10" t="s">
        <v>1140</v>
      </c>
      <c r="G141" s="10" t="s">
        <v>1121</v>
      </c>
      <c r="H141" s="10" t="s">
        <v>1122</v>
      </c>
      <c r="I141" s="10" t="s">
        <v>1141</v>
      </c>
      <c r="J141" s="10" t="s">
        <v>1413</v>
      </c>
      <c r="K141" s="10" t="s">
        <v>1125</v>
      </c>
      <c r="L141" s="10" t="s">
        <v>1126</v>
      </c>
      <c r="M141" s="11" t="s">
        <v>1150</v>
      </c>
    </row>
    <row r="142" spans="1:13" ht="62" customHeight="1">
      <c r="A142" s="8" t="s">
        <v>1692</v>
      </c>
      <c r="B142" s="8" t="s">
        <v>1693</v>
      </c>
      <c r="C142" s="8" t="s">
        <v>1694</v>
      </c>
      <c r="D142" s="8" t="s">
        <v>1695</v>
      </c>
      <c r="E142" s="8" t="s">
        <v>1696</v>
      </c>
      <c r="F142" s="8" t="s">
        <v>1120</v>
      </c>
      <c r="G142" s="8" t="s">
        <v>1133</v>
      </c>
      <c r="H142" s="8" t="s">
        <v>1134</v>
      </c>
      <c r="I142" s="8" t="s">
        <v>1180</v>
      </c>
      <c r="J142" s="8" t="s">
        <v>1695</v>
      </c>
      <c r="K142" s="8" t="s">
        <v>1125</v>
      </c>
      <c r="L142" s="12" t="s">
        <v>1136</v>
      </c>
      <c r="M142" s="9" t="s">
        <v>1581</v>
      </c>
    </row>
    <row r="143" spans="1:13" ht="62" customHeight="1">
      <c r="A143" s="10" t="s">
        <v>1697</v>
      </c>
      <c r="B143" s="10" t="s">
        <v>1698</v>
      </c>
      <c r="C143" s="10" t="s">
        <v>1699</v>
      </c>
      <c r="D143" s="10" t="s">
        <v>1131</v>
      </c>
      <c r="E143" s="10" t="s">
        <v>1316</v>
      </c>
      <c r="F143" s="10" t="s">
        <v>1120</v>
      </c>
      <c r="G143" s="10" t="s">
        <v>1133</v>
      </c>
      <c r="H143" s="10" t="s">
        <v>1122</v>
      </c>
      <c r="I143" s="10" t="s">
        <v>1141</v>
      </c>
      <c r="J143" s="10" t="s">
        <v>1413</v>
      </c>
      <c r="K143" s="10" t="s">
        <v>1125</v>
      </c>
      <c r="L143" s="12" t="s">
        <v>1136</v>
      </c>
      <c r="M143" s="11" t="s">
        <v>1581</v>
      </c>
    </row>
    <row r="144" spans="1:13" ht="62" customHeight="1">
      <c r="A144" s="8" t="s">
        <v>1700</v>
      </c>
      <c r="B144" s="8" t="s">
        <v>1701</v>
      </c>
      <c r="C144" s="8" t="s">
        <v>1702</v>
      </c>
      <c r="D144" s="8" t="s">
        <v>1131</v>
      </c>
      <c r="E144" s="8" t="s">
        <v>1119</v>
      </c>
      <c r="F144" s="8" t="s">
        <v>1120</v>
      </c>
      <c r="G144" s="8" t="s">
        <v>1133</v>
      </c>
      <c r="H144" s="8" t="s">
        <v>1134</v>
      </c>
      <c r="I144" s="8" t="s">
        <v>1123</v>
      </c>
      <c r="J144" s="8" t="s">
        <v>1124</v>
      </c>
      <c r="K144" s="8" t="s">
        <v>1125</v>
      </c>
      <c r="L144" s="12" t="s">
        <v>1136</v>
      </c>
      <c r="M144" s="9" t="s">
        <v>1581</v>
      </c>
    </row>
    <row r="145" spans="1:13" ht="62" customHeight="1">
      <c r="A145" s="10" t="s">
        <v>1703</v>
      </c>
      <c r="B145" s="10" t="s">
        <v>1704</v>
      </c>
      <c r="C145" s="10" t="s">
        <v>1705</v>
      </c>
      <c r="D145" s="10" t="s">
        <v>1131</v>
      </c>
      <c r="E145" s="10" t="s">
        <v>1132</v>
      </c>
      <c r="F145" s="10" t="s">
        <v>1120</v>
      </c>
      <c r="G145" s="10" t="s">
        <v>1121</v>
      </c>
      <c r="H145" s="10" t="s">
        <v>1122</v>
      </c>
      <c r="I145" s="10" t="s">
        <v>1180</v>
      </c>
      <c r="J145" s="10" t="s">
        <v>1205</v>
      </c>
      <c r="K145" s="10" t="s">
        <v>1135</v>
      </c>
      <c r="L145" s="10" t="s">
        <v>1126</v>
      </c>
      <c r="M145" s="11" t="s">
        <v>1663</v>
      </c>
    </row>
    <row r="146" spans="1:13" ht="62" customHeight="1">
      <c r="A146" s="8" t="s">
        <v>1706</v>
      </c>
      <c r="B146" s="8" t="s">
        <v>1707</v>
      </c>
      <c r="C146" s="8" t="s">
        <v>1708</v>
      </c>
      <c r="D146" s="8" t="s">
        <v>1131</v>
      </c>
      <c r="E146" s="8" t="s">
        <v>1709</v>
      </c>
      <c r="F146" s="8" t="s">
        <v>1120</v>
      </c>
      <c r="G146" s="8" t="s">
        <v>1121</v>
      </c>
      <c r="H146" s="8" t="s">
        <v>1134</v>
      </c>
      <c r="I146" s="8" t="s">
        <v>1141</v>
      </c>
      <c r="J146" s="8" t="s">
        <v>1429</v>
      </c>
      <c r="K146" s="8" t="s">
        <v>1125</v>
      </c>
      <c r="L146" s="8" t="s">
        <v>1161</v>
      </c>
      <c r="M146" s="9" t="s">
        <v>1663</v>
      </c>
    </row>
    <row r="147" spans="1:13" ht="62" customHeight="1">
      <c r="A147" s="10" t="s">
        <v>1710</v>
      </c>
      <c r="B147" s="10" t="s">
        <v>1711</v>
      </c>
      <c r="C147" s="10" t="s">
        <v>1712</v>
      </c>
      <c r="D147" s="10" t="s">
        <v>1131</v>
      </c>
      <c r="E147" s="10" t="s">
        <v>1242</v>
      </c>
      <c r="F147" s="10" t="s">
        <v>1120</v>
      </c>
      <c r="G147" s="10" t="s">
        <v>1121</v>
      </c>
      <c r="H147" s="10" t="s">
        <v>1122</v>
      </c>
      <c r="I147" s="10" t="s">
        <v>1123</v>
      </c>
      <c r="J147" s="10" t="s">
        <v>1124</v>
      </c>
      <c r="K147" s="10" t="s">
        <v>1243</v>
      </c>
      <c r="L147" s="10" t="s">
        <v>1126</v>
      </c>
      <c r="M147" s="11" t="s">
        <v>1663</v>
      </c>
    </row>
    <row r="148" spans="1:13" ht="62" customHeight="1">
      <c r="A148" s="8" t="s">
        <v>1713</v>
      </c>
      <c r="B148" s="8" t="s">
        <v>1714</v>
      </c>
      <c r="C148" s="8" t="s">
        <v>1715</v>
      </c>
      <c r="D148" s="8" t="s">
        <v>1131</v>
      </c>
      <c r="E148" s="8" t="s">
        <v>1517</v>
      </c>
      <c r="F148" s="8" t="s">
        <v>1140</v>
      </c>
      <c r="G148" s="8" t="s">
        <v>1121</v>
      </c>
      <c r="H148" s="8" t="s">
        <v>1134</v>
      </c>
      <c r="I148" s="8" t="s">
        <v>1141</v>
      </c>
      <c r="J148" s="8" t="s">
        <v>1716</v>
      </c>
      <c r="K148" s="8" t="s">
        <v>1125</v>
      </c>
      <c r="L148" s="8" t="s">
        <v>1161</v>
      </c>
      <c r="M148" s="9" t="s">
        <v>1663</v>
      </c>
    </row>
    <row r="149" spans="1:13" ht="62" customHeight="1">
      <c r="A149" s="10" t="s">
        <v>1717</v>
      </c>
      <c r="B149" s="10" t="s">
        <v>1718</v>
      </c>
      <c r="C149" s="10" t="s">
        <v>1719</v>
      </c>
      <c r="D149" s="10" t="s">
        <v>1131</v>
      </c>
      <c r="E149" s="10" t="s">
        <v>1361</v>
      </c>
      <c r="F149" s="10" t="s">
        <v>1140</v>
      </c>
      <c r="G149" s="10" t="s">
        <v>1121</v>
      </c>
      <c r="H149" s="10" t="s">
        <v>1134</v>
      </c>
      <c r="I149" s="10" t="s">
        <v>1141</v>
      </c>
      <c r="J149" s="10" t="s">
        <v>1720</v>
      </c>
      <c r="K149" s="10" t="s">
        <v>1125</v>
      </c>
      <c r="L149" s="10" t="s">
        <v>1161</v>
      </c>
      <c r="M149" s="11" t="s">
        <v>1663</v>
      </c>
    </row>
    <row r="150" spans="1:13" ht="62" customHeight="1">
      <c r="A150" s="8" t="s">
        <v>1721</v>
      </c>
      <c r="B150" s="8" t="s">
        <v>1722</v>
      </c>
      <c r="C150" s="8" t="s">
        <v>1723</v>
      </c>
      <c r="D150" s="8" t="s">
        <v>1131</v>
      </c>
      <c r="E150" s="8" t="s">
        <v>1724</v>
      </c>
      <c r="F150" s="8" t="s">
        <v>1140</v>
      </c>
      <c r="G150" s="8" t="s">
        <v>1121</v>
      </c>
      <c r="H150" s="8" t="s">
        <v>1122</v>
      </c>
      <c r="I150" s="8" t="s">
        <v>1141</v>
      </c>
      <c r="J150" s="8" t="s">
        <v>1655</v>
      </c>
      <c r="K150" s="8" t="s">
        <v>1125</v>
      </c>
      <c r="L150" s="8" t="s">
        <v>1126</v>
      </c>
      <c r="M150" s="9" t="s">
        <v>1663</v>
      </c>
    </row>
    <row r="151" spans="1:13" ht="62" customHeight="1">
      <c r="A151" s="10" t="s">
        <v>1725</v>
      </c>
      <c r="B151" s="10" t="s">
        <v>1726</v>
      </c>
      <c r="C151" s="10" t="s">
        <v>1727</v>
      </c>
      <c r="D151" s="10" t="s">
        <v>1131</v>
      </c>
      <c r="E151" s="10" t="s">
        <v>1728</v>
      </c>
      <c r="F151" s="10" t="s">
        <v>1120</v>
      </c>
      <c r="G151" s="10" t="s">
        <v>1121</v>
      </c>
      <c r="H151" s="10" t="s">
        <v>1122</v>
      </c>
      <c r="I151" s="10" t="s">
        <v>1180</v>
      </c>
      <c r="J151" s="10" t="s">
        <v>1205</v>
      </c>
      <c r="K151" s="10" t="s">
        <v>1125</v>
      </c>
      <c r="L151" s="10" t="s">
        <v>1126</v>
      </c>
      <c r="M151" s="11" t="s">
        <v>1663</v>
      </c>
    </row>
    <row r="152" spans="1:13" ht="62" customHeight="1">
      <c r="A152" s="8" t="s">
        <v>1729</v>
      </c>
      <c r="B152" s="8" t="s">
        <v>1730</v>
      </c>
      <c r="C152" s="8" t="s">
        <v>1731</v>
      </c>
      <c r="D152" s="8" t="s">
        <v>1131</v>
      </c>
      <c r="E152" s="8" t="s">
        <v>1609</v>
      </c>
      <c r="F152" s="8" t="s">
        <v>1140</v>
      </c>
      <c r="G152" s="8" t="s">
        <v>1121</v>
      </c>
      <c r="H152" s="8" t="s">
        <v>1134</v>
      </c>
      <c r="I152" s="8" t="s">
        <v>1141</v>
      </c>
      <c r="J152" s="8" t="s">
        <v>1732</v>
      </c>
      <c r="K152" s="8" t="s">
        <v>1125</v>
      </c>
      <c r="L152" s="8" t="s">
        <v>1161</v>
      </c>
      <c r="M152" s="9" t="s">
        <v>1663</v>
      </c>
    </row>
    <row r="153" spans="1:13" ht="62" customHeight="1">
      <c r="A153" s="10" t="s">
        <v>1733</v>
      </c>
      <c r="B153" s="10" t="s">
        <v>1734</v>
      </c>
      <c r="C153" s="10" t="s">
        <v>1735</v>
      </c>
      <c r="D153" s="10" t="s">
        <v>1131</v>
      </c>
      <c r="E153" s="10" t="s">
        <v>1728</v>
      </c>
      <c r="F153" s="10" t="s">
        <v>1120</v>
      </c>
      <c r="G153" s="10" t="s">
        <v>1121</v>
      </c>
      <c r="H153" s="10" t="s">
        <v>1122</v>
      </c>
      <c r="I153" s="10" t="s">
        <v>1180</v>
      </c>
      <c r="J153" s="10" t="s">
        <v>1205</v>
      </c>
      <c r="K153" s="10" t="s">
        <v>1243</v>
      </c>
      <c r="L153" s="10" t="s">
        <v>1126</v>
      </c>
      <c r="M153" s="11" t="s">
        <v>1663</v>
      </c>
    </row>
    <row r="154" spans="1:13" ht="62" customHeight="1">
      <c r="A154" s="8" t="s">
        <v>1736</v>
      </c>
      <c r="B154" s="8" t="s">
        <v>1737</v>
      </c>
      <c r="C154" s="8" t="s">
        <v>1738</v>
      </c>
      <c r="D154" s="8" t="s">
        <v>1131</v>
      </c>
      <c r="E154" s="8" t="s">
        <v>1739</v>
      </c>
      <c r="F154" s="8" t="s">
        <v>1120</v>
      </c>
      <c r="G154" s="8" t="s">
        <v>1133</v>
      </c>
      <c r="H154" s="8" t="s">
        <v>1122</v>
      </c>
      <c r="I154" s="8" t="s">
        <v>1141</v>
      </c>
      <c r="J154" s="8" t="s">
        <v>1740</v>
      </c>
      <c r="K154" s="8" t="s">
        <v>1125</v>
      </c>
      <c r="L154" s="12" t="s">
        <v>1136</v>
      </c>
      <c r="M154" s="9" t="s">
        <v>1581</v>
      </c>
    </row>
    <row r="155" spans="1:13" ht="62" customHeight="1">
      <c r="A155" s="10" t="s">
        <v>1741</v>
      </c>
      <c r="B155" s="10" t="s">
        <v>1742</v>
      </c>
      <c r="C155" s="10" t="s">
        <v>1743</v>
      </c>
      <c r="D155" s="10" t="s">
        <v>1131</v>
      </c>
      <c r="E155" s="10" t="s">
        <v>1744</v>
      </c>
      <c r="F155" s="10" t="s">
        <v>1120</v>
      </c>
      <c r="G155" s="10" t="s">
        <v>1133</v>
      </c>
      <c r="H155" s="10" t="s">
        <v>1122</v>
      </c>
      <c r="I155" s="10" t="s">
        <v>1141</v>
      </c>
      <c r="J155" s="10" t="s">
        <v>1745</v>
      </c>
      <c r="K155" s="10" t="s">
        <v>1125</v>
      </c>
      <c r="L155" s="12" t="s">
        <v>1136</v>
      </c>
      <c r="M155" s="11" t="s">
        <v>1581</v>
      </c>
    </row>
    <row r="156" spans="1:13" ht="62" customHeight="1">
      <c r="A156" s="8" t="s">
        <v>1746</v>
      </c>
      <c r="B156" s="8" t="s">
        <v>616</v>
      </c>
      <c r="C156" s="8" t="s">
        <v>1747</v>
      </c>
      <c r="D156" s="8" t="s">
        <v>1131</v>
      </c>
      <c r="E156" s="8" t="s">
        <v>1748</v>
      </c>
      <c r="F156" s="8" t="s">
        <v>1120</v>
      </c>
      <c r="G156" s="8" t="s">
        <v>1121</v>
      </c>
      <c r="H156" s="8" t="s">
        <v>1122</v>
      </c>
      <c r="I156" s="8" t="s">
        <v>1141</v>
      </c>
      <c r="J156" s="8" t="s">
        <v>1749</v>
      </c>
      <c r="K156" s="8" t="s">
        <v>1243</v>
      </c>
      <c r="L156" s="8" t="s">
        <v>1126</v>
      </c>
      <c r="M156" s="9" t="s">
        <v>1663</v>
      </c>
    </row>
    <row r="157" spans="1:13" ht="62" customHeight="1">
      <c r="A157" s="10" t="s">
        <v>1750</v>
      </c>
      <c r="B157" s="10" t="s">
        <v>1751</v>
      </c>
      <c r="C157" s="10" t="s">
        <v>1752</v>
      </c>
      <c r="D157" s="10" t="s">
        <v>1131</v>
      </c>
      <c r="E157" s="10" t="s">
        <v>1242</v>
      </c>
      <c r="F157" s="10" t="s">
        <v>1120</v>
      </c>
      <c r="G157" s="10" t="s">
        <v>1133</v>
      </c>
      <c r="H157" s="10" t="s">
        <v>1122</v>
      </c>
      <c r="I157" s="10" t="s">
        <v>1123</v>
      </c>
      <c r="J157" s="10" t="s">
        <v>1124</v>
      </c>
      <c r="K157" s="10" t="s">
        <v>1125</v>
      </c>
      <c r="L157" s="12" t="s">
        <v>1136</v>
      </c>
      <c r="M157" s="11" t="s">
        <v>1581</v>
      </c>
    </row>
    <row r="158" spans="1:13" ht="62" customHeight="1">
      <c r="A158" s="8" t="s">
        <v>1753</v>
      </c>
      <c r="B158" s="8" t="s">
        <v>1754</v>
      </c>
      <c r="C158" s="8" t="s">
        <v>1755</v>
      </c>
      <c r="D158" s="8" t="s">
        <v>1131</v>
      </c>
      <c r="E158" s="8" t="s">
        <v>1548</v>
      </c>
      <c r="F158" s="8" t="s">
        <v>1120</v>
      </c>
      <c r="G158" s="8" t="s">
        <v>1121</v>
      </c>
      <c r="H158" s="8" t="s">
        <v>1122</v>
      </c>
      <c r="I158" s="8" t="s">
        <v>1141</v>
      </c>
      <c r="J158" s="8" t="s">
        <v>1740</v>
      </c>
      <c r="K158" s="8" t="s">
        <v>1125</v>
      </c>
      <c r="L158" s="8" t="s">
        <v>1126</v>
      </c>
      <c r="M158" s="9" t="s">
        <v>1581</v>
      </c>
    </row>
    <row r="159" spans="1:13" ht="62" customHeight="1">
      <c r="A159" s="10" t="s">
        <v>1756</v>
      </c>
      <c r="B159" s="10" t="s">
        <v>1757</v>
      </c>
      <c r="C159" s="10" t="s">
        <v>1758</v>
      </c>
      <c r="D159" s="10" t="s">
        <v>1131</v>
      </c>
      <c r="E159" s="10" t="s">
        <v>1759</v>
      </c>
      <c r="F159" s="10" t="s">
        <v>1120</v>
      </c>
      <c r="G159" s="10" t="s">
        <v>1121</v>
      </c>
      <c r="H159" s="10" t="s">
        <v>1122</v>
      </c>
      <c r="I159" s="10" t="s">
        <v>1141</v>
      </c>
      <c r="J159" s="10" t="s">
        <v>1760</v>
      </c>
      <c r="K159" s="10" t="s">
        <v>1125</v>
      </c>
      <c r="L159" s="10" t="s">
        <v>1126</v>
      </c>
      <c r="M159" s="11" t="s">
        <v>1581</v>
      </c>
    </row>
    <row r="160" spans="1:13" ht="62" customHeight="1">
      <c r="A160" s="8" t="s">
        <v>1761</v>
      </c>
      <c r="B160" s="8" t="s">
        <v>1762</v>
      </c>
      <c r="C160" s="8" t="s">
        <v>1763</v>
      </c>
      <c r="D160" s="8" t="s">
        <v>1131</v>
      </c>
      <c r="E160" s="8" t="s">
        <v>1316</v>
      </c>
      <c r="F160" s="8" t="s">
        <v>1120</v>
      </c>
      <c r="G160" s="8" t="s">
        <v>1121</v>
      </c>
      <c r="H160" s="8" t="s">
        <v>1122</v>
      </c>
      <c r="I160" s="8" t="s">
        <v>1141</v>
      </c>
      <c r="J160" s="8" t="s">
        <v>1429</v>
      </c>
      <c r="K160" s="8" t="s">
        <v>1125</v>
      </c>
      <c r="L160" s="8" t="s">
        <v>1126</v>
      </c>
      <c r="M160" s="9" t="s">
        <v>1581</v>
      </c>
    </row>
    <row r="161" spans="1:13" ht="62" customHeight="1">
      <c r="A161" s="10" t="s">
        <v>1764</v>
      </c>
      <c r="B161" s="10" t="s">
        <v>1765</v>
      </c>
      <c r="C161" s="10" t="s">
        <v>1766</v>
      </c>
      <c r="D161" s="10" t="s">
        <v>1131</v>
      </c>
      <c r="E161" s="10" t="s">
        <v>1316</v>
      </c>
      <c r="F161" s="10" t="s">
        <v>1120</v>
      </c>
      <c r="G161" s="10" t="s">
        <v>1121</v>
      </c>
      <c r="H161" s="10" t="s">
        <v>1122</v>
      </c>
      <c r="I161" s="10" t="s">
        <v>1141</v>
      </c>
      <c r="J161" s="10" t="s">
        <v>1188</v>
      </c>
      <c r="K161" s="10" t="s">
        <v>1125</v>
      </c>
      <c r="L161" s="10" t="s">
        <v>1126</v>
      </c>
      <c r="M161" s="11" t="s">
        <v>1581</v>
      </c>
    </row>
    <row r="162" spans="1:13" ht="62" customHeight="1">
      <c r="A162" s="8" t="s">
        <v>1767</v>
      </c>
      <c r="B162" s="8" t="s">
        <v>1768</v>
      </c>
      <c r="C162" s="8" t="s">
        <v>1769</v>
      </c>
      <c r="D162" s="8" t="s">
        <v>1131</v>
      </c>
      <c r="E162" s="8" t="s">
        <v>1132</v>
      </c>
      <c r="F162" s="8" t="s">
        <v>1120</v>
      </c>
      <c r="G162" s="8" t="s">
        <v>1121</v>
      </c>
      <c r="H162" s="8" t="s">
        <v>1122</v>
      </c>
      <c r="I162" s="8" t="s">
        <v>1180</v>
      </c>
      <c r="J162" s="8" t="s">
        <v>1205</v>
      </c>
      <c r="K162" s="8" t="s">
        <v>1135</v>
      </c>
      <c r="L162" s="8" t="s">
        <v>1126</v>
      </c>
      <c r="M162" s="9" t="s">
        <v>1581</v>
      </c>
    </row>
    <row r="163" spans="1:13" ht="62" customHeight="1">
      <c r="A163" s="10" t="s">
        <v>1770</v>
      </c>
      <c r="B163" s="10" t="s">
        <v>1771</v>
      </c>
      <c r="C163" s="10" t="s">
        <v>1772</v>
      </c>
      <c r="D163" s="10" t="s">
        <v>1131</v>
      </c>
      <c r="E163" s="10" t="s">
        <v>1132</v>
      </c>
      <c r="F163" s="10" t="s">
        <v>1120</v>
      </c>
      <c r="G163" s="10" t="s">
        <v>1121</v>
      </c>
      <c r="H163" s="10" t="s">
        <v>1122</v>
      </c>
      <c r="I163" s="10" t="s">
        <v>1180</v>
      </c>
      <c r="J163" s="10" t="s">
        <v>1205</v>
      </c>
      <c r="K163" s="10" t="s">
        <v>1135</v>
      </c>
      <c r="L163" s="10" t="s">
        <v>1126</v>
      </c>
      <c r="M163" s="11" t="s">
        <v>1581</v>
      </c>
    </row>
    <row r="164" spans="1:13" ht="62" customHeight="1">
      <c r="A164" s="8" t="s">
        <v>1773</v>
      </c>
      <c r="B164" s="8" t="s">
        <v>1774</v>
      </c>
      <c r="C164" s="8" t="s">
        <v>1775</v>
      </c>
      <c r="D164" s="8" t="s">
        <v>1131</v>
      </c>
      <c r="E164" s="8" t="s">
        <v>1728</v>
      </c>
      <c r="F164" s="8" t="s">
        <v>1120</v>
      </c>
      <c r="G164" s="8" t="s">
        <v>1121</v>
      </c>
      <c r="H164" s="8" t="s">
        <v>1122</v>
      </c>
      <c r="I164" s="8" t="s">
        <v>1180</v>
      </c>
      <c r="J164" s="8" t="s">
        <v>1205</v>
      </c>
      <c r="K164" s="8" t="s">
        <v>1125</v>
      </c>
      <c r="L164" s="8" t="s">
        <v>1126</v>
      </c>
      <c r="M164" s="9" t="s">
        <v>1581</v>
      </c>
    </row>
    <row r="165" spans="1:13" ht="62" customHeight="1">
      <c r="A165" s="10" t="s">
        <v>1776</v>
      </c>
      <c r="B165" s="10" t="s">
        <v>1777</v>
      </c>
      <c r="C165" s="10" t="s">
        <v>1778</v>
      </c>
      <c r="D165" s="10" t="s">
        <v>1131</v>
      </c>
      <c r="E165" s="10" t="s">
        <v>1728</v>
      </c>
      <c r="F165" s="10" t="s">
        <v>1120</v>
      </c>
      <c r="G165" s="10" t="s">
        <v>1121</v>
      </c>
      <c r="H165" s="10" t="s">
        <v>1122</v>
      </c>
      <c r="I165" s="10" t="s">
        <v>1180</v>
      </c>
      <c r="J165" s="10" t="s">
        <v>1205</v>
      </c>
      <c r="K165" s="10" t="s">
        <v>1125</v>
      </c>
      <c r="L165" s="10" t="s">
        <v>1126</v>
      </c>
      <c r="M165" s="11" t="s">
        <v>1581</v>
      </c>
    </row>
    <row r="166" spans="1:13" ht="62" customHeight="1">
      <c r="A166" s="8" t="s">
        <v>1779</v>
      </c>
      <c r="B166" s="8" t="s">
        <v>1780</v>
      </c>
      <c r="C166" s="8" t="s">
        <v>1781</v>
      </c>
      <c r="D166" s="8" t="s">
        <v>1131</v>
      </c>
      <c r="E166" s="8" t="s">
        <v>1782</v>
      </c>
      <c r="F166" s="8" t="s">
        <v>1120</v>
      </c>
      <c r="G166" s="8" t="s">
        <v>1121</v>
      </c>
      <c r="H166" s="8" t="s">
        <v>1122</v>
      </c>
      <c r="I166" s="8" t="s">
        <v>1141</v>
      </c>
      <c r="J166" s="8" t="s">
        <v>1783</v>
      </c>
      <c r="K166" s="8" t="s">
        <v>1125</v>
      </c>
      <c r="L166" s="8" t="s">
        <v>1126</v>
      </c>
      <c r="M166" s="9" t="s">
        <v>1581</v>
      </c>
    </row>
    <row r="167" spans="1:13" ht="62" customHeight="1">
      <c r="A167" s="10" t="s">
        <v>1784</v>
      </c>
      <c r="B167" s="10" t="s">
        <v>1785</v>
      </c>
      <c r="C167" s="10" t="s">
        <v>1786</v>
      </c>
      <c r="D167" s="10" t="s">
        <v>1131</v>
      </c>
      <c r="E167" s="10" t="s">
        <v>1428</v>
      </c>
      <c r="F167" s="10" t="s">
        <v>1120</v>
      </c>
      <c r="G167" s="10" t="s">
        <v>1121</v>
      </c>
      <c r="H167" s="10" t="s">
        <v>1122</v>
      </c>
      <c r="I167" s="10" t="s">
        <v>1141</v>
      </c>
      <c r="J167" s="10" t="s">
        <v>1429</v>
      </c>
      <c r="K167" s="10" t="s">
        <v>1125</v>
      </c>
      <c r="L167" s="10" t="s">
        <v>1126</v>
      </c>
      <c r="M167" s="11" t="s">
        <v>1581</v>
      </c>
    </row>
    <row r="168" spans="1:13" ht="62" customHeight="1">
      <c r="A168" s="8" t="s">
        <v>1787</v>
      </c>
      <c r="B168" s="8" t="s">
        <v>1788</v>
      </c>
      <c r="C168" s="8" t="s">
        <v>1789</v>
      </c>
      <c r="D168" s="8" t="s">
        <v>1131</v>
      </c>
      <c r="E168" s="8" t="s">
        <v>1633</v>
      </c>
      <c r="F168" s="8" t="s">
        <v>1140</v>
      </c>
      <c r="G168" s="8" t="s">
        <v>1121</v>
      </c>
      <c r="H168" s="8" t="s">
        <v>1122</v>
      </c>
      <c r="I168" s="8" t="s">
        <v>1141</v>
      </c>
      <c r="J168" s="8" t="s">
        <v>1790</v>
      </c>
      <c r="K168" s="8" t="s">
        <v>1125</v>
      </c>
      <c r="L168" s="8" t="s">
        <v>1126</v>
      </c>
      <c r="M168" s="9" t="s">
        <v>1581</v>
      </c>
    </row>
    <row r="169" spans="1:13" ht="62" customHeight="1">
      <c r="A169" s="10" t="s">
        <v>1791</v>
      </c>
      <c r="B169" s="10" t="s">
        <v>1792</v>
      </c>
      <c r="C169" s="10" t="s">
        <v>1793</v>
      </c>
      <c r="D169" s="10" t="s">
        <v>1131</v>
      </c>
      <c r="E169" s="10" t="s">
        <v>1276</v>
      </c>
      <c r="F169" s="10" t="s">
        <v>1120</v>
      </c>
      <c r="G169" s="10" t="s">
        <v>1121</v>
      </c>
      <c r="H169" s="10" t="s">
        <v>1134</v>
      </c>
      <c r="I169" s="10" t="s">
        <v>1141</v>
      </c>
      <c r="J169" s="10" t="s">
        <v>1794</v>
      </c>
      <c r="K169" s="10" t="s">
        <v>1125</v>
      </c>
      <c r="L169" s="10" t="s">
        <v>1161</v>
      </c>
      <c r="M169" s="11" t="s">
        <v>1581</v>
      </c>
    </row>
    <row r="170" spans="1:13" ht="62" customHeight="1">
      <c r="A170" s="8" t="s">
        <v>1795</v>
      </c>
      <c r="B170" s="8" t="s">
        <v>1796</v>
      </c>
      <c r="C170" s="8" t="s">
        <v>1797</v>
      </c>
      <c r="D170" s="8" t="s">
        <v>1131</v>
      </c>
      <c r="E170" s="8" t="s">
        <v>1119</v>
      </c>
      <c r="F170" s="8" t="s">
        <v>1140</v>
      </c>
      <c r="G170" s="8" t="s">
        <v>1121</v>
      </c>
      <c r="H170" s="8" t="s">
        <v>1122</v>
      </c>
      <c r="I170" s="8" t="s">
        <v>1123</v>
      </c>
      <c r="J170" s="8" t="s">
        <v>1124</v>
      </c>
      <c r="K170" s="8" t="s">
        <v>1125</v>
      </c>
      <c r="L170" s="8" t="s">
        <v>1126</v>
      </c>
      <c r="M170" s="9" t="s">
        <v>1581</v>
      </c>
    </row>
    <row r="171" spans="1:13" ht="62" customHeight="1">
      <c r="A171" s="10" t="s">
        <v>1798</v>
      </c>
      <c r="B171" s="10" t="s">
        <v>1799</v>
      </c>
      <c r="C171" s="10" t="s">
        <v>1800</v>
      </c>
      <c r="D171" s="10" t="s">
        <v>1131</v>
      </c>
      <c r="E171" s="10" t="s">
        <v>1801</v>
      </c>
      <c r="F171" s="10" t="s">
        <v>1140</v>
      </c>
      <c r="G171" s="10" t="s">
        <v>1121</v>
      </c>
      <c r="H171" s="10" t="s">
        <v>1134</v>
      </c>
      <c r="I171" s="10" t="s">
        <v>1141</v>
      </c>
      <c r="J171" s="10" t="s">
        <v>1802</v>
      </c>
      <c r="K171" s="10" t="s">
        <v>1125</v>
      </c>
      <c r="L171" s="10" t="s">
        <v>1161</v>
      </c>
      <c r="M171" s="11" t="s">
        <v>1581</v>
      </c>
    </row>
    <row r="172" spans="1:13" ht="62" customHeight="1">
      <c r="A172" s="8" t="s">
        <v>1803</v>
      </c>
      <c r="B172" s="8" t="s">
        <v>1804</v>
      </c>
      <c r="C172" s="8" t="s">
        <v>1805</v>
      </c>
      <c r="D172" s="8" t="s">
        <v>1131</v>
      </c>
      <c r="E172" s="8" t="s">
        <v>1806</v>
      </c>
      <c r="F172" s="8" t="s">
        <v>1140</v>
      </c>
      <c r="G172" s="8" t="s">
        <v>1133</v>
      </c>
      <c r="H172" s="8" t="s">
        <v>1134</v>
      </c>
      <c r="I172" s="8" t="s">
        <v>1180</v>
      </c>
      <c r="J172" s="8" t="s">
        <v>1205</v>
      </c>
      <c r="K172" s="8" t="s">
        <v>1125</v>
      </c>
      <c r="L172" s="12" t="s">
        <v>1136</v>
      </c>
      <c r="M172" s="9" t="s">
        <v>1581</v>
      </c>
    </row>
    <row r="173" spans="1:13" ht="62" customHeight="1">
      <c r="A173" s="10" t="s">
        <v>1807</v>
      </c>
      <c r="B173" s="10" t="s">
        <v>1808</v>
      </c>
      <c r="C173" s="10" t="s">
        <v>1809</v>
      </c>
      <c r="D173" s="10" t="s">
        <v>1131</v>
      </c>
      <c r="E173" s="10" t="s">
        <v>1810</v>
      </c>
      <c r="F173" s="10" t="s">
        <v>1120</v>
      </c>
      <c r="G173" s="10" t="s">
        <v>1121</v>
      </c>
      <c r="H173" s="10" t="s">
        <v>1122</v>
      </c>
      <c r="I173" s="10" t="s">
        <v>1141</v>
      </c>
      <c r="J173" s="10" t="s">
        <v>1811</v>
      </c>
      <c r="K173" s="10" t="s">
        <v>1812</v>
      </c>
      <c r="L173" s="10" t="s">
        <v>1126</v>
      </c>
      <c r="M173" s="11" t="s">
        <v>1581</v>
      </c>
    </row>
    <row r="174" spans="1:13" ht="62" customHeight="1">
      <c r="A174" s="8" t="s">
        <v>1813</v>
      </c>
      <c r="B174" s="8" t="s">
        <v>1814</v>
      </c>
      <c r="C174" s="8" t="s">
        <v>1815</v>
      </c>
      <c r="D174" s="8" t="s">
        <v>1131</v>
      </c>
      <c r="E174" s="8" t="s">
        <v>1119</v>
      </c>
      <c r="F174" s="8" t="s">
        <v>1120</v>
      </c>
      <c r="G174" s="8" t="s">
        <v>1121</v>
      </c>
      <c r="H174" s="8" t="s">
        <v>1122</v>
      </c>
      <c r="I174" s="8" t="s">
        <v>1123</v>
      </c>
      <c r="J174" s="8" t="s">
        <v>1124</v>
      </c>
      <c r="K174" s="8" t="s">
        <v>1125</v>
      </c>
      <c r="L174" s="8" t="s">
        <v>1126</v>
      </c>
      <c r="M174" s="9" t="s">
        <v>1150</v>
      </c>
    </row>
    <row r="175" spans="1:13" ht="62" customHeight="1">
      <c r="A175" s="10" t="s">
        <v>1816</v>
      </c>
      <c r="B175" s="10" t="s">
        <v>1817</v>
      </c>
      <c r="C175" s="10" t="s">
        <v>1818</v>
      </c>
      <c r="D175" s="10" t="s">
        <v>1131</v>
      </c>
      <c r="E175" s="10" t="s">
        <v>1464</v>
      </c>
      <c r="F175" s="10" t="s">
        <v>1140</v>
      </c>
      <c r="G175" s="10" t="s">
        <v>1121</v>
      </c>
      <c r="H175" s="10" t="s">
        <v>1122</v>
      </c>
      <c r="I175" s="10" t="s">
        <v>1141</v>
      </c>
      <c r="J175" s="10" t="s">
        <v>1819</v>
      </c>
      <c r="K175" s="10" t="s">
        <v>1125</v>
      </c>
      <c r="L175" s="10" t="s">
        <v>1126</v>
      </c>
      <c r="M175" s="11" t="s">
        <v>1581</v>
      </c>
    </row>
    <row r="176" spans="1:13" ht="62" customHeight="1">
      <c r="A176" s="8" t="s">
        <v>1820</v>
      </c>
      <c r="B176" s="8" t="s">
        <v>1821</v>
      </c>
      <c r="C176" s="8" t="s">
        <v>1822</v>
      </c>
      <c r="D176" s="8" t="s">
        <v>1131</v>
      </c>
      <c r="E176" s="8" t="s">
        <v>1823</v>
      </c>
      <c r="F176" s="8" t="s">
        <v>1140</v>
      </c>
      <c r="G176" s="8" t="s">
        <v>1121</v>
      </c>
      <c r="H176" s="8" t="s">
        <v>1134</v>
      </c>
      <c r="I176" s="8" t="s">
        <v>1141</v>
      </c>
      <c r="J176" s="8" t="s">
        <v>1732</v>
      </c>
      <c r="K176" s="8" t="s">
        <v>1125</v>
      </c>
      <c r="L176" s="8" t="s">
        <v>1635</v>
      </c>
      <c r="M176" s="9" t="s">
        <v>1636</v>
      </c>
    </row>
    <row r="177" spans="1:13" ht="62" customHeight="1">
      <c r="A177" s="10" t="s">
        <v>1824</v>
      </c>
      <c r="B177" s="10" t="s">
        <v>1825</v>
      </c>
      <c r="C177" s="10" t="s">
        <v>1826</v>
      </c>
      <c r="D177" s="10" t="s">
        <v>1131</v>
      </c>
      <c r="E177" s="10" t="s">
        <v>1827</v>
      </c>
      <c r="F177" s="10" t="s">
        <v>1120</v>
      </c>
      <c r="G177" s="10" t="s">
        <v>1133</v>
      </c>
      <c r="H177" s="10" t="s">
        <v>1134</v>
      </c>
      <c r="I177" s="10" t="s">
        <v>1141</v>
      </c>
      <c r="J177" s="10" t="s">
        <v>1802</v>
      </c>
      <c r="K177" s="10" t="s">
        <v>1125</v>
      </c>
      <c r="L177" s="12" t="s">
        <v>1136</v>
      </c>
      <c r="M177" s="11" t="s">
        <v>1581</v>
      </c>
    </row>
    <row r="178" spans="1:13" ht="62" customHeight="1">
      <c r="A178" s="8" t="s">
        <v>1828</v>
      </c>
      <c r="B178" s="8" t="s">
        <v>1829</v>
      </c>
      <c r="C178" s="8" t="s">
        <v>1830</v>
      </c>
      <c r="D178" s="8" t="s">
        <v>1131</v>
      </c>
      <c r="E178" s="8" t="s">
        <v>1119</v>
      </c>
      <c r="F178" s="8" t="s">
        <v>1120</v>
      </c>
      <c r="G178" s="8" t="s">
        <v>1133</v>
      </c>
      <c r="H178" s="8" t="s">
        <v>1134</v>
      </c>
      <c r="I178" s="8" t="s">
        <v>1123</v>
      </c>
      <c r="J178" s="8" t="s">
        <v>1124</v>
      </c>
      <c r="K178" s="8" t="s">
        <v>1125</v>
      </c>
      <c r="L178" s="12" t="s">
        <v>1136</v>
      </c>
      <c r="M178" s="9" t="s">
        <v>1581</v>
      </c>
    </row>
    <row r="179" spans="1:13" ht="62" customHeight="1">
      <c r="A179" s="10" t="s">
        <v>1831</v>
      </c>
      <c r="B179" s="10" t="s">
        <v>1832</v>
      </c>
      <c r="C179" s="10" t="s">
        <v>1833</v>
      </c>
      <c r="D179" s="10" t="s">
        <v>1131</v>
      </c>
      <c r="E179" s="10" t="s">
        <v>1316</v>
      </c>
      <c r="F179" s="10" t="s">
        <v>1120</v>
      </c>
      <c r="G179" s="10" t="s">
        <v>1121</v>
      </c>
      <c r="H179" s="10" t="s">
        <v>1122</v>
      </c>
      <c r="I179" s="10" t="s">
        <v>1141</v>
      </c>
      <c r="J179" s="10" t="s">
        <v>1429</v>
      </c>
      <c r="K179" s="10" t="s">
        <v>1125</v>
      </c>
      <c r="L179" s="10" t="s">
        <v>1126</v>
      </c>
      <c r="M179" s="11" t="s">
        <v>1581</v>
      </c>
    </row>
    <row r="180" spans="1:13" ht="62" customHeight="1">
      <c r="A180" s="8" t="s">
        <v>1834</v>
      </c>
      <c r="B180" s="8" t="s">
        <v>631</v>
      </c>
      <c r="C180" s="8" t="s">
        <v>1835</v>
      </c>
      <c r="D180" s="8" t="s">
        <v>1131</v>
      </c>
      <c r="E180" s="8" t="s">
        <v>1119</v>
      </c>
      <c r="F180" s="8" t="s">
        <v>1140</v>
      </c>
      <c r="G180" s="8" t="s">
        <v>1121</v>
      </c>
      <c r="H180" s="8" t="s">
        <v>1134</v>
      </c>
      <c r="I180" s="8" t="s">
        <v>1123</v>
      </c>
      <c r="J180" s="8" t="s">
        <v>1124</v>
      </c>
      <c r="K180" s="8" t="s">
        <v>1125</v>
      </c>
      <c r="L180" s="8" t="s">
        <v>1161</v>
      </c>
      <c r="M180" s="9" t="s">
        <v>1663</v>
      </c>
    </row>
    <row r="181" spans="1:13" ht="62" customHeight="1">
      <c r="A181" s="10" t="s">
        <v>1836</v>
      </c>
      <c r="B181" s="10" t="s">
        <v>1837</v>
      </c>
      <c r="C181" s="10" t="s">
        <v>1838</v>
      </c>
      <c r="D181" s="10" t="s">
        <v>1131</v>
      </c>
      <c r="E181" s="10" t="s">
        <v>1839</v>
      </c>
      <c r="F181" s="10" t="s">
        <v>1140</v>
      </c>
      <c r="G181" s="10" t="s">
        <v>1121</v>
      </c>
      <c r="H181" s="10" t="s">
        <v>1122</v>
      </c>
      <c r="I181" s="10" t="s">
        <v>1141</v>
      </c>
      <c r="J181" s="10" t="s">
        <v>1840</v>
      </c>
      <c r="K181" s="10" t="s">
        <v>1125</v>
      </c>
      <c r="L181" s="10" t="s">
        <v>1126</v>
      </c>
      <c r="M181" s="11" t="s">
        <v>1581</v>
      </c>
    </row>
    <row r="182" spans="1:13" ht="62" customHeight="1">
      <c r="A182" s="8" t="s">
        <v>1841</v>
      </c>
      <c r="B182" s="8" t="s">
        <v>1842</v>
      </c>
      <c r="C182" s="8" t="s">
        <v>1843</v>
      </c>
      <c r="D182" s="8" t="s">
        <v>1131</v>
      </c>
      <c r="E182" s="8" t="s">
        <v>1844</v>
      </c>
      <c r="F182" s="8" t="s">
        <v>1120</v>
      </c>
      <c r="G182" s="8" t="s">
        <v>1121</v>
      </c>
      <c r="H182" s="8" t="s">
        <v>1134</v>
      </c>
      <c r="I182" s="8" t="s">
        <v>1141</v>
      </c>
      <c r="J182" s="8" t="s">
        <v>1845</v>
      </c>
      <c r="K182" s="8" t="s">
        <v>1125</v>
      </c>
      <c r="L182" s="8" t="s">
        <v>1161</v>
      </c>
      <c r="M182" s="9" t="s">
        <v>1192</v>
      </c>
    </row>
    <row r="183" spans="1:13" ht="62" customHeight="1">
      <c r="A183" s="10" t="s">
        <v>1846</v>
      </c>
      <c r="B183" s="10" t="s">
        <v>1847</v>
      </c>
      <c r="C183" s="10" t="s">
        <v>1848</v>
      </c>
      <c r="D183" s="10" t="s">
        <v>1131</v>
      </c>
      <c r="E183" s="10" t="s">
        <v>1849</v>
      </c>
      <c r="F183" s="10" t="s">
        <v>1140</v>
      </c>
      <c r="G183" s="10" t="s">
        <v>1121</v>
      </c>
      <c r="H183" s="10" t="s">
        <v>1122</v>
      </c>
      <c r="I183" s="10" t="s">
        <v>1141</v>
      </c>
      <c r="J183" s="10" t="s">
        <v>1429</v>
      </c>
      <c r="K183" s="10" t="s">
        <v>1125</v>
      </c>
      <c r="L183" s="10" t="s">
        <v>1126</v>
      </c>
      <c r="M183" s="11" t="s">
        <v>1581</v>
      </c>
    </row>
    <row r="184" spans="1:13" ht="62" customHeight="1">
      <c r="A184" s="8" t="s">
        <v>1850</v>
      </c>
      <c r="B184" s="8" t="s">
        <v>1851</v>
      </c>
      <c r="C184" s="8" t="s">
        <v>1852</v>
      </c>
      <c r="D184" s="8" t="s">
        <v>1131</v>
      </c>
      <c r="E184" s="8" t="s">
        <v>1748</v>
      </c>
      <c r="F184" s="8" t="s">
        <v>1120</v>
      </c>
      <c r="G184" s="8" t="s">
        <v>1121</v>
      </c>
      <c r="H184" s="8" t="s">
        <v>1122</v>
      </c>
      <c r="I184" s="8" t="s">
        <v>1141</v>
      </c>
      <c r="J184" s="8" t="s">
        <v>1853</v>
      </c>
      <c r="K184" s="8" t="s">
        <v>1125</v>
      </c>
      <c r="L184" s="8" t="s">
        <v>1126</v>
      </c>
      <c r="M184" s="9" t="s">
        <v>1581</v>
      </c>
    </row>
    <row r="185" spans="1:13" ht="62" customHeight="1">
      <c r="A185" s="10" t="s">
        <v>1854</v>
      </c>
      <c r="B185" s="10" t="s">
        <v>1855</v>
      </c>
      <c r="C185" s="10" t="s">
        <v>1856</v>
      </c>
      <c r="D185" s="10" t="s">
        <v>1131</v>
      </c>
      <c r="E185" s="10" t="s">
        <v>1242</v>
      </c>
      <c r="F185" s="10" t="s">
        <v>1120</v>
      </c>
      <c r="G185" s="10" t="s">
        <v>1121</v>
      </c>
      <c r="H185" s="10" t="s">
        <v>1122</v>
      </c>
      <c r="I185" s="10" t="s">
        <v>1123</v>
      </c>
      <c r="J185" s="10" t="s">
        <v>1124</v>
      </c>
      <c r="K185" s="10" t="s">
        <v>1125</v>
      </c>
      <c r="L185" s="10" t="s">
        <v>1126</v>
      </c>
      <c r="M185" s="11" t="s">
        <v>1857</v>
      </c>
    </row>
    <row r="186" spans="1:13" ht="62" customHeight="1">
      <c r="A186" s="8" t="s">
        <v>1858</v>
      </c>
      <c r="B186" s="8" t="s">
        <v>1859</v>
      </c>
      <c r="C186" s="8" t="s">
        <v>1860</v>
      </c>
      <c r="D186" s="8" t="s">
        <v>1131</v>
      </c>
      <c r="E186" s="8" t="s">
        <v>1119</v>
      </c>
      <c r="F186" s="8" t="s">
        <v>1140</v>
      </c>
      <c r="G186" s="8" t="s">
        <v>1121</v>
      </c>
      <c r="H186" s="8" t="s">
        <v>1122</v>
      </c>
      <c r="I186" s="8" t="s">
        <v>1123</v>
      </c>
      <c r="J186" s="8" t="s">
        <v>1124</v>
      </c>
      <c r="K186" s="8" t="s">
        <v>1125</v>
      </c>
      <c r="L186" s="8" t="s">
        <v>1126</v>
      </c>
      <c r="M186" s="9" t="s">
        <v>1581</v>
      </c>
    </row>
    <row r="187" spans="1:13" ht="62" customHeight="1">
      <c r="A187" s="10" t="s">
        <v>1861</v>
      </c>
      <c r="B187" s="10" t="s">
        <v>1862</v>
      </c>
      <c r="C187" s="10" t="s">
        <v>1863</v>
      </c>
      <c r="D187" s="10" t="s">
        <v>1131</v>
      </c>
      <c r="E187" s="10" t="s">
        <v>1864</v>
      </c>
      <c r="F187" s="10" t="s">
        <v>1120</v>
      </c>
      <c r="G187" s="10" t="s">
        <v>1121</v>
      </c>
      <c r="H187" s="10" t="s">
        <v>1122</v>
      </c>
      <c r="I187" s="10" t="s">
        <v>1180</v>
      </c>
      <c r="J187" s="10" t="s">
        <v>1865</v>
      </c>
      <c r="K187" s="10" t="s">
        <v>1125</v>
      </c>
      <c r="L187" s="10" t="s">
        <v>1126</v>
      </c>
      <c r="M187" s="11" t="s">
        <v>1581</v>
      </c>
    </row>
    <row r="188" spans="1:13" ht="62" customHeight="1">
      <c r="A188" s="8" t="s">
        <v>1866</v>
      </c>
      <c r="B188" s="8" t="s">
        <v>1867</v>
      </c>
      <c r="C188" s="8" t="s">
        <v>1868</v>
      </c>
      <c r="D188" s="8" t="s">
        <v>1131</v>
      </c>
      <c r="E188" s="8" t="s">
        <v>1119</v>
      </c>
      <c r="F188" s="8" t="s">
        <v>1120</v>
      </c>
      <c r="G188" s="8" t="s">
        <v>1121</v>
      </c>
      <c r="H188" s="8" t="s">
        <v>1122</v>
      </c>
      <c r="I188" s="8" t="s">
        <v>1123</v>
      </c>
      <c r="J188" s="8" t="s">
        <v>1124</v>
      </c>
      <c r="K188" s="8" t="s">
        <v>1125</v>
      </c>
      <c r="L188" s="8" t="s">
        <v>1126</v>
      </c>
      <c r="M188" s="9" t="s">
        <v>1663</v>
      </c>
    </row>
    <row r="189" spans="1:13" ht="62" customHeight="1">
      <c r="A189" s="10" t="s">
        <v>1869</v>
      </c>
      <c r="B189" s="10" t="s">
        <v>1870</v>
      </c>
      <c r="C189" s="10" t="s">
        <v>1871</v>
      </c>
      <c r="D189" s="10" t="s">
        <v>1131</v>
      </c>
      <c r="E189" s="10" t="s">
        <v>1242</v>
      </c>
      <c r="F189" s="10" t="s">
        <v>1120</v>
      </c>
      <c r="G189" s="10" t="s">
        <v>1121</v>
      </c>
      <c r="H189" s="10" t="s">
        <v>1122</v>
      </c>
      <c r="I189" s="10" t="s">
        <v>1123</v>
      </c>
      <c r="J189" s="10" t="s">
        <v>1872</v>
      </c>
      <c r="K189" s="10" t="s">
        <v>1125</v>
      </c>
      <c r="L189" s="10" t="s">
        <v>1126</v>
      </c>
      <c r="M189" s="11" t="s">
        <v>1663</v>
      </c>
    </row>
    <row r="190" spans="1:13" ht="62" customHeight="1">
      <c r="A190" s="8" t="s">
        <v>1873</v>
      </c>
      <c r="B190" s="8" t="s">
        <v>1874</v>
      </c>
      <c r="C190" s="8" t="s">
        <v>1875</v>
      </c>
      <c r="D190" s="8" t="s">
        <v>1131</v>
      </c>
      <c r="E190" s="8" t="s">
        <v>1526</v>
      </c>
      <c r="F190" s="8" t="s">
        <v>1120</v>
      </c>
      <c r="G190" s="8" t="s">
        <v>1121</v>
      </c>
      <c r="H190" s="8" t="s">
        <v>1122</v>
      </c>
      <c r="I190" s="8" t="s">
        <v>1141</v>
      </c>
      <c r="J190" s="8" t="s">
        <v>1188</v>
      </c>
      <c r="K190" s="8" t="s">
        <v>1125</v>
      </c>
      <c r="L190" s="8" t="s">
        <v>1126</v>
      </c>
      <c r="M190" s="9" t="s">
        <v>1581</v>
      </c>
    </row>
    <row r="191" spans="1:13" ht="62" customHeight="1">
      <c r="A191" s="10" t="s">
        <v>1876</v>
      </c>
      <c r="B191" s="10" t="s">
        <v>1877</v>
      </c>
      <c r="C191" s="10" t="s">
        <v>1878</v>
      </c>
      <c r="D191" s="10" t="s">
        <v>1131</v>
      </c>
      <c r="E191" s="10" t="s">
        <v>1588</v>
      </c>
      <c r="F191" s="10" t="s">
        <v>1120</v>
      </c>
      <c r="G191" s="10" t="s">
        <v>1121</v>
      </c>
      <c r="H191" s="10" t="s">
        <v>1122</v>
      </c>
      <c r="I191" s="10" t="s">
        <v>1141</v>
      </c>
      <c r="J191" s="10" t="s">
        <v>1188</v>
      </c>
      <c r="K191" s="10" t="s">
        <v>1125</v>
      </c>
      <c r="L191" s="10" t="s">
        <v>1126</v>
      </c>
      <c r="M191" s="11" t="s">
        <v>1581</v>
      </c>
    </row>
    <row r="192" spans="1:13" ht="62" customHeight="1">
      <c r="A192" s="8" t="s">
        <v>1879</v>
      </c>
      <c r="B192" s="8" t="s">
        <v>1880</v>
      </c>
      <c r="C192" s="8" t="s">
        <v>1881</v>
      </c>
      <c r="D192" s="8" t="s">
        <v>1131</v>
      </c>
      <c r="E192" s="8" t="s">
        <v>1119</v>
      </c>
      <c r="F192" s="8" t="s">
        <v>1120</v>
      </c>
      <c r="G192" s="8" t="s">
        <v>1121</v>
      </c>
      <c r="H192" s="8" t="s">
        <v>1122</v>
      </c>
      <c r="I192" s="8" t="s">
        <v>1123</v>
      </c>
      <c r="J192" s="8" t="s">
        <v>1124</v>
      </c>
      <c r="K192" s="8" t="s">
        <v>1125</v>
      </c>
      <c r="L192" s="8" t="s">
        <v>1126</v>
      </c>
      <c r="M192" s="9" t="s">
        <v>1581</v>
      </c>
    </row>
    <row r="193" spans="1:13" ht="62" customHeight="1">
      <c r="A193" s="10" t="s">
        <v>1882</v>
      </c>
      <c r="B193" s="10" t="s">
        <v>1883</v>
      </c>
      <c r="C193" s="10" t="s">
        <v>1884</v>
      </c>
      <c r="D193" s="10" t="s">
        <v>1131</v>
      </c>
      <c r="E193" s="10" t="s">
        <v>1119</v>
      </c>
      <c r="F193" s="10" t="s">
        <v>1120</v>
      </c>
      <c r="G193" s="10" t="s">
        <v>1121</v>
      </c>
      <c r="H193" s="10" t="s">
        <v>1122</v>
      </c>
      <c r="I193" s="10" t="s">
        <v>1123</v>
      </c>
      <c r="J193" s="10" t="s">
        <v>1124</v>
      </c>
      <c r="K193" s="10" t="s">
        <v>1125</v>
      </c>
      <c r="L193" s="10" t="s">
        <v>1126</v>
      </c>
      <c r="M193" s="11" t="s">
        <v>1581</v>
      </c>
    </row>
    <row r="194" spans="1:13" ht="62" customHeight="1">
      <c r="A194" s="8" t="s">
        <v>1885</v>
      </c>
      <c r="B194" s="8" t="s">
        <v>1886</v>
      </c>
      <c r="C194" s="8" t="s">
        <v>1887</v>
      </c>
      <c r="D194" s="8" t="s">
        <v>1131</v>
      </c>
      <c r="E194" s="8" t="s">
        <v>1242</v>
      </c>
      <c r="F194" s="8" t="s">
        <v>1140</v>
      </c>
      <c r="G194" s="8" t="s">
        <v>1121</v>
      </c>
      <c r="H194" s="8" t="s">
        <v>1122</v>
      </c>
      <c r="I194" s="8" t="s">
        <v>1123</v>
      </c>
      <c r="J194" s="8" t="s">
        <v>1124</v>
      </c>
      <c r="K194" s="8" t="s">
        <v>1243</v>
      </c>
      <c r="L194" s="8" t="s">
        <v>1126</v>
      </c>
      <c r="M194" s="9" t="s">
        <v>1663</v>
      </c>
    </row>
    <row r="195" spans="1:13" ht="62" customHeight="1">
      <c r="A195" s="10" t="s">
        <v>1888</v>
      </c>
      <c r="B195" s="10" t="s">
        <v>1889</v>
      </c>
      <c r="C195" s="10" t="s">
        <v>1890</v>
      </c>
      <c r="D195" s="10" t="s">
        <v>1131</v>
      </c>
      <c r="E195" s="10" t="s">
        <v>1687</v>
      </c>
      <c r="F195" s="10" t="s">
        <v>1140</v>
      </c>
      <c r="G195" s="10" t="s">
        <v>1121</v>
      </c>
      <c r="H195" s="10" t="s">
        <v>1134</v>
      </c>
      <c r="I195" s="10" t="s">
        <v>1141</v>
      </c>
      <c r="J195" s="10" t="s">
        <v>1891</v>
      </c>
      <c r="K195" s="10" t="s">
        <v>1125</v>
      </c>
      <c r="L195" s="10" t="s">
        <v>1161</v>
      </c>
      <c r="M195" s="11" t="s">
        <v>1581</v>
      </c>
    </row>
    <row r="196" spans="1:13" ht="62" customHeight="1">
      <c r="A196" s="8" t="s">
        <v>1892</v>
      </c>
      <c r="B196" s="8" t="s">
        <v>1893</v>
      </c>
      <c r="C196" s="8" t="s">
        <v>1894</v>
      </c>
      <c r="D196" s="8" t="s">
        <v>1895</v>
      </c>
      <c r="E196" s="8" t="s">
        <v>1683</v>
      </c>
      <c r="F196" s="8" t="s">
        <v>1140</v>
      </c>
      <c r="G196" s="8" t="s">
        <v>1121</v>
      </c>
      <c r="H196" s="8" t="s">
        <v>1122</v>
      </c>
      <c r="I196" s="8" t="s">
        <v>1141</v>
      </c>
      <c r="J196" s="8" t="s">
        <v>1896</v>
      </c>
      <c r="K196" s="8" t="s">
        <v>1125</v>
      </c>
      <c r="L196" s="8" t="s">
        <v>1126</v>
      </c>
      <c r="M196" s="9" t="s">
        <v>1581</v>
      </c>
    </row>
    <row r="197" spans="1:13" ht="62" customHeight="1">
      <c r="A197" s="10" t="s">
        <v>1897</v>
      </c>
      <c r="B197" s="10" t="s">
        <v>1898</v>
      </c>
      <c r="C197" s="10" t="s">
        <v>1899</v>
      </c>
      <c r="D197" s="10" t="s">
        <v>1131</v>
      </c>
      <c r="E197" s="10" t="s">
        <v>1242</v>
      </c>
      <c r="F197" s="10" t="s">
        <v>1140</v>
      </c>
      <c r="G197" s="10" t="s">
        <v>1121</v>
      </c>
      <c r="H197" s="10" t="s">
        <v>1122</v>
      </c>
      <c r="I197" s="10" t="s">
        <v>1123</v>
      </c>
      <c r="J197" s="10" t="s">
        <v>1124</v>
      </c>
      <c r="K197" s="10" t="s">
        <v>1243</v>
      </c>
      <c r="L197" s="10" t="s">
        <v>1126</v>
      </c>
      <c r="M197" s="11" t="s">
        <v>1581</v>
      </c>
    </row>
    <row r="198" spans="1:13" ht="62" customHeight="1">
      <c r="A198" s="8" t="s">
        <v>1900</v>
      </c>
      <c r="B198" s="8" t="s">
        <v>1901</v>
      </c>
      <c r="C198" s="8" t="s">
        <v>1902</v>
      </c>
      <c r="D198" s="8" t="s">
        <v>1131</v>
      </c>
      <c r="E198" s="8" t="s">
        <v>1316</v>
      </c>
      <c r="F198" s="8" t="s">
        <v>1120</v>
      </c>
      <c r="G198" s="8" t="s">
        <v>1133</v>
      </c>
      <c r="H198" s="8" t="s">
        <v>1122</v>
      </c>
      <c r="I198" s="8" t="s">
        <v>1141</v>
      </c>
      <c r="J198" s="8" t="s">
        <v>1527</v>
      </c>
      <c r="K198" s="8" t="s">
        <v>1125</v>
      </c>
      <c r="L198" s="12" t="s">
        <v>1136</v>
      </c>
      <c r="M198" s="9" t="s">
        <v>1581</v>
      </c>
    </row>
    <row r="199" spans="1:13" ht="62" customHeight="1">
      <c r="A199" s="10" t="s">
        <v>1903</v>
      </c>
      <c r="B199" s="10" t="s">
        <v>1904</v>
      </c>
      <c r="C199" s="10" t="s">
        <v>1905</v>
      </c>
      <c r="D199" s="10" t="s">
        <v>1131</v>
      </c>
      <c r="E199" s="10" t="s">
        <v>1739</v>
      </c>
      <c r="F199" s="10" t="s">
        <v>1120</v>
      </c>
      <c r="G199" s="10" t="s">
        <v>1121</v>
      </c>
      <c r="H199" s="10" t="s">
        <v>1122</v>
      </c>
      <c r="I199" s="10" t="s">
        <v>1141</v>
      </c>
      <c r="J199" s="10" t="s">
        <v>1896</v>
      </c>
      <c r="K199" s="10" t="s">
        <v>1125</v>
      </c>
      <c r="L199" s="10" t="s">
        <v>1126</v>
      </c>
      <c r="M199" s="11" t="s">
        <v>1581</v>
      </c>
    </row>
    <row r="200" spans="1:13" ht="62" customHeight="1">
      <c r="A200" s="8" t="s">
        <v>1906</v>
      </c>
      <c r="B200" s="8" t="s">
        <v>1907</v>
      </c>
      <c r="C200" s="8" t="s">
        <v>1908</v>
      </c>
      <c r="D200" s="8" t="s">
        <v>1118</v>
      </c>
      <c r="E200" s="8" t="s">
        <v>1132</v>
      </c>
      <c r="F200" s="8" t="s">
        <v>1140</v>
      </c>
      <c r="G200" s="8" t="s">
        <v>1121</v>
      </c>
      <c r="H200" s="8" t="s">
        <v>1122</v>
      </c>
      <c r="I200" s="8" t="s">
        <v>1123</v>
      </c>
      <c r="J200" s="8" t="s">
        <v>1124</v>
      </c>
      <c r="K200" s="8" t="s">
        <v>1135</v>
      </c>
      <c r="L200" s="8" t="s">
        <v>1126</v>
      </c>
      <c r="M200" s="9" t="s">
        <v>1150</v>
      </c>
    </row>
    <row r="201" spans="1:13" ht="62" customHeight="1">
      <c r="A201" s="10" t="s">
        <v>1909</v>
      </c>
      <c r="B201" s="10" t="s">
        <v>1910</v>
      </c>
      <c r="C201" s="10" t="s">
        <v>1911</v>
      </c>
      <c r="D201" s="10" t="s">
        <v>1131</v>
      </c>
      <c r="E201" s="10" t="s">
        <v>1132</v>
      </c>
      <c r="F201" s="10" t="s">
        <v>1140</v>
      </c>
      <c r="G201" s="10" t="s">
        <v>1133</v>
      </c>
      <c r="H201" s="10" t="s">
        <v>1134</v>
      </c>
      <c r="I201" s="10" t="s">
        <v>1180</v>
      </c>
      <c r="J201" s="10" t="s">
        <v>1205</v>
      </c>
      <c r="K201" s="10" t="s">
        <v>1135</v>
      </c>
      <c r="L201" s="12" t="s">
        <v>1136</v>
      </c>
      <c r="M201" s="11" t="s">
        <v>1581</v>
      </c>
    </row>
    <row r="202" spans="1:13" ht="62" customHeight="1">
      <c r="A202" s="8" t="s">
        <v>1912</v>
      </c>
      <c r="B202" s="8" t="s">
        <v>1913</v>
      </c>
      <c r="C202" s="8" t="s">
        <v>1914</v>
      </c>
      <c r="D202" s="8" t="s">
        <v>1131</v>
      </c>
      <c r="E202" s="8" t="s">
        <v>1242</v>
      </c>
      <c r="F202" s="8" t="s">
        <v>1120</v>
      </c>
      <c r="G202" s="8" t="s">
        <v>1133</v>
      </c>
      <c r="H202" s="8" t="s">
        <v>1134</v>
      </c>
      <c r="I202" s="8" t="s">
        <v>1123</v>
      </c>
      <c r="J202" s="8" t="s">
        <v>1124</v>
      </c>
      <c r="K202" s="8" t="s">
        <v>1125</v>
      </c>
      <c r="L202" s="12" t="s">
        <v>1136</v>
      </c>
      <c r="M202" s="9" t="s">
        <v>1581</v>
      </c>
    </row>
    <row r="203" spans="1:13" ht="62" customHeight="1">
      <c r="A203" s="10" t="s">
        <v>1915</v>
      </c>
      <c r="B203" s="10" t="s">
        <v>1916</v>
      </c>
      <c r="C203" s="10" t="s">
        <v>1917</v>
      </c>
      <c r="D203" s="10" t="s">
        <v>1131</v>
      </c>
      <c r="E203" s="10" t="s">
        <v>1479</v>
      </c>
      <c r="F203" s="10" t="s">
        <v>1120</v>
      </c>
      <c r="G203" s="10" t="s">
        <v>1133</v>
      </c>
      <c r="H203" s="10" t="s">
        <v>1134</v>
      </c>
      <c r="I203" s="10" t="s">
        <v>1141</v>
      </c>
      <c r="J203" s="10" t="s">
        <v>1802</v>
      </c>
      <c r="K203" s="10" t="s">
        <v>1125</v>
      </c>
      <c r="L203" s="12" t="s">
        <v>1136</v>
      </c>
      <c r="M203" s="11" t="s">
        <v>1581</v>
      </c>
    </row>
    <row r="204" spans="1:13" ht="62" customHeight="1">
      <c r="A204" s="8" t="s">
        <v>1918</v>
      </c>
      <c r="B204" s="8" t="s">
        <v>613</v>
      </c>
      <c r="C204" s="8" t="s">
        <v>1919</v>
      </c>
      <c r="D204" s="8" t="s">
        <v>1131</v>
      </c>
      <c r="E204" s="8" t="s">
        <v>1920</v>
      </c>
      <c r="F204" s="8" t="s">
        <v>1120</v>
      </c>
      <c r="G204" s="8" t="s">
        <v>1121</v>
      </c>
      <c r="H204" s="8" t="s">
        <v>1122</v>
      </c>
      <c r="I204" s="8" t="s">
        <v>1141</v>
      </c>
      <c r="J204" s="8" t="s">
        <v>1465</v>
      </c>
      <c r="K204" s="8" t="s">
        <v>1243</v>
      </c>
      <c r="L204" s="8" t="s">
        <v>1126</v>
      </c>
      <c r="M204" s="9" t="s">
        <v>1404</v>
      </c>
    </row>
    <row r="205" spans="1:13" ht="62" customHeight="1">
      <c r="A205" s="10" t="s">
        <v>1921</v>
      </c>
      <c r="B205" s="10" t="s">
        <v>1922</v>
      </c>
      <c r="C205" s="10" t="s">
        <v>1923</v>
      </c>
      <c r="D205" s="10" t="s">
        <v>1924</v>
      </c>
      <c r="E205" s="10" t="s">
        <v>1925</v>
      </c>
      <c r="F205" s="10" t="s">
        <v>1120</v>
      </c>
      <c r="G205" s="10" t="s">
        <v>1121</v>
      </c>
      <c r="H205" s="10" t="s">
        <v>1122</v>
      </c>
      <c r="I205" s="10" t="s">
        <v>1180</v>
      </c>
      <c r="J205" s="10" t="s">
        <v>1926</v>
      </c>
      <c r="K205" s="10" t="s">
        <v>1243</v>
      </c>
      <c r="L205" s="10" t="s">
        <v>1126</v>
      </c>
      <c r="M205" s="11" t="s">
        <v>1127</v>
      </c>
    </row>
    <row r="206" spans="1:13" ht="62" customHeight="1">
      <c r="A206" s="8" t="s">
        <v>1927</v>
      </c>
      <c r="B206" s="8" t="s">
        <v>1928</v>
      </c>
      <c r="C206" s="8" t="s">
        <v>1929</v>
      </c>
      <c r="D206" s="8" t="s">
        <v>1131</v>
      </c>
      <c r="E206" s="8" t="s">
        <v>1930</v>
      </c>
      <c r="F206" s="8" t="s">
        <v>1120</v>
      </c>
      <c r="G206" s="8" t="s">
        <v>1121</v>
      </c>
      <c r="H206" s="8" t="s">
        <v>1122</v>
      </c>
      <c r="I206" s="8" t="s">
        <v>1141</v>
      </c>
      <c r="J206" s="8" t="s">
        <v>1931</v>
      </c>
      <c r="K206" s="8" t="s">
        <v>1243</v>
      </c>
      <c r="L206" s="8" t="s">
        <v>1126</v>
      </c>
      <c r="M206" s="9" t="s">
        <v>1192</v>
      </c>
    </row>
    <row r="207" spans="1:13" ht="62" customHeight="1">
      <c r="A207" s="10" t="s">
        <v>1932</v>
      </c>
      <c r="B207" s="10" t="s">
        <v>1933</v>
      </c>
      <c r="C207" s="10" t="s">
        <v>1934</v>
      </c>
      <c r="D207" s="10" t="s">
        <v>1131</v>
      </c>
      <c r="E207" s="10" t="s">
        <v>1119</v>
      </c>
      <c r="F207" s="10" t="s">
        <v>1120</v>
      </c>
      <c r="G207" s="10" t="s">
        <v>1121</v>
      </c>
      <c r="H207" s="10" t="s">
        <v>1122</v>
      </c>
      <c r="I207" s="10" t="s">
        <v>1123</v>
      </c>
      <c r="J207" s="10" t="s">
        <v>1124</v>
      </c>
      <c r="K207" s="10" t="s">
        <v>1243</v>
      </c>
      <c r="L207" s="10" t="s">
        <v>1126</v>
      </c>
      <c r="M207" s="11" t="s">
        <v>1127</v>
      </c>
    </row>
    <row r="208" spans="1:13" ht="62" customHeight="1">
      <c r="A208" s="8" t="s">
        <v>1935</v>
      </c>
      <c r="B208" s="8" t="s">
        <v>1936</v>
      </c>
      <c r="C208" s="8" t="s">
        <v>1937</v>
      </c>
      <c r="D208" s="8" t="s">
        <v>1938</v>
      </c>
      <c r="E208" s="8" t="s">
        <v>1371</v>
      </c>
      <c r="F208" s="8" t="s">
        <v>1120</v>
      </c>
      <c r="G208" s="8" t="s">
        <v>1121</v>
      </c>
      <c r="H208" s="8" t="s">
        <v>1122</v>
      </c>
      <c r="I208" s="8" t="s">
        <v>1141</v>
      </c>
      <c r="J208" s="8" t="s">
        <v>1939</v>
      </c>
      <c r="K208" s="8" t="s">
        <v>1125</v>
      </c>
      <c r="L208" s="8" t="s">
        <v>1126</v>
      </c>
      <c r="M208" s="9" t="s">
        <v>1192</v>
      </c>
    </row>
    <row r="209" spans="1:13" ht="62" customHeight="1">
      <c r="A209" s="10" t="s">
        <v>1940</v>
      </c>
      <c r="B209" s="10" t="s">
        <v>1941</v>
      </c>
      <c r="C209" s="10" t="s">
        <v>1942</v>
      </c>
      <c r="D209" s="10" t="s">
        <v>1131</v>
      </c>
      <c r="E209" s="10" t="s">
        <v>1464</v>
      </c>
      <c r="F209" s="10" t="s">
        <v>1120</v>
      </c>
      <c r="G209" s="10" t="s">
        <v>1121</v>
      </c>
      <c r="H209" s="10" t="s">
        <v>1122</v>
      </c>
      <c r="I209" s="10" t="s">
        <v>1141</v>
      </c>
      <c r="J209" s="10" t="s">
        <v>1943</v>
      </c>
      <c r="K209" s="10" t="s">
        <v>1125</v>
      </c>
      <c r="L209" s="10" t="s">
        <v>1126</v>
      </c>
      <c r="M209" s="11" t="s">
        <v>1127</v>
      </c>
    </row>
    <row r="210" spans="1:13" ht="62" customHeight="1">
      <c r="A210" s="8" t="s">
        <v>1944</v>
      </c>
      <c r="B210" s="8" t="s">
        <v>1945</v>
      </c>
      <c r="C210" s="8" t="s">
        <v>1946</v>
      </c>
      <c r="D210" s="8" t="s">
        <v>1131</v>
      </c>
      <c r="E210" s="8" t="s">
        <v>1548</v>
      </c>
      <c r="F210" s="8" t="s">
        <v>1120</v>
      </c>
      <c r="G210" s="8" t="s">
        <v>1121</v>
      </c>
      <c r="H210" s="8" t="s">
        <v>1122</v>
      </c>
      <c r="I210" s="8" t="s">
        <v>1141</v>
      </c>
      <c r="J210" s="8" t="s">
        <v>1947</v>
      </c>
      <c r="K210" s="8" t="s">
        <v>1125</v>
      </c>
      <c r="L210" s="8" t="s">
        <v>1126</v>
      </c>
      <c r="M210" s="9" t="s">
        <v>1127</v>
      </c>
    </row>
    <row r="211" spans="1:13" ht="62" customHeight="1">
      <c r="A211" s="10" t="s">
        <v>1948</v>
      </c>
      <c r="B211" s="10" t="s">
        <v>1949</v>
      </c>
      <c r="C211" s="10" t="s">
        <v>1950</v>
      </c>
      <c r="D211" s="10" t="s">
        <v>1131</v>
      </c>
      <c r="E211" s="10" t="s">
        <v>1459</v>
      </c>
      <c r="F211" s="10" t="s">
        <v>1120</v>
      </c>
      <c r="G211" s="10" t="s">
        <v>1121</v>
      </c>
      <c r="H211" s="10" t="s">
        <v>1122</v>
      </c>
      <c r="I211" s="10" t="s">
        <v>1141</v>
      </c>
      <c r="J211" s="10" t="s">
        <v>1853</v>
      </c>
      <c r="K211" s="10" t="s">
        <v>1125</v>
      </c>
      <c r="L211" s="10" t="s">
        <v>1126</v>
      </c>
      <c r="M211" s="11" t="s">
        <v>1127</v>
      </c>
    </row>
    <row r="212" spans="1:13" ht="260" customHeight="1">
      <c r="A212" s="8" t="s">
        <v>1951</v>
      </c>
      <c r="B212" s="8" t="s">
        <v>1952</v>
      </c>
      <c r="C212" s="8" t="s">
        <v>1953</v>
      </c>
      <c r="D212" s="8" t="s">
        <v>1131</v>
      </c>
      <c r="E212" s="8" t="s">
        <v>1132</v>
      </c>
      <c r="F212" s="8" t="s">
        <v>1140</v>
      </c>
      <c r="G212" s="8" t="s">
        <v>1121</v>
      </c>
      <c r="H212" s="8" t="s">
        <v>1122</v>
      </c>
      <c r="I212" s="8" t="s">
        <v>1180</v>
      </c>
      <c r="J212" s="8" t="s">
        <v>1954</v>
      </c>
      <c r="K212" s="8" t="s">
        <v>1135</v>
      </c>
      <c r="L212" s="8" t="s">
        <v>1126</v>
      </c>
      <c r="M212" s="9" t="s">
        <v>1127</v>
      </c>
    </row>
    <row r="213" spans="1:13" ht="62" customHeight="1">
      <c r="A213" s="10" t="s">
        <v>1955</v>
      </c>
      <c r="B213" s="10" t="s">
        <v>1956</v>
      </c>
      <c r="C213" s="10" t="s">
        <v>1957</v>
      </c>
      <c r="D213" s="10" t="s">
        <v>1285</v>
      </c>
      <c r="E213" s="10" t="s">
        <v>1119</v>
      </c>
      <c r="F213" s="10" t="s">
        <v>1120</v>
      </c>
      <c r="G213" s="10" t="s">
        <v>1121</v>
      </c>
      <c r="H213" s="10" t="s">
        <v>1122</v>
      </c>
      <c r="I213" s="10" t="s">
        <v>1123</v>
      </c>
      <c r="J213" s="10" t="s">
        <v>1124</v>
      </c>
      <c r="K213" s="10" t="s">
        <v>1125</v>
      </c>
      <c r="L213" s="10" t="s">
        <v>1126</v>
      </c>
      <c r="M213" s="11" t="s">
        <v>1386</v>
      </c>
    </row>
    <row r="214" spans="1:13" ht="62" customHeight="1">
      <c r="A214" s="8" t="s">
        <v>1958</v>
      </c>
      <c r="B214" s="8" t="s">
        <v>622</v>
      </c>
      <c r="C214" s="8" t="s">
        <v>1959</v>
      </c>
      <c r="D214" s="8" t="s">
        <v>1131</v>
      </c>
      <c r="E214" s="8" t="s">
        <v>1960</v>
      </c>
      <c r="F214" s="8" t="s">
        <v>1120</v>
      </c>
      <c r="G214" s="8" t="s">
        <v>1121</v>
      </c>
      <c r="H214" s="8" t="s">
        <v>1122</v>
      </c>
      <c r="I214" s="8" t="s">
        <v>1141</v>
      </c>
      <c r="J214" s="8" t="s">
        <v>1465</v>
      </c>
      <c r="K214" s="8" t="s">
        <v>1243</v>
      </c>
      <c r="L214" s="8" t="s">
        <v>1126</v>
      </c>
      <c r="M214" s="9" t="s">
        <v>1386</v>
      </c>
    </row>
    <row r="215" spans="1:13" ht="62" customHeight="1">
      <c r="A215" s="10" t="s">
        <v>1961</v>
      </c>
      <c r="B215" s="10" t="s">
        <v>1962</v>
      </c>
      <c r="C215" s="10" t="s">
        <v>1963</v>
      </c>
      <c r="D215" s="10" t="s">
        <v>1964</v>
      </c>
      <c r="E215" s="10" t="s">
        <v>1132</v>
      </c>
      <c r="F215" s="10" t="s">
        <v>1120</v>
      </c>
      <c r="G215" s="10" t="s">
        <v>1133</v>
      </c>
      <c r="H215" s="10" t="s">
        <v>1134</v>
      </c>
      <c r="I215" s="10" t="s">
        <v>1180</v>
      </c>
      <c r="J215" s="10" t="s">
        <v>1205</v>
      </c>
      <c r="K215" s="10" t="s">
        <v>1135</v>
      </c>
      <c r="L215" s="12" t="s">
        <v>1136</v>
      </c>
      <c r="M215" s="11" t="s">
        <v>1150</v>
      </c>
    </row>
    <row r="216" spans="1:13" ht="62" customHeight="1">
      <c r="A216" s="8" t="s">
        <v>1965</v>
      </c>
      <c r="B216" s="8" t="s">
        <v>1966</v>
      </c>
      <c r="C216" s="8" t="s">
        <v>1967</v>
      </c>
      <c r="D216" s="8" t="s">
        <v>1131</v>
      </c>
      <c r="E216" s="8" t="s">
        <v>1119</v>
      </c>
      <c r="F216" s="8" t="s">
        <v>1120</v>
      </c>
      <c r="G216" s="8" t="s">
        <v>1121</v>
      </c>
      <c r="H216" s="8" t="s">
        <v>1122</v>
      </c>
      <c r="I216" s="8" t="s">
        <v>1123</v>
      </c>
      <c r="J216" s="8" t="s">
        <v>1124</v>
      </c>
      <c r="K216" s="8" t="s">
        <v>1125</v>
      </c>
      <c r="L216" s="8" t="s">
        <v>1126</v>
      </c>
      <c r="M216" s="9" t="s">
        <v>1150</v>
      </c>
    </row>
    <row r="217" spans="1:13" ht="62" customHeight="1">
      <c r="A217" s="10" t="s">
        <v>1968</v>
      </c>
      <c r="B217" s="10" t="s">
        <v>1969</v>
      </c>
      <c r="C217" s="10" t="s">
        <v>1970</v>
      </c>
      <c r="D217" s="10" t="s">
        <v>1971</v>
      </c>
      <c r="E217" s="10" t="s">
        <v>1132</v>
      </c>
      <c r="F217" s="10" t="s">
        <v>1120</v>
      </c>
      <c r="G217" s="10" t="s">
        <v>1133</v>
      </c>
      <c r="H217" s="10" t="s">
        <v>1134</v>
      </c>
      <c r="I217" s="10" t="s">
        <v>1180</v>
      </c>
      <c r="J217" s="10" t="s">
        <v>1205</v>
      </c>
      <c r="K217" s="10" t="s">
        <v>1135</v>
      </c>
      <c r="L217" s="12" t="s">
        <v>1136</v>
      </c>
      <c r="M217" s="11" t="s">
        <v>1150</v>
      </c>
    </row>
    <row r="218" spans="1:13" ht="62" customHeight="1">
      <c r="A218" s="8" t="s">
        <v>1972</v>
      </c>
      <c r="B218" s="8" t="s">
        <v>1973</v>
      </c>
      <c r="C218" s="8" t="s">
        <v>1974</v>
      </c>
      <c r="D218" s="8" t="s">
        <v>1131</v>
      </c>
      <c r="E218" s="8" t="s">
        <v>1975</v>
      </c>
      <c r="F218" s="8" t="s">
        <v>1120</v>
      </c>
      <c r="G218" s="8" t="s">
        <v>1121</v>
      </c>
      <c r="H218" s="8" t="s">
        <v>1122</v>
      </c>
      <c r="I218" s="8" t="s">
        <v>1301</v>
      </c>
      <c r="J218" s="8" t="s">
        <v>1976</v>
      </c>
      <c r="K218" s="8" t="s">
        <v>1125</v>
      </c>
      <c r="L218" s="8" t="s">
        <v>1126</v>
      </c>
      <c r="M218" s="9" t="s">
        <v>1150</v>
      </c>
    </row>
    <row r="219" spans="1:13" ht="62" customHeight="1">
      <c r="A219" s="10" t="s">
        <v>1977</v>
      </c>
      <c r="B219" s="10" t="s">
        <v>1978</v>
      </c>
      <c r="C219" s="10" t="s">
        <v>1979</v>
      </c>
      <c r="D219" s="10" t="s">
        <v>1131</v>
      </c>
      <c r="E219" s="10" t="s">
        <v>1609</v>
      </c>
      <c r="F219" s="10" t="s">
        <v>1120</v>
      </c>
      <c r="G219" s="10" t="s">
        <v>1121</v>
      </c>
      <c r="H219" s="10" t="s">
        <v>1122</v>
      </c>
      <c r="I219" s="10" t="s">
        <v>1141</v>
      </c>
      <c r="J219" s="10" t="s">
        <v>1980</v>
      </c>
      <c r="K219" s="10" t="s">
        <v>1125</v>
      </c>
      <c r="L219" s="10" t="s">
        <v>1126</v>
      </c>
      <c r="M219" s="11" t="s">
        <v>1150</v>
      </c>
    </row>
    <row r="220" spans="1:13" ht="62" customHeight="1">
      <c r="A220" s="8" t="s">
        <v>1981</v>
      </c>
      <c r="B220" s="8" t="s">
        <v>1982</v>
      </c>
      <c r="C220" s="8" t="s">
        <v>1983</v>
      </c>
      <c r="D220" s="8" t="s">
        <v>1984</v>
      </c>
      <c r="E220" s="8" t="s">
        <v>1985</v>
      </c>
      <c r="F220" s="8" t="s">
        <v>1120</v>
      </c>
      <c r="G220" s="8" t="s">
        <v>1121</v>
      </c>
      <c r="H220" s="8" t="s">
        <v>1122</v>
      </c>
      <c r="I220" s="8" t="s">
        <v>1180</v>
      </c>
      <c r="J220" s="8" t="s">
        <v>1986</v>
      </c>
      <c r="K220" s="8" t="s">
        <v>1125</v>
      </c>
      <c r="L220" s="8" t="s">
        <v>1126</v>
      </c>
      <c r="M220" s="9" t="s">
        <v>1150</v>
      </c>
    </row>
    <row r="221" spans="1:13" ht="62" customHeight="1">
      <c r="A221" s="10" t="s">
        <v>1987</v>
      </c>
      <c r="B221" s="10" t="s">
        <v>1988</v>
      </c>
      <c r="C221" s="10" t="s">
        <v>1989</v>
      </c>
      <c r="D221" s="10" t="s">
        <v>1131</v>
      </c>
      <c r="E221" s="10" t="s">
        <v>1119</v>
      </c>
      <c r="F221" s="10" t="s">
        <v>1120</v>
      </c>
      <c r="G221" s="10" t="s">
        <v>1121</v>
      </c>
      <c r="H221" s="10" t="s">
        <v>1122</v>
      </c>
      <c r="I221" s="10" t="s">
        <v>1123</v>
      </c>
      <c r="J221" s="10" t="s">
        <v>1124</v>
      </c>
      <c r="K221" s="10" t="s">
        <v>1125</v>
      </c>
      <c r="L221" s="10" t="s">
        <v>1126</v>
      </c>
      <c r="M221" s="11" t="s">
        <v>1386</v>
      </c>
    </row>
    <row r="222" spans="1:13" ht="62" customHeight="1">
      <c r="A222" s="8" t="s">
        <v>1990</v>
      </c>
      <c r="B222" s="8" t="s">
        <v>1991</v>
      </c>
      <c r="C222" s="8" t="s">
        <v>1992</v>
      </c>
      <c r="D222" s="8" t="s">
        <v>1285</v>
      </c>
      <c r="E222" s="8" t="s">
        <v>1242</v>
      </c>
      <c r="F222" s="8" t="s">
        <v>1120</v>
      </c>
      <c r="G222" s="8" t="s">
        <v>1133</v>
      </c>
      <c r="H222" s="8" t="s">
        <v>1134</v>
      </c>
      <c r="I222" s="8" t="s">
        <v>1123</v>
      </c>
      <c r="J222" s="8" t="s">
        <v>1124</v>
      </c>
      <c r="K222" s="8" t="s">
        <v>1125</v>
      </c>
      <c r="L222" s="12" t="s">
        <v>1136</v>
      </c>
      <c r="M222" s="9" t="s">
        <v>1150</v>
      </c>
    </row>
    <row r="223" spans="1:13" ht="62" customHeight="1">
      <c r="A223" s="10" t="s">
        <v>1993</v>
      </c>
      <c r="B223" s="10" t="s">
        <v>1994</v>
      </c>
      <c r="C223" s="10" t="s">
        <v>1995</v>
      </c>
      <c r="D223" s="10" t="s">
        <v>1131</v>
      </c>
      <c r="E223" s="10" t="s">
        <v>1119</v>
      </c>
      <c r="F223" s="10" t="s">
        <v>1120</v>
      </c>
      <c r="G223" s="10" t="s">
        <v>1121</v>
      </c>
      <c r="H223" s="10" t="s">
        <v>1122</v>
      </c>
      <c r="I223" s="10" t="s">
        <v>1123</v>
      </c>
      <c r="J223" s="10" t="s">
        <v>1124</v>
      </c>
      <c r="K223" s="10" t="s">
        <v>1125</v>
      </c>
      <c r="L223" s="10" t="s">
        <v>1126</v>
      </c>
      <c r="M223" s="11" t="s">
        <v>1386</v>
      </c>
    </row>
    <row r="224" spans="1:13" ht="62" customHeight="1">
      <c r="A224" s="8" t="s">
        <v>1996</v>
      </c>
      <c r="B224" s="8" t="s">
        <v>1997</v>
      </c>
      <c r="C224" s="8" t="s">
        <v>1998</v>
      </c>
      <c r="D224" s="8" t="s">
        <v>1131</v>
      </c>
      <c r="E224" s="8" t="s">
        <v>1119</v>
      </c>
      <c r="F224" s="8" t="s">
        <v>1120</v>
      </c>
      <c r="G224" s="8" t="s">
        <v>1121</v>
      </c>
      <c r="H224" s="8" t="s">
        <v>1122</v>
      </c>
      <c r="I224" s="8" t="s">
        <v>1123</v>
      </c>
      <c r="J224" s="8" t="s">
        <v>1124</v>
      </c>
      <c r="K224" s="8" t="s">
        <v>1125</v>
      </c>
      <c r="L224" s="8" t="s">
        <v>1126</v>
      </c>
      <c r="M224" s="9" t="s">
        <v>1150</v>
      </c>
    </row>
    <row r="225" spans="1:13" ht="62" customHeight="1">
      <c r="A225" s="10" t="s">
        <v>1999</v>
      </c>
      <c r="B225" s="10" t="s">
        <v>2000</v>
      </c>
      <c r="C225" s="10" t="s">
        <v>2001</v>
      </c>
      <c r="D225" s="10" t="s">
        <v>1131</v>
      </c>
      <c r="E225" s="10" t="s">
        <v>1119</v>
      </c>
      <c r="F225" s="10" t="s">
        <v>1120</v>
      </c>
      <c r="G225" s="10" t="s">
        <v>1121</v>
      </c>
      <c r="H225" s="10" t="s">
        <v>1122</v>
      </c>
      <c r="I225" s="10" t="s">
        <v>1123</v>
      </c>
      <c r="J225" s="10" t="s">
        <v>1124</v>
      </c>
      <c r="K225" s="10" t="s">
        <v>1125</v>
      </c>
      <c r="L225" s="10" t="s">
        <v>1126</v>
      </c>
      <c r="M225" s="11" t="s">
        <v>1150</v>
      </c>
    </row>
    <row r="226" spans="1:13" ht="62" customHeight="1">
      <c r="A226" s="8" t="s">
        <v>2002</v>
      </c>
      <c r="B226" s="8" t="s">
        <v>2003</v>
      </c>
      <c r="C226" s="8" t="s">
        <v>2004</v>
      </c>
      <c r="D226" s="8" t="s">
        <v>1131</v>
      </c>
      <c r="E226" s="8" t="s">
        <v>1316</v>
      </c>
      <c r="F226" s="8" t="s">
        <v>1120</v>
      </c>
      <c r="G226" s="8" t="s">
        <v>1121</v>
      </c>
      <c r="H226" s="8" t="s">
        <v>1122</v>
      </c>
      <c r="I226" s="8" t="s">
        <v>1141</v>
      </c>
      <c r="J226" s="8" t="s">
        <v>1429</v>
      </c>
      <c r="K226" s="8" t="s">
        <v>1125</v>
      </c>
      <c r="L226" s="8" t="s">
        <v>1126</v>
      </c>
      <c r="M226" s="9" t="s">
        <v>1150</v>
      </c>
    </row>
    <row r="227" spans="1:13" ht="62" customHeight="1">
      <c r="A227" s="10" t="s">
        <v>2005</v>
      </c>
      <c r="B227" s="10" t="s">
        <v>2006</v>
      </c>
      <c r="C227" s="10" t="s">
        <v>2007</v>
      </c>
      <c r="D227" s="10" t="s">
        <v>1131</v>
      </c>
      <c r="E227" s="10" t="s">
        <v>1420</v>
      </c>
      <c r="F227" s="10" t="s">
        <v>1120</v>
      </c>
      <c r="G227" s="10" t="s">
        <v>1121</v>
      </c>
      <c r="H227" s="10" t="s">
        <v>1122</v>
      </c>
      <c r="I227" s="10" t="s">
        <v>2008</v>
      </c>
      <c r="J227" s="10" t="s">
        <v>1509</v>
      </c>
      <c r="K227" s="10" t="s">
        <v>1243</v>
      </c>
      <c r="L227" s="10" t="s">
        <v>1126</v>
      </c>
      <c r="M227" s="11" t="s">
        <v>1386</v>
      </c>
    </row>
    <row r="228" spans="1:13" ht="62" customHeight="1">
      <c r="A228" s="8" t="s">
        <v>2009</v>
      </c>
      <c r="B228" s="8" t="s">
        <v>2010</v>
      </c>
      <c r="C228" s="8" t="s">
        <v>2011</v>
      </c>
      <c r="D228" s="8" t="s">
        <v>1131</v>
      </c>
      <c r="E228" s="8" t="s">
        <v>2012</v>
      </c>
      <c r="F228" s="8" t="s">
        <v>1140</v>
      </c>
      <c r="G228" s="8" t="s">
        <v>1121</v>
      </c>
      <c r="H228" s="8" t="s">
        <v>1134</v>
      </c>
      <c r="I228" s="8" t="s">
        <v>1141</v>
      </c>
      <c r="J228" s="8" t="s">
        <v>2013</v>
      </c>
      <c r="K228" s="8" t="s">
        <v>1125</v>
      </c>
      <c r="L228" s="8" t="s">
        <v>1161</v>
      </c>
      <c r="M228" s="9" t="s">
        <v>1150</v>
      </c>
    </row>
    <row r="229" spans="1:13" ht="62" customHeight="1">
      <c r="A229" s="10" t="s">
        <v>2014</v>
      </c>
      <c r="B229" s="10" t="s">
        <v>2015</v>
      </c>
      <c r="C229" s="10" t="s">
        <v>2016</v>
      </c>
      <c r="D229" s="10" t="s">
        <v>1131</v>
      </c>
      <c r="E229" s="10" t="s">
        <v>1119</v>
      </c>
      <c r="F229" s="10" t="s">
        <v>1120</v>
      </c>
      <c r="G229" s="10" t="s">
        <v>1121</v>
      </c>
      <c r="H229" s="10" t="s">
        <v>1122</v>
      </c>
      <c r="I229" s="10" t="s">
        <v>1123</v>
      </c>
      <c r="J229" s="10" t="s">
        <v>1124</v>
      </c>
      <c r="K229" s="10" t="s">
        <v>1243</v>
      </c>
      <c r="L229" s="10" t="s">
        <v>1126</v>
      </c>
      <c r="M229" s="11" t="s">
        <v>1127</v>
      </c>
    </row>
    <row r="230" spans="1:13" ht="62" customHeight="1">
      <c r="A230" s="8" t="s">
        <v>2017</v>
      </c>
      <c r="B230" s="8" t="s">
        <v>2018</v>
      </c>
      <c r="C230" s="8" t="s">
        <v>2019</v>
      </c>
      <c r="D230" s="8" t="s">
        <v>1131</v>
      </c>
      <c r="E230" s="8" t="s">
        <v>1975</v>
      </c>
      <c r="F230" s="8" t="s">
        <v>1140</v>
      </c>
      <c r="G230" s="8" t="s">
        <v>1121</v>
      </c>
      <c r="H230" s="8" t="s">
        <v>1122</v>
      </c>
      <c r="I230" s="8" t="s">
        <v>1180</v>
      </c>
      <c r="J230" s="8" t="s">
        <v>1205</v>
      </c>
      <c r="K230" s="8" t="s">
        <v>1125</v>
      </c>
      <c r="L230" s="8" t="s">
        <v>1126</v>
      </c>
      <c r="M230" s="9" t="s">
        <v>1127</v>
      </c>
    </row>
    <row r="231" spans="1:13" ht="62" customHeight="1">
      <c r="A231" s="10" t="s">
        <v>2020</v>
      </c>
      <c r="B231" s="10" t="s">
        <v>2021</v>
      </c>
      <c r="C231" s="10" t="s">
        <v>2022</v>
      </c>
      <c r="D231" s="10" t="s">
        <v>1131</v>
      </c>
      <c r="E231" s="10" t="s">
        <v>2023</v>
      </c>
      <c r="F231" s="10" t="s">
        <v>1120</v>
      </c>
      <c r="G231" s="10" t="s">
        <v>1121</v>
      </c>
      <c r="H231" s="10" t="s">
        <v>1122</v>
      </c>
      <c r="I231" s="10" t="s">
        <v>1141</v>
      </c>
      <c r="J231" s="10" t="s">
        <v>2024</v>
      </c>
      <c r="K231" s="10" t="s">
        <v>1243</v>
      </c>
      <c r="L231" s="10" t="s">
        <v>1126</v>
      </c>
      <c r="M231" s="11" t="s">
        <v>2025</v>
      </c>
    </row>
    <row r="232" spans="1:13" ht="62" customHeight="1">
      <c r="A232" s="8" t="s">
        <v>2026</v>
      </c>
      <c r="B232" s="8" t="s">
        <v>2027</v>
      </c>
      <c r="C232" s="8" t="s">
        <v>2028</v>
      </c>
      <c r="D232" s="8" t="s">
        <v>1131</v>
      </c>
      <c r="E232" s="8" t="s">
        <v>2029</v>
      </c>
      <c r="F232" s="8" t="s">
        <v>1120</v>
      </c>
      <c r="G232" s="8" t="s">
        <v>1121</v>
      </c>
      <c r="H232" s="8" t="s">
        <v>1122</v>
      </c>
      <c r="I232" s="8" t="s">
        <v>1141</v>
      </c>
      <c r="J232" s="8" t="s">
        <v>1292</v>
      </c>
      <c r="K232" s="8" t="s">
        <v>1125</v>
      </c>
      <c r="L232" s="8" t="s">
        <v>1126</v>
      </c>
      <c r="M232" s="9" t="s">
        <v>1192</v>
      </c>
    </row>
    <row r="233" spans="1:13" ht="62" customHeight="1">
      <c r="A233" s="10" t="s">
        <v>2030</v>
      </c>
      <c r="B233" s="10" t="s">
        <v>2031</v>
      </c>
      <c r="C233" s="10" t="s">
        <v>2032</v>
      </c>
      <c r="D233" s="10" t="s">
        <v>2033</v>
      </c>
      <c r="E233" s="10" t="s">
        <v>2034</v>
      </c>
      <c r="F233" s="10" t="s">
        <v>1120</v>
      </c>
      <c r="G233" s="10" t="s">
        <v>1133</v>
      </c>
      <c r="H233" s="10" t="s">
        <v>1122</v>
      </c>
      <c r="I233" s="10" t="s">
        <v>1141</v>
      </c>
      <c r="J233" s="10" t="s">
        <v>2035</v>
      </c>
      <c r="K233" s="10" t="s">
        <v>1125</v>
      </c>
      <c r="L233" s="12" t="s">
        <v>1136</v>
      </c>
      <c r="M233" s="11" t="s">
        <v>1127</v>
      </c>
    </row>
    <row r="234" spans="1:13" ht="62" customHeight="1">
      <c r="A234" s="8" t="s">
        <v>2036</v>
      </c>
      <c r="B234" s="8" t="s">
        <v>2037</v>
      </c>
      <c r="C234" s="8" t="s">
        <v>2038</v>
      </c>
      <c r="D234" s="8" t="s">
        <v>1131</v>
      </c>
      <c r="E234" s="8" t="s">
        <v>2039</v>
      </c>
      <c r="F234" s="8" t="s">
        <v>1120</v>
      </c>
      <c r="G234" s="8" t="s">
        <v>1121</v>
      </c>
      <c r="H234" s="8" t="s">
        <v>1122</v>
      </c>
      <c r="I234" s="8" t="s">
        <v>1141</v>
      </c>
      <c r="J234" s="8" t="s">
        <v>1292</v>
      </c>
      <c r="K234" s="8" t="s">
        <v>1125</v>
      </c>
      <c r="L234" s="8" t="s">
        <v>1126</v>
      </c>
      <c r="M234" s="9" t="s">
        <v>1192</v>
      </c>
    </row>
    <row r="235" spans="1:13" ht="62" customHeight="1">
      <c r="A235" s="10" t="s">
        <v>2040</v>
      </c>
      <c r="B235" s="10" t="s">
        <v>2041</v>
      </c>
      <c r="C235" s="10" t="s">
        <v>2042</v>
      </c>
      <c r="D235" s="10" t="s">
        <v>1131</v>
      </c>
      <c r="E235" s="10" t="s">
        <v>1459</v>
      </c>
      <c r="F235" s="10" t="s">
        <v>1120</v>
      </c>
      <c r="G235" s="10" t="s">
        <v>1121</v>
      </c>
      <c r="H235" s="10" t="s">
        <v>1122</v>
      </c>
      <c r="I235" s="10" t="s">
        <v>1141</v>
      </c>
      <c r="J235" s="10" t="s">
        <v>2043</v>
      </c>
      <c r="K235" s="10" t="s">
        <v>1125</v>
      </c>
      <c r="L235" s="10" t="s">
        <v>1126</v>
      </c>
      <c r="M235" s="11" t="s">
        <v>1127</v>
      </c>
    </row>
    <row r="236" spans="1:13" ht="62" customHeight="1">
      <c r="A236" s="8" t="s">
        <v>2044</v>
      </c>
      <c r="B236" s="8" t="s">
        <v>557</v>
      </c>
      <c r="C236" s="8" t="s">
        <v>2045</v>
      </c>
      <c r="D236" s="8" t="s">
        <v>2046</v>
      </c>
      <c r="E236" s="8" t="s">
        <v>2047</v>
      </c>
      <c r="F236" s="8" t="s">
        <v>1120</v>
      </c>
      <c r="G236" s="8" t="s">
        <v>1121</v>
      </c>
      <c r="H236" s="8" t="s">
        <v>1122</v>
      </c>
      <c r="I236" s="8" t="s">
        <v>1141</v>
      </c>
      <c r="J236" s="8" t="s">
        <v>2048</v>
      </c>
      <c r="K236" s="8" t="s">
        <v>1125</v>
      </c>
      <c r="L236" s="8" t="s">
        <v>2049</v>
      </c>
      <c r="M236" s="9" t="s">
        <v>2050</v>
      </c>
    </row>
    <row r="237" spans="1:13" ht="62" customHeight="1">
      <c r="A237" s="10" t="s">
        <v>2051</v>
      </c>
      <c r="B237" s="10" t="s">
        <v>2052</v>
      </c>
      <c r="C237" s="10" t="s">
        <v>2053</v>
      </c>
      <c r="D237" s="10" t="s">
        <v>1131</v>
      </c>
      <c r="E237" s="10" t="s">
        <v>1526</v>
      </c>
      <c r="F237" s="10" t="s">
        <v>1120</v>
      </c>
      <c r="G237" s="10" t="s">
        <v>1121</v>
      </c>
      <c r="H237" s="10" t="s">
        <v>1122</v>
      </c>
      <c r="I237" s="10" t="s">
        <v>1141</v>
      </c>
      <c r="J237" s="10" t="s">
        <v>2054</v>
      </c>
      <c r="K237" s="10" t="s">
        <v>1243</v>
      </c>
      <c r="L237" s="10" t="s">
        <v>1126</v>
      </c>
      <c r="M237" s="11" t="s">
        <v>1127</v>
      </c>
    </row>
    <row r="238" spans="1:13" ht="62" customHeight="1">
      <c r="A238" s="8" t="s">
        <v>2055</v>
      </c>
      <c r="B238" s="8" t="s">
        <v>2056</v>
      </c>
      <c r="C238" s="8" t="s">
        <v>2057</v>
      </c>
      <c r="D238" s="8" t="s">
        <v>1131</v>
      </c>
      <c r="E238" s="8" t="s">
        <v>1548</v>
      </c>
      <c r="F238" s="8" t="s">
        <v>1120</v>
      </c>
      <c r="G238" s="8" t="s">
        <v>1121</v>
      </c>
      <c r="H238" s="8" t="s">
        <v>1134</v>
      </c>
      <c r="I238" s="8" t="s">
        <v>1141</v>
      </c>
      <c r="J238" s="8" t="s">
        <v>2058</v>
      </c>
      <c r="K238" s="8" t="s">
        <v>1125</v>
      </c>
      <c r="L238" s="8" t="s">
        <v>1161</v>
      </c>
      <c r="M238" s="9" t="s">
        <v>1127</v>
      </c>
    </row>
    <row r="239" spans="1:13" ht="62" customHeight="1">
      <c r="A239" s="10" t="s">
        <v>2059</v>
      </c>
      <c r="B239" s="10" t="s">
        <v>2060</v>
      </c>
      <c r="C239" s="10" t="s">
        <v>2061</v>
      </c>
      <c r="D239" s="10" t="s">
        <v>1131</v>
      </c>
      <c r="E239" s="10" t="s">
        <v>1548</v>
      </c>
      <c r="F239" s="10" t="s">
        <v>1120</v>
      </c>
      <c r="G239" s="10" t="s">
        <v>1121</v>
      </c>
      <c r="H239" s="10" t="s">
        <v>1122</v>
      </c>
      <c r="I239" s="10" t="s">
        <v>1141</v>
      </c>
      <c r="J239" s="10" t="s">
        <v>1437</v>
      </c>
      <c r="K239" s="10" t="s">
        <v>1243</v>
      </c>
      <c r="L239" s="10" t="s">
        <v>1126</v>
      </c>
      <c r="M239" s="11" t="s">
        <v>1127</v>
      </c>
    </row>
    <row r="240" spans="1:13" ht="62" customHeight="1">
      <c r="A240" s="8" t="s">
        <v>2062</v>
      </c>
      <c r="B240" s="8" t="s">
        <v>625</v>
      </c>
      <c r="C240" s="8" t="s">
        <v>2063</v>
      </c>
      <c r="D240" s="8" t="s">
        <v>1131</v>
      </c>
      <c r="E240" s="8" t="s">
        <v>1316</v>
      </c>
      <c r="F240" s="8" t="s">
        <v>1120</v>
      </c>
      <c r="G240" s="8" t="s">
        <v>1121</v>
      </c>
      <c r="H240" s="8" t="s">
        <v>1122</v>
      </c>
      <c r="I240" s="8" t="s">
        <v>1141</v>
      </c>
      <c r="J240" s="8" t="s">
        <v>1188</v>
      </c>
      <c r="K240" s="8" t="s">
        <v>1243</v>
      </c>
      <c r="L240" s="8" t="s">
        <v>1126</v>
      </c>
      <c r="M240" s="9" t="s">
        <v>1386</v>
      </c>
    </row>
    <row r="241" spans="1:13" ht="62" customHeight="1">
      <c r="A241" s="10" t="s">
        <v>2064</v>
      </c>
      <c r="B241" s="10" t="s">
        <v>2065</v>
      </c>
      <c r="C241" s="10" t="s">
        <v>2066</v>
      </c>
      <c r="D241" s="10" t="s">
        <v>1131</v>
      </c>
      <c r="E241" s="10" t="s">
        <v>2067</v>
      </c>
      <c r="F241" s="10" t="s">
        <v>1120</v>
      </c>
      <c r="G241" s="10" t="s">
        <v>1121</v>
      </c>
      <c r="H241" s="10" t="s">
        <v>1122</v>
      </c>
      <c r="I241" s="10" t="s">
        <v>1141</v>
      </c>
      <c r="J241" s="10" t="s">
        <v>2068</v>
      </c>
      <c r="K241" s="10" t="s">
        <v>1243</v>
      </c>
      <c r="L241" s="10" t="s">
        <v>1126</v>
      </c>
      <c r="M241" s="11" t="s">
        <v>1192</v>
      </c>
    </row>
    <row r="242" spans="1:13" ht="62" customHeight="1">
      <c r="A242" s="8" t="s">
        <v>2069</v>
      </c>
      <c r="B242" s="8" t="s">
        <v>2070</v>
      </c>
      <c r="C242" s="8" t="s">
        <v>2071</v>
      </c>
      <c r="D242" s="8" t="s">
        <v>1131</v>
      </c>
      <c r="E242" s="8" t="s">
        <v>1316</v>
      </c>
      <c r="F242" s="8" t="s">
        <v>1120</v>
      </c>
      <c r="G242" s="8" t="s">
        <v>1121</v>
      </c>
      <c r="H242" s="8" t="s">
        <v>1122</v>
      </c>
      <c r="I242" s="8" t="s">
        <v>1141</v>
      </c>
      <c r="J242" s="8" t="s">
        <v>2054</v>
      </c>
      <c r="K242" s="8" t="s">
        <v>1243</v>
      </c>
      <c r="L242" s="8" t="s">
        <v>1126</v>
      </c>
      <c r="M242" s="9" t="s">
        <v>1127</v>
      </c>
    </row>
    <row r="243" spans="1:13" ht="62" customHeight="1">
      <c r="A243" s="10" t="s">
        <v>2072</v>
      </c>
      <c r="B243" s="10" t="s">
        <v>2073</v>
      </c>
      <c r="C243" s="10" t="s">
        <v>2074</v>
      </c>
      <c r="D243" s="10" t="s">
        <v>1131</v>
      </c>
      <c r="E243" s="10" t="s">
        <v>2075</v>
      </c>
      <c r="F243" s="10" t="s">
        <v>1120</v>
      </c>
      <c r="G243" s="10" t="s">
        <v>1121</v>
      </c>
      <c r="H243" s="10" t="s">
        <v>1122</v>
      </c>
      <c r="I243" s="10" t="s">
        <v>1141</v>
      </c>
      <c r="J243" s="10" t="s">
        <v>2076</v>
      </c>
      <c r="K243" s="10" t="s">
        <v>1243</v>
      </c>
      <c r="L243" s="10" t="s">
        <v>1126</v>
      </c>
      <c r="M243" s="11" t="s">
        <v>1386</v>
      </c>
    </row>
    <row r="244" spans="1:13" ht="62" customHeight="1">
      <c r="A244" s="8" t="s">
        <v>2077</v>
      </c>
      <c r="B244" s="8" t="s">
        <v>2078</v>
      </c>
      <c r="C244" s="8" t="s">
        <v>2079</v>
      </c>
      <c r="D244" s="8" t="s">
        <v>1131</v>
      </c>
      <c r="E244" s="8" t="s">
        <v>2080</v>
      </c>
      <c r="F244" s="8" t="s">
        <v>1120</v>
      </c>
      <c r="G244" s="8" t="s">
        <v>1133</v>
      </c>
      <c r="H244" s="8" t="s">
        <v>1122</v>
      </c>
      <c r="I244" s="8" t="s">
        <v>1141</v>
      </c>
      <c r="J244" s="8" t="s">
        <v>2081</v>
      </c>
      <c r="K244" s="8" t="s">
        <v>1243</v>
      </c>
      <c r="L244" s="12" t="s">
        <v>1136</v>
      </c>
      <c r="M244" s="9" t="s">
        <v>1127</v>
      </c>
    </row>
    <row r="245" spans="1:13" ht="62" customHeight="1">
      <c r="A245" s="10" t="s">
        <v>2082</v>
      </c>
      <c r="B245" s="10" t="s">
        <v>2083</v>
      </c>
      <c r="C245" s="10" t="s">
        <v>2084</v>
      </c>
      <c r="D245" s="10" t="s">
        <v>1131</v>
      </c>
      <c r="E245" s="10" t="s">
        <v>2085</v>
      </c>
      <c r="F245" s="10" t="s">
        <v>1120</v>
      </c>
      <c r="G245" s="10" t="s">
        <v>1121</v>
      </c>
      <c r="H245" s="10" t="s">
        <v>1122</v>
      </c>
      <c r="I245" s="10" t="s">
        <v>1141</v>
      </c>
      <c r="J245" s="10" t="s">
        <v>2086</v>
      </c>
      <c r="K245" s="10" t="s">
        <v>1125</v>
      </c>
      <c r="L245" s="10" t="s">
        <v>1126</v>
      </c>
      <c r="M245" s="11" t="s">
        <v>1127</v>
      </c>
    </row>
    <row r="246" spans="1:13" ht="78" customHeight="1">
      <c r="A246" s="8" t="s">
        <v>2087</v>
      </c>
      <c r="B246" s="8" t="s">
        <v>2088</v>
      </c>
      <c r="C246" s="8" t="s">
        <v>2089</v>
      </c>
      <c r="D246" s="8" t="s">
        <v>1131</v>
      </c>
      <c r="E246" s="8" t="s">
        <v>2090</v>
      </c>
      <c r="F246" s="8" t="s">
        <v>1120</v>
      </c>
      <c r="G246" s="8" t="s">
        <v>1121</v>
      </c>
      <c r="H246" s="8" t="s">
        <v>1122</v>
      </c>
      <c r="I246" s="8" t="s">
        <v>1141</v>
      </c>
      <c r="J246" s="8" t="s">
        <v>2043</v>
      </c>
      <c r="K246" s="8" t="s">
        <v>1243</v>
      </c>
      <c r="L246" s="8" t="s">
        <v>1126</v>
      </c>
      <c r="M246" s="9" t="s">
        <v>1127</v>
      </c>
    </row>
    <row r="247" spans="1:13" ht="62" customHeight="1">
      <c r="A247" s="10" t="s">
        <v>2091</v>
      </c>
      <c r="B247" s="10" t="s">
        <v>2092</v>
      </c>
      <c r="C247" s="10" t="s">
        <v>2093</v>
      </c>
      <c r="D247" s="10" t="s">
        <v>1131</v>
      </c>
      <c r="E247" s="10" t="s">
        <v>1548</v>
      </c>
      <c r="F247" s="10" t="s">
        <v>1120</v>
      </c>
      <c r="G247" s="10" t="s">
        <v>1121</v>
      </c>
      <c r="H247" s="10" t="s">
        <v>1122</v>
      </c>
      <c r="I247" s="10" t="s">
        <v>1141</v>
      </c>
      <c r="J247" s="10" t="s">
        <v>2094</v>
      </c>
      <c r="K247" s="10" t="s">
        <v>1243</v>
      </c>
      <c r="L247" s="10" t="s">
        <v>1126</v>
      </c>
      <c r="M247" s="11" t="s">
        <v>1127</v>
      </c>
    </row>
    <row r="248" spans="1:13" ht="62" customHeight="1">
      <c r="A248" s="8" t="s">
        <v>2095</v>
      </c>
      <c r="B248" s="8" t="s">
        <v>2096</v>
      </c>
      <c r="C248" s="8" t="s">
        <v>2097</v>
      </c>
      <c r="D248" s="8" t="s">
        <v>1131</v>
      </c>
      <c r="E248" s="8" t="s">
        <v>1316</v>
      </c>
      <c r="F248" s="8" t="s">
        <v>1120</v>
      </c>
      <c r="G248" s="8" t="s">
        <v>1121</v>
      </c>
      <c r="H248" s="8" t="s">
        <v>1122</v>
      </c>
      <c r="I248" s="8" t="s">
        <v>1141</v>
      </c>
      <c r="J248" s="8" t="s">
        <v>2098</v>
      </c>
      <c r="K248" s="8" t="s">
        <v>1243</v>
      </c>
      <c r="L248" s="8" t="s">
        <v>1126</v>
      </c>
      <c r="M248" s="9" t="s">
        <v>1127</v>
      </c>
    </row>
    <row r="249" spans="1:13" ht="62" customHeight="1">
      <c r="A249" s="10" t="s">
        <v>2099</v>
      </c>
      <c r="B249" s="10" t="s">
        <v>2100</v>
      </c>
      <c r="C249" s="10" t="s">
        <v>2101</v>
      </c>
      <c r="D249" s="10" t="s">
        <v>1131</v>
      </c>
      <c r="E249" s="10" t="s">
        <v>1316</v>
      </c>
      <c r="F249" s="10" t="s">
        <v>1120</v>
      </c>
      <c r="G249" s="10" t="s">
        <v>1121</v>
      </c>
      <c r="H249" s="10" t="s">
        <v>1122</v>
      </c>
      <c r="I249" s="10" t="s">
        <v>1141</v>
      </c>
      <c r="J249" s="10" t="s">
        <v>1429</v>
      </c>
      <c r="K249" s="10" t="s">
        <v>1243</v>
      </c>
      <c r="L249" s="10" t="s">
        <v>1126</v>
      </c>
      <c r="M249" s="11" t="s">
        <v>2102</v>
      </c>
    </row>
    <row r="250" spans="1:13" ht="78" customHeight="1">
      <c r="A250" s="8" t="s">
        <v>2103</v>
      </c>
      <c r="B250" s="8" t="s">
        <v>2104</v>
      </c>
      <c r="C250" s="8" t="s">
        <v>2105</v>
      </c>
      <c r="D250" s="8" t="s">
        <v>1131</v>
      </c>
      <c r="E250" s="8" t="s">
        <v>2090</v>
      </c>
      <c r="F250" s="8" t="s">
        <v>1120</v>
      </c>
      <c r="G250" s="8" t="s">
        <v>1121</v>
      </c>
      <c r="H250" s="8" t="s">
        <v>1122</v>
      </c>
      <c r="I250" s="8" t="s">
        <v>1141</v>
      </c>
      <c r="J250" s="8" t="s">
        <v>2043</v>
      </c>
      <c r="K250" s="8" t="s">
        <v>1125</v>
      </c>
      <c r="L250" s="8" t="s">
        <v>1126</v>
      </c>
      <c r="M250" s="9" t="s">
        <v>1127</v>
      </c>
    </row>
    <row r="251" spans="1:13" ht="62" customHeight="1">
      <c r="A251" s="10" t="s">
        <v>2106</v>
      </c>
      <c r="B251" s="10" t="s">
        <v>2107</v>
      </c>
      <c r="C251" s="10" t="s">
        <v>2108</v>
      </c>
      <c r="D251" s="10" t="s">
        <v>1131</v>
      </c>
      <c r="E251" s="10" t="s">
        <v>1316</v>
      </c>
      <c r="F251" s="10" t="s">
        <v>1120</v>
      </c>
      <c r="G251" s="10" t="s">
        <v>1121</v>
      </c>
      <c r="H251" s="10" t="s">
        <v>1122</v>
      </c>
      <c r="I251" s="10" t="s">
        <v>1141</v>
      </c>
      <c r="J251" s="10" t="s">
        <v>1372</v>
      </c>
      <c r="K251" s="10" t="s">
        <v>1243</v>
      </c>
      <c r="L251" s="10" t="s">
        <v>1126</v>
      </c>
      <c r="M251" s="11" t="s">
        <v>1127</v>
      </c>
    </row>
    <row r="252" spans="1:13" ht="62" customHeight="1">
      <c r="A252" s="8" t="s">
        <v>2109</v>
      </c>
      <c r="B252" s="8" t="s">
        <v>2110</v>
      </c>
      <c r="C252" s="8" t="s">
        <v>2111</v>
      </c>
      <c r="D252" s="8" t="s">
        <v>1131</v>
      </c>
      <c r="E252" s="8" t="s">
        <v>1849</v>
      </c>
      <c r="F252" s="8" t="s">
        <v>1120</v>
      </c>
      <c r="G252" s="8" t="s">
        <v>1121</v>
      </c>
      <c r="H252" s="8" t="s">
        <v>1122</v>
      </c>
      <c r="I252" s="8" t="s">
        <v>1141</v>
      </c>
      <c r="J252" s="8" t="s">
        <v>2112</v>
      </c>
      <c r="K252" s="8" t="s">
        <v>1125</v>
      </c>
      <c r="L252" s="8" t="s">
        <v>1126</v>
      </c>
      <c r="M252" s="9" t="s">
        <v>1127</v>
      </c>
    </row>
    <row r="253" spans="1:13" ht="78" customHeight="1">
      <c r="A253" s="10" t="s">
        <v>2113</v>
      </c>
      <c r="B253" s="10" t="s">
        <v>2114</v>
      </c>
      <c r="C253" s="10" t="s">
        <v>2115</v>
      </c>
      <c r="D253" s="10" t="s">
        <v>1131</v>
      </c>
      <c r="E253" s="10" t="s">
        <v>2116</v>
      </c>
      <c r="F253" s="10" t="s">
        <v>1120</v>
      </c>
      <c r="G253" s="10" t="s">
        <v>1121</v>
      </c>
      <c r="H253" s="10" t="s">
        <v>1122</v>
      </c>
      <c r="I253" s="10" t="s">
        <v>1141</v>
      </c>
      <c r="J253" s="10" t="s">
        <v>2117</v>
      </c>
      <c r="K253" s="10" t="s">
        <v>1125</v>
      </c>
      <c r="L253" s="10" t="s">
        <v>1126</v>
      </c>
      <c r="M253" s="11" t="s">
        <v>1127</v>
      </c>
    </row>
    <row r="254" spans="1:13" ht="62" customHeight="1">
      <c r="A254" s="8" t="s">
        <v>2118</v>
      </c>
      <c r="B254" s="8" t="s">
        <v>2119</v>
      </c>
      <c r="C254" s="8" t="s">
        <v>2120</v>
      </c>
      <c r="D254" s="8" t="s">
        <v>1131</v>
      </c>
      <c r="E254" s="8" t="s">
        <v>2121</v>
      </c>
      <c r="F254" s="8" t="s">
        <v>1120</v>
      </c>
      <c r="G254" s="8" t="s">
        <v>1121</v>
      </c>
      <c r="H254" s="8" t="s">
        <v>1134</v>
      </c>
      <c r="I254" s="8" t="s">
        <v>1141</v>
      </c>
      <c r="J254" s="8" t="s">
        <v>2122</v>
      </c>
      <c r="K254" s="8" t="s">
        <v>1125</v>
      </c>
      <c r="L254" s="8" t="s">
        <v>1161</v>
      </c>
      <c r="M254" s="9" t="s">
        <v>1127</v>
      </c>
    </row>
    <row r="255" spans="1:13" ht="62" customHeight="1">
      <c r="A255" s="10" t="s">
        <v>2123</v>
      </c>
      <c r="B255" s="10" t="s">
        <v>2124</v>
      </c>
      <c r="C255" s="10" t="s">
        <v>2125</v>
      </c>
      <c r="D255" s="10" t="s">
        <v>1131</v>
      </c>
      <c r="E255" s="10" t="s">
        <v>1371</v>
      </c>
      <c r="F255" s="10" t="s">
        <v>1120</v>
      </c>
      <c r="G255" s="10" t="s">
        <v>1121</v>
      </c>
      <c r="H255" s="10" t="s">
        <v>1122</v>
      </c>
      <c r="I255" s="10" t="s">
        <v>1141</v>
      </c>
      <c r="J255" s="10" t="s">
        <v>2126</v>
      </c>
      <c r="K255" s="10" t="s">
        <v>1243</v>
      </c>
      <c r="L255" s="10" t="s">
        <v>1126</v>
      </c>
      <c r="M255" s="11" t="s">
        <v>1127</v>
      </c>
    </row>
    <row r="256" spans="1:13" ht="62" customHeight="1">
      <c r="A256" s="8" t="s">
        <v>2127</v>
      </c>
      <c r="B256" s="8" t="s">
        <v>2128</v>
      </c>
      <c r="C256" s="8" t="s">
        <v>2129</v>
      </c>
      <c r="D256" s="8" t="s">
        <v>1131</v>
      </c>
      <c r="E256" s="8" t="s">
        <v>2130</v>
      </c>
      <c r="F256" s="8" t="s">
        <v>1120</v>
      </c>
      <c r="G256" s="8" t="s">
        <v>1121</v>
      </c>
      <c r="H256" s="8" t="s">
        <v>1122</v>
      </c>
      <c r="I256" s="8" t="s">
        <v>1180</v>
      </c>
      <c r="J256" s="8" t="s">
        <v>1865</v>
      </c>
      <c r="K256" s="8" t="s">
        <v>1243</v>
      </c>
      <c r="L256" s="8" t="s">
        <v>1126</v>
      </c>
      <c r="M256" s="9" t="s">
        <v>1127</v>
      </c>
    </row>
    <row r="257" spans="1:13" ht="62" customHeight="1">
      <c r="A257" s="10" t="s">
        <v>2131</v>
      </c>
      <c r="B257" s="10" t="s">
        <v>2132</v>
      </c>
      <c r="C257" s="10" t="s">
        <v>2133</v>
      </c>
      <c r="D257" s="10" t="s">
        <v>1131</v>
      </c>
      <c r="E257" s="10" t="s">
        <v>1119</v>
      </c>
      <c r="F257" s="10" t="s">
        <v>1120</v>
      </c>
      <c r="G257" s="10" t="s">
        <v>1121</v>
      </c>
      <c r="H257" s="10" t="s">
        <v>1122</v>
      </c>
      <c r="I257" s="10" t="s">
        <v>1123</v>
      </c>
      <c r="J257" s="10" t="s">
        <v>1124</v>
      </c>
      <c r="K257" s="10" t="s">
        <v>1125</v>
      </c>
      <c r="L257" s="10" t="s">
        <v>1126</v>
      </c>
      <c r="M257" s="11" t="s">
        <v>1127</v>
      </c>
    </row>
    <row r="258" spans="1:13" ht="62" customHeight="1">
      <c r="A258" s="8" t="s">
        <v>2134</v>
      </c>
      <c r="B258" s="8" t="s">
        <v>2135</v>
      </c>
      <c r="C258" s="8" t="s">
        <v>2136</v>
      </c>
      <c r="D258" s="8" t="s">
        <v>1662</v>
      </c>
      <c r="E258" s="8" t="s">
        <v>1132</v>
      </c>
      <c r="F258" s="8" t="s">
        <v>1140</v>
      </c>
      <c r="G258" s="8" t="s">
        <v>1133</v>
      </c>
      <c r="H258" s="8" t="s">
        <v>1134</v>
      </c>
      <c r="I258" s="8" t="s">
        <v>1180</v>
      </c>
      <c r="J258" s="8" t="s">
        <v>1181</v>
      </c>
      <c r="K258" s="8" t="s">
        <v>1135</v>
      </c>
      <c r="L258" s="8" t="s">
        <v>2137</v>
      </c>
      <c r="M258" s="9" t="s">
        <v>2138</v>
      </c>
    </row>
    <row r="259" spans="1:13" ht="62" customHeight="1">
      <c r="A259" s="10" t="s">
        <v>2139</v>
      </c>
      <c r="B259" s="10" t="s">
        <v>2140</v>
      </c>
      <c r="C259" s="10" t="s">
        <v>2141</v>
      </c>
      <c r="D259" s="10" t="s">
        <v>1131</v>
      </c>
      <c r="E259" s="10" t="s">
        <v>1119</v>
      </c>
      <c r="F259" s="10" t="s">
        <v>1140</v>
      </c>
      <c r="G259" s="10" t="s">
        <v>1121</v>
      </c>
      <c r="H259" s="10" t="s">
        <v>1122</v>
      </c>
      <c r="I259" s="10" t="s">
        <v>1123</v>
      </c>
      <c r="J259" s="10" t="s">
        <v>1124</v>
      </c>
      <c r="K259" s="10" t="s">
        <v>1125</v>
      </c>
      <c r="L259" s="10" t="s">
        <v>1126</v>
      </c>
      <c r="M259" s="11" t="s">
        <v>2138</v>
      </c>
    </row>
    <row r="260" spans="1:13" ht="62" customHeight="1">
      <c r="A260" s="8" t="s">
        <v>2142</v>
      </c>
      <c r="B260" s="8" t="s">
        <v>2143</v>
      </c>
      <c r="C260" s="8" t="s">
        <v>2144</v>
      </c>
      <c r="D260" s="8" t="s">
        <v>1131</v>
      </c>
      <c r="E260" s="8" t="s">
        <v>1806</v>
      </c>
      <c r="F260" s="8" t="s">
        <v>1120</v>
      </c>
      <c r="G260" s="8" t="s">
        <v>1121</v>
      </c>
      <c r="H260" s="8" t="s">
        <v>1122</v>
      </c>
      <c r="I260" s="8" t="s">
        <v>1141</v>
      </c>
      <c r="J260" s="8" t="s">
        <v>2145</v>
      </c>
      <c r="K260" s="8" t="s">
        <v>1243</v>
      </c>
      <c r="L260" s="8" t="s">
        <v>1126</v>
      </c>
      <c r="M260" s="9" t="s">
        <v>1192</v>
      </c>
    </row>
    <row r="261" spans="1:13" ht="62" customHeight="1">
      <c r="A261" s="10" t="s">
        <v>2146</v>
      </c>
      <c r="B261" s="10" t="s">
        <v>635</v>
      </c>
      <c r="C261" s="10" t="s">
        <v>2147</v>
      </c>
      <c r="D261" s="10" t="s">
        <v>1131</v>
      </c>
      <c r="E261" s="10" t="s">
        <v>1683</v>
      </c>
      <c r="F261" s="10" t="s">
        <v>1120</v>
      </c>
      <c r="G261" s="10" t="s">
        <v>1121</v>
      </c>
      <c r="H261" s="10" t="s">
        <v>1122</v>
      </c>
      <c r="I261" s="10" t="s">
        <v>1141</v>
      </c>
      <c r="J261" s="10" t="s">
        <v>1465</v>
      </c>
      <c r="K261" s="10" t="s">
        <v>1243</v>
      </c>
      <c r="L261" s="10" t="s">
        <v>1126</v>
      </c>
      <c r="M261" s="11" t="s">
        <v>1386</v>
      </c>
    </row>
    <row r="262" spans="1:13" ht="62" customHeight="1">
      <c r="A262" s="8" t="s">
        <v>2148</v>
      </c>
      <c r="B262" s="8" t="s">
        <v>2149</v>
      </c>
      <c r="C262" s="8" t="s">
        <v>2150</v>
      </c>
      <c r="D262" s="8" t="s">
        <v>1131</v>
      </c>
      <c r="E262" s="8" t="s">
        <v>1420</v>
      </c>
      <c r="F262" s="8" t="s">
        <v>1120</v>
      </c>
      <c r="G262" s="8" t="s">
        <v>1121</v>
      </c>
      <c r="H262" s="8" t="s">
        <v>1122</v>
      </c>
      <c r="I262" s="8" t="s">
        <v>1141</v>
      </c>
      <c r="J262" s="8" t="s">
        <v>1460</v>
      </c>
      <c r="K262" s="8" t="s">
        <v>1243</v>
      </c>
      <c r="L262" s="8" t="s">
        <v>1126</v>
      </c>
      <c r="M262" s="9" t="s">
        <v>1170</v>
      </c>
    </row>
    <row r="263" spans="1:13" ht="62" customHeight="1">
      <c r="A263" s="10" t="s">
        <v>2151</v>
      </c>
      <c r="B263" s="10" t="s">
        <v>639</v>
      </c>
      <c r="C263" s="10" t="s">
        <v>2152</v>
      </c>
      <c r="D263" s="10" t="s">
        <v>1131</v>
      </c>
      <c r="E263" s="10" t="s">
        <v>2153</v>
      </c>
      <c r="F263" s="10" t="s">
        <v>1120</v>
      </c>
      <c r="G263" s="10" t="s">
        <v>1121</v>
      </c>
      <c r="H263" s="10" t="s">
        <v>1122</v>
      </c>
      <c r="I263" s="10" t="s">
        <v>1141</v>
      </c>
      <c r="J263" s="10" t="s">
        <v>1465</v>
      </c>
      <c r="K263" s="10" t="s">
        <v>1243</v>
      </c>
      <c r="L263" s="10" t="s">
        <v>1126</v>
      </c>
      <c r="M263" s="11" t="s">
        <v>1386</v>
      </c>
    </row>
    <row r="264" spans="1:13" ht="62" customHeight="1">
      <c r="A264" s="8" t="s">
        <v>2154</v>
      </c>
      <c r="B264" s="8" t="s">
        <v>2155</v>
      </c>
      <c r="C264" s="8" t="s">
        <v>2156</v>
      </c>
      <c r="D264" s="8" t="s">
        <v>1131</v>
      </c>
      <c r="E264" s="8" t="s">
        <v>1609</v>
      </c>
      <c r="F264" s="8" t="s">
        <v>1140</v>
      </c>
      <c r="G264" s="8" t="s">
        <v>1121</v>
      </c>
      <c r="H264" s="8" t="s">
        <v>1134</v>
      </c>
      <c r="I264" s="8" t="s">
        <v>1141</v>
      </c>
      <c r="J264" s="8" t="s">
        <v>2157</v>
      </c>
      <c r="K264" s="8" t="s">
        <v>1125</v>
      </c>
      <c r="L264" s="8" t="s">
        <v>1161</v>
      </c>
      <c r="M264" s="9" t="s">
        <v>1663</v>
      </c>
    </row>
    <row r="265" spans="1:13" ht="62" customHeight="1">
      <c r="A265" s="10" t="s">
        <v>2158</v>
      </c>
      <c r="B265" s="10" t="s">
        <v>2159</v>
      </c>
      <c r="C265" s="10" t="s">
        <v>2160</v>
      </c>
      <c r="D265" s="10" t="s">
        <v>1131</v>
      </c>
      <c r="E265" s="10" t="s">
        <v>1687</v>
      </c>
      <c r="F265" s="10" t="s">
        <v>1120</v>
      </c>
      <c r="G265" s="10" t="s">
        <v>1121</v>
      </c>
      <c r="H265" s="10" t="s">
        <v>1122</v>
      </c>
      <c r="I265" s="10" t="s">
        <v>1123</v>
      </c>
      <c r="J265" s="10" t="s">
        <v>1124</v>
      </c>
      <c r="K265" s="10" t="s">
        <v>1243</v>
      </c>
      <c r="L265" s="10" t="s">
        <v>1126</v>
      </c>
      <c r="M265" s="11" t="s">
        <v>1386</v>
      </c>
    </row>
    <row r="266" spans="1:13" ht="62" customHeight="1">
      <c r="A266" s="8" t="s">
        <v>2161</v>
      </c>
      <c r="B266" s="8" t="s">
        <v>2162</v>
      </c>
      <c r="C266" s="8" t="s">
        <v>2163</v>
      </c>
      <c r="D266" s="8" t="s">
        <v>1131</v>
      </c>
      <c r="E266" s="8" t="s">
        <v>2164</v>
      </c>
      <c r="F266" s="8" t="s">
        <v>1120</v>
      </c>
      <c r="G266" s="8" t="s">
        <v>1121</v>
      </c>
      <c r="H266" s="8" t="s">
        <v>1122</v>
      </c>
      <c r="I266" s="8" t="s">
        <v>1141</v>
      </c>
      <c r="J266" s="8" t="s">
        <v>2165</v>
      </c>
      <c r="K266" s="8" t="s">
        <v>1243</v>
      </c>
      <c r="L266" s="8" t="s">
        <v>1126</v>
      </c>
      <c r="M266" s="9" t="s">
        <v>1386</v>
      </c>
    </row>
    <row r="267" spans="1:13" ht="392" customHeight="1">
      <c r="A267" s="10" t="s">
        <v>2166</v>
      </c>
      <c r="B267" s="10" t="s">
        <v>2167</v>
      </c>
      <c r="C267" s="10" t="s">
        <v>2168</v>
      </c>
      <c r="D267" s="10" t="s">
        <v>1131</v>
      </c>
      <c r="E267" s="10" t="s">
        <v>1132</v>
      </c>
      <c r="F267" s="10" t="s">
        <v>1120</v>
      </c>
      <c r="G267" s="10" t="s">
        <v>1121</v>
      </c>
      <c r="H267" s="10" t="s">
        <v>1122</v>
      </c>
      <c r="I267" s="10" t="s">
        <v>1301</v>
      </c>
      <c r="J267" s="10" t="s">
        <v>2169</v>
      </c>
      <c r="K267" s="10" t="s">
        <v>1135</v>
      </c>
      <c r="L267" s="10" t="s">
        <v>1126</v>
      </c>
      <c r="M267" s="11" t="s">
        <v>1386</v>
      </c>
    </row>
    <row r="268" spans="1:13" ht="62" customHeight="1">
      <c r="A268" s="8" t="s">
        <v>2170</v>
      </c>
      <c r="B268" s="8" t="s">
        <v>2171</v>
      </c>
      <c r="C268" s="8" t="s">
        <v>2172</v>
      </c>
      <c r="D268" s="8" t="s">
        <v>1131</v>
      </c>
      <c r="E268" s="8" t="s">
        <v>1132</v>
      </c>
      <c r="F268" s="8" t="s">
        <v>1120</v>
      </c>
      <c r="G268" s="8" t="s">
        <v>1121</v>
      </c>
      <c r="H268" s="8" t="s">
        <v>1122</v>
      </c>
      <c r="I268" s="8" t="s">
        <v>1180</v>
      </c>
      <c r="J268" s="8" t="s">
        <v>2173</v>
      </c>
      <c r="K268" s="8" t="s">
        <v>1135</v>
      </c>
      <c r="L268" s="8" t="s">
        <v>1126</v>
      </c>
      <c r="M268" s="9" t="s">
        <v>1386</v>
      </c>
    </row>
    <row r="269" spans="1:13" ht="78" customHeight="1">
      <c r="A269" s="10" t="s">
        <v>2174</v>
      </c>
      <c r="B269" s="10" t="s">
        <v>2175</v>
      </c>
      <c r="C269" s="10" t="s">
        <v>2176</v>
      </c>
      <c r="D269" s="10" t="s">
        <v>1131</v>
      </c>
      <c r="E269" s="10" t="s">
        <v>1132</v>
      </c>
      <c r="F269" s="10" t="s">
        <v>1120</v>
      </c>
      <c r="G269" s="10" t="s">
        <v>1121</v>
      </c>
      <c r="H269" s="10" t="s">
        <v>1122</v>
      </c>
      <c r="I269" s="10" t="s">
        <v>1180</v>
      </c>
      <c r="J269" s="10" t="s">
        <v>2177</v>
      </c>
      <c r="K269" s="10" t="s">
        <v>1135</v>
      </c>
      <c r="L269" s="10" t="s">
        <v>1126</v>
      </c>
      <c r="M269" s="11" t="s">
        <v>1386</v>
      </c>
    </row>
    <row r="270" spans="1:13" ht="62" customHeight="1">
      <c r="A270" s="8" t="s">
        <v>2178</v>
      </c>
      <c r="B270" s="8" t="s">
        <v>2179</v>
      </c>
      <c r="C270" s="8" t="s">
        <v>2180</v>
      </c>
      <c r="D270" s="8" t="s">
        <v>1131</v>
      </c>
      <c r="E270" s="8" t="s">
        <v>1687</v>
      </c>
      <c r="F270" s="8" t="s">
        <v>1120</v>
      </c>
      <c r="G270" s="8" t="s">
        <v>1121</v>
      </c>
      <c r="H270" s="8" t="s">
        <v>1122</v>
      </c>
      <c r="I270" s="8" t="s">
        <v>1141</v>
      </c>
      <c r="J270" s="8" t="s">
        <v>1460</v>
      </c>
      <c r="K270" s="8" t="s">
        <v>1243</v>
      </c>
      <c r="L270" s="8" t="s">
        <v>1126</v>
      </c>
      <c r="M270" s="9" t="s">
        <v>1386</v>
      </c>
    </row>
    <row r="271" spans="1:13" ht="62" customHeight="1">
      <c r="A271" s="10" t="s">
        <v>2181</v>
      </c>
      <c r="B271" s="10" t="s">
        <v>2182</v>
      </c>
      <c r="C271" s="10" t="s">
        <v>2183</v>
      </c>
      <c r="D271" s="10" t="s">
        <v>1131</v>
      </c>
      <c r="E271" s="10" t="s">
        <v>1844</v>
      </c>
      <c r="F271" s="10" t="s">
        <v>1120</v>
      </c>
      <c r="G271" s="10" t="s">
        <v>1121</v>
      </c>
      <c r="H271" s="10" t="s">
        <v>1122</v>
      </c>
      <c r="I271" s="10" t="s">
        <v>1141</v>
      </c>
      <c r="J271" s="10" t="s">
        <v>1188</v>
      </c>
      <c r="K271" s="10" t="s">
        <v>1243</v>
      </c>
      <c r="L271" s="10" t="s">
        <v>1126</v>
      </c>
      <c r="M271" s="11" t="s">
        <v>1386</v>
      </c>
    </row>
    <row r="272" spans="1:13" ht="62" customHeight="1">
      <c r="A272" s="8" t="s">
        <v>2184</v>
      </c>
      <c r="B272" s="8" t="s">
        <v>2185</v>
      </c>
      <c r="C272" s="8" t="s">
        <v>2186</v>
      </c>
      <c r="D272" s="8" t="s">
        <v>1131</v>
      </c>
      <c r="E272" s="8" t="s">
        <v>2187</v>
      </c>
      <c r="F272" s="8" t="s">
        <v>1120</v>
      </c>
      <c r="G272" s="8" t="s">
        <v>1121</v>
      </c>
      <c r="H272" s="8" t="s">
        <v>1122</v>
      </c>
      <c r="I272" s="8" t="s">
        <v>1141</v>
      </c>
      <c r="J272" s="8" t="s">
        <v>2188</v>
      </c>
      <c r="K272" s="8" t="s">
        <v>1243</v>
      </c>
      <c r="L272" s="8" t="s">
        <v>1126</v>
      </c>
      <c r="M272" s="9" t="s">
        <v>1386</v>
      </c>
    </row>
    <row r="273" spans="1:13" ht="62" customHeight="1">
      <c r="A273" s="10" t="s">
        <v>2189</v>
      </c>
      <c r="B273" s="10" t="s">
        <v>2190</v>
      </c>
      <c r="C273" s="10" t="s">
        <v>2191</v>
      </c>
      <c r="D273" s="10" t="s">
        <v>1118</v>
      </c>
      <c r="E273" s="10" t="s">
        <v>2192</v>
      </c>
      <c r="F273" s="10" t="s">
        <v>1140</v>
      </c>
      <c r="G273" s="10" t="s">
        <v>1133</v>
      </c>
      <c r="H273" s="10" t="s">
        <v>1122</v>
      </c>
      <c r="I273" s="10" t="s">
        <v>1123</v>
      </c>
      <c r="J273" s="10" t="s">
        <v>1124</v>
      </c>
      <c r="K273" s="10" t="s">
        <v>1125</v>
      </c>
      <c r="L273" s="12" t="s">
        <v>1136</v>
      </c>
      <c r="M273" s="11" t="s">
        <v>1127</v>
      </c>
    </row>
    <row r="274" spans="1:13" ht="62" customHeight="1">
      <c r="A274" s="8" t="s">
        <v>2193</v>
      </c>
      <c r="B274" s="8" t="s">
        <v>2194</v>
      </c>
      <c r="C274" s="8" t="s">
        <v>2195</v>
      </c>
      <c r="D274" s="8" t="s">
        <v>1131</v>
      </c>
      <c r="E274" s="8" t="s">
        <v>1316</v>
      </c>
      <c r="F274" s="8" t="s">
        <v>1140</v>
      </c>
      <c r="G274" s="8" t="s">
        <v>1121</v>
      </c>
      <c r="H274" s="8" t="s">
        <v>1122</v>
      </c>
      <c r="I274" s="8" t="s">
        <v>1141</v>
      </c>
      <c r="J274" s="8" t="s">
        <v>1429</v>
      </c>
      <c r="K274" s="8" t="s">
        <v>1125</v>
      </c>
      <c r="L274" s="8" t="s">
        <v>1126</v>
      </c>
      <c r="M274" s="9" t="s">
        <v>2138</v>
      </c>
    </row>
    <row r="275" spans="1:13" ht="62" customHeight="1">
      <c r="A275" s="10" t="s">
        <v>2196</v>
      </c>
      <c r="B275" s="10" t="s">
        <v>2197</v>
      </c>
      <c r="C275" s="10" t="s">
        <v>2198</v>
      </c>
      <c r="D275" s="10" t="s">
        <v>1131</v>
      </c>
      <c r="E275" s="10" t="s">
        <v>1119</v>
      </c>
      <c r="F275" s="10" t="s">
        <v>1140</v>
      </c>
      <c r="G275" s="10" t="s">
        <v>1121</v>
      </c>
      <c r="H275" s="10" t="s">
        <v>1122</v>
      </c>
      <c r="I275" s="10" t="s">
        <v>1123</v>
      </c>
      <c r="J275" s="10" t="s">
        <v>1124</v>
      </c>
      <c r="K275" s="10" t="s">
        <v>1125</v>
      </c>
      <c r="L275" s="10" t="s">
        <v>1126</v>
      </c>
      <c r="M275" s="11" t="s">
        <v>2138</v>
      </c>
    </row>
    <row r="276" spans="1:13" ht="62" customHeight="1">
      <c r="A276" s="8" t="s">
        <v>2199</v>
      </c>
      <c r="B276" s="8" t="s">
        <v>2200</v>
      </c>
      <c r="C276" s="8" t="s">
        <v>2201</v>
      </c>
      <c r="D276" s="8" t="s">
        <v>1131</v>
      </c>
      <c r="E276" s="8" t="s">
        <v>1316</v>
      </c>
      <c r="F276" s="8" t="s">
        <v>1140</v>
      </c>
      <c r="G276" s="8" t="s">
        <v>1121</v>
      </c>
      <c r="H276" s="8" t="s">
        <v>1122</v>
      </c>
      <c r="I276" s="8" t="s">
        <v>1141</v>
      </c>
      <c r="J276" s="8" t="s">
        <v>1429</v>
      </c>
      <c r="K276" s="8" t="s">
        <v>1125</v>
      </c>
      <c r="L276" s="8" t="s">
        <v>1126</v>
      </c>
      <c r="M276" s="9" t="s">
        <v>2138</v>
      </c>
    </row>
    <row r="277" spans="1:13" ht="62" customHeight="1">
      <c r="A277" s="10" t="s">
        <v>2202</v>
      </c>
      <c r="B277" s="10" t="s">
        <v>2203</v>
      </c>
      <c r="C277" s="10" t="s">
        <v>2204</v>
      </c>
      <c r="D277" s="10" t="s">
        <v>1118</v>
      </c>
      <c r="E277" s="10" t="s">
        <v>1242</v>
      </c>
      <c r="F277" s="10" t="s">
        <v>1120</v>
      </c>
      <c r="G277" s="10" t="s">
        <v>1121</v>
      </c>
      <c r="H277" s="10" t="s">
        <v>1134</v>
      </c>
      <c r="I277" s="10" t="s">
        <v>1123</v>
      </c>
      <c r="J277" s="10" t="s">
        <v>1124</v>
      </c>
      <c r="K277" s="10" t="s">
        <v>1125</v>
      </c>
      <c r="L277" s="10" t="s">
        <v>1161</v>
      </c>
      <c r="M277" s="11" t="s">
        <v>2205</v>
      </c>
    </row>
    <row r="278" spans="1:13" ht="62" customHeight="1">
      <c r="A278" s="8" t="s">
        <v>2206</v>
      </c>
      <c r="B278" s="8" t="s">
        <v>2207</v>
      </c>
      <c r="C278" s="8" t="s">
        <v>2208</v>
      </c>
      <c r="D278" s="8" t="s">
        <v>1131</v>
      </c>
      <c r="E278" s="8" t="s">
        <v>2209</v>
      </c>
      <c r="F278" s="8" t="s">
        <v>1120</v>
      </c>
      <c r="G278" s="8" t="s">
        <v>1121</v>
      </c>
      <c r="H278" s="8" t="s">
        <v>1134</v>
      </c>
      <c r="I278" s="8" t="s">
        <v>1141</v>
      </c>
      <c r="J278" s="8" t="s">
        <v>2210</v>
      </c>
      <c r="K278" s="8" t="s">
        <v>1125</v>
      </c>
      <c r="L278" s="8" t="s">
        <v>1161</v>
      </c>
      <c r="M278" s="9" t="s">
        <v>2211</v>
      </c>
    </row>
    <row r="279" spans="1:13" ht="62" customHeight="1">
      <c r="A279" s="10" t="s">
        <v>2212</v>
      </c>
      <c r="B279" s="10" t="s">
        <v>2213</v>
      </c>
      <c r="C279" s="10" t="s">
        <v>2214</v>
      </c>
      <c r="D279" s="10" t="s">
        <v>1131</v>
      </c>
      <c r="E279" s="10" t="s">
        <v>1132</v>
      </c>
      <c r="F279" s="10" t="s">
        <v>1120</v>
      </c>
      <c r="G279" s="10" t="s">
        <v>1121</v>
      </c>
      <c r="H279" s="10" t="s">
        <v>1134</v>
      </c>
      <c r="I279" s="10" t="s">
        <v>1123</v>
      </c>
      <c r="J279" s="10" t="s">
        <v>1124</v>
      </c>
      <c r="K279" s="10" t="s">
        <v>1135</v>
      </c>
      <c r="L279" s="10" t="s">
        <v>1161</v>
      </c>
      <c r="M279" s="11" t="s">
        <v>2211</v>
      </c>
    </row>
    <row r="280" spans="1:13" ht="62" customHeight="1">
      <c r="A280" s="8" t="s">
        <v>2215</v>
      </c>
      <c r="B280" s="8" t="s">
        <v>2216</v>
      </c>
      <c r="C280" s="8" t="s">
        <v>2217</v>
      </c>
      <c r="D280" s="8" t="s">
        <v>1131</v>
      </c>
      <c r="E280" s="8" t="s">
        <v>1132</v>
      </c>
      <c r="F280" s="8" t="s">
        <v>1120</v>
      </c>
      <c r="G280" s="8" t="s">
        <v>1121</v>
      </c>
      <c r="H280" s="8" t="s">
        <v>1134</v>
      </c>
      <c r="I280" s="8" t="s">
        <v>1123</v>
      </c>
      <c r="J280" s="8" t="s">
        <v>1124</v>
      </c>
      <c r="K280" s="8" t="s">
        <v>1135</v>
      </c>
      <c r="L280" s="8" t="s">
        <v>1161</v>
      </c>
      <c r="M280" s="9" t="s">
        <v>2211</v>
      </c>
    </row>
    <row r="281" spans="1:13" ht="62" customHeight="1">
      <c r="A281" s="10" t="s">
        <v>2218</v>
      </c>
      <c r="B281" s="10" t="s">
        <v>2219</v>
      </c>
      <c r="C281" s="10" t="s">
        <v>2220</v>
      </c>
      <c r="D281" s="10" t="s">
        <v>1131</v>
      </c>
      <c r="E281" s="10" t="s">
        <v>1132</v>
      </c>
      <c r="F281" s="10" t="s">
        <v>1120</v>
      </c>
      <c r="G281" s="10" t="s">
        <v>1121</v>
      </c>
      <c r="H281" s="10" t="s">
        <v>1134</v>
      </c>
      <c r="I281" s="10" t="s">
        <v>1123</v>
      </c>
      <c r="J281" s="10" t="s">
        <v>1124</v>
      </c>
      <c r="K281" s="10" t="s">
        <v>1135</v>
      </c>
      <c r="L281" s="10" t="s">
        <v>1161</v>
      </c>
      <c r="M281" s="11" t="s">
        <v>2211</v>
      </c>
    </row>
    <row r="282" spans="1:13" ht="62" customHeight="1">
      <c r="A282" s="8" t="s">
        <v>2221</v>
      </c>
      <c r="B282" s="8" t="s">
        <v>2222</v>
      </c>
      <c r="C282" s="8" t="s">
        <v>2223</v>
      </c>
      <c r="D282" s="8" t="s">
        <v>1131</v>
      </c>
      <c r="E282" s="8" t="s">
        <v>1132</v>
      </c>
      <c r="F282" s="8" t="s">
        <v>1120</v>
      </c>
      <c r="G282" s="8" t="s">
        <v>1121</v>
      </c>
      <c r="H282" s="8" t="s">
        <v>1134</v>
      </c>
      <c r="I282" s="8" t="s">
        <v>1123</v>
      </c>
      <c r="J282" s="8" t="s">
        <v>1124</v>
      </c>
      <c r="K282" s="8" t="s">
        <v>1135</v>
      </c>
      <c r="L282" s="8" t="s">
        <v>1161</v>
      </c>
      <c r="M282" s="9" t="s">
        <v>2211</v>
      </c>
    </row>
    <row r="283" spans="1:13" ht="62" customHeight="1">
      <c r="A283" s="10" t="s">
        <v>2224</v>
      </c>
      <c r="B283" s="10" t="s">
        <v>2225</v>
      </c>
      <c r="C283" s="10" t="s">
        <v>2226</v>
      </c>
      <c r="D283" s="10" t="s">
        <v>1131</v>
      </c>
      <c r="E283" s="10" t="s">
        <v>1132</v>
      </c>
      <c r="F283" s="10" t="s">
        <v>1120</v>
      </c>
      <c r="G283" s="10" t="s">
        <v>1121</v>
      </c>
      <c r="H283" s="10" t="s">
        <v>1134</v>
      </c>
      <c r="I283" s="10" t="s">
        <v>1123</v>
      </c>
      <c r="J283" s="10" t="s">
        <v>1124</v>
      </c>
      <c r="K283" s="10" t="s">
        <v>1135</v>
      </c>
      <c r="L283" s="10" t="s">
        <v>1161</v>
      </c>
      <c r="M283" s="11" t="s">
        <v>2211</v>
      </c>
    </row>
    <row r="284" spans="1:13" ht="62" customHeight="1">
      <c r="A284" s="8" t="s">
        <v>2227</v>
      </c>
      <c r="B284" s="8" t="s">
        <v>2228</v>
      </c>
      <c r="C284" s="8" t="s">
        <v>2229</v>
      </c>
      <c r="D284" s="8" t="s">
        <v>1131</v>
      </c>
      <c r="E284" s="8" t="s">
        <v>1132</v>
      </c>
      <c r="F284" s="8" t="s">
        <v>1120</v>
      </c>
      <c r="G284" s="8" t="s">
        <v>1121</v>
      </c>
      <c r="H284" s="8" t="s">
        <v>1134</v>
      </c>
      <c r="I284" s="8" t="s">
        <v>1123</v>
      </c>
      <c r="J284" s="8" t="s">
        <v>1124</v>
      </c>
      <c r="K284" s="8" t="s">
        <v>1135</v>
      </c>
      <c r="L284" s="8" t="s">
        <v>1161</v>
      </c>
      <c r="M284" s="9" t="s">
        <v>2211</v>
      </c>
    </row>
    <row r="285" spans="1:13" ht="62" customHeight="1">
      <c r="A285" s="10" t="s">
        <v>2230</v>
      </c>
      <c r="B285" s="10" t="s">
        <v>2231</v>
      </c>
      <c r="C285" s="10" t="s">
        <v>2232</v>
      </c>
      <c r="D285" s="10" t="s">
        <v>1131</v>
      </c>
      <c r="E285" s="10" t="s">
        <v>1132</v>
      </c>
      <c r="F285" s="10" t="s">
        <v>1120</v>
      </c>
      <c r="G285" s="10" t="s">
        <v>1121</v>
      </c>
      <c r="H285" s="10" t="s">
        <v>1134</v>
      </c>
      <c r="I285" s="10" t="s">
        <v>1180</v>
      </c>
      <c r="J285" s="10" t="s">
        <v>1214</v>
      </c>
      <c r="K285" s="10" t="s">
        <v>1135</v>
      </c>
      <c r="L285" s="10" t="s">
        <v>1161</v>
      </c>
      <c r="M285" s="11" t="s">
        <v>2211</v>
      </c>
    </row>
    <row r="286" spans="1:13" ht="62" customHeight="1">
      <c r="A286" s="8" t="s">
        <v>2233</v>
      </c>
      <c r="B286" s="8" t="s">
        <v>2234</v>
      </c>
      <c r="C286" s="8" t="s">
        <v>2235</v>
      </c>
      <c r="D286" s="8" t="s">
        <v>1131</v>
      </c>
      <c r="E286" s="8" t="s">
        <v>1132</v>
      </c>
      <c r="F286" s="8" t="s">
        <v>1120</v>
      </c>
      <c r="G286" s="8" t="s">
        <v>1121</v>
      </c>
      <c r="H286" s="8" t="s">
        <v>1134</v>
      </c>
      <c r="I286" s="8" t="s">
        <v>1123</v>
      </c>
      <c r="J286" s="8" t="s">
        <v>1124</v>
      </c>
      <c r="K286" s="8" t="s">
        <v>1135</v>
      </c>
      <c r="L286" s="8" t="s">
        <v>1161</v>
      </c>
      <c r="M286" s="9" t="s">
        <v>2211</v>
      </c>
    </row>
    <row r="287" spans="1:13" ht="62" customHeight="1">
      <c r="A287" s="10" t="s">
        <v>2236</v>
      </c>
      <c r="B287" s="10" t="s">
        <v>2237</v>
      </c>
      <c r="C287" s="10" t="s">
        <v>2238</v>
      </c>
      <c r="D287" s="10" t="s">
        <v>1131</v>
      </c>
      <c r="E287" s="10" t="s">
        <v>1132</v>
      </c>
      <c r="F287" s="10" t="s">
        <v>1120</v>
      </c>
      <c r="G287" s="10" t="s">
        <v>1121</v>
      </c>
      <c r="H287" s="10" t="s">
        <v>1134</v>
      </c>
      <c r="I287" s="10" t="s">
        <v>1123</v>
      </c>
      <c r="J287" s="10" t="s">
        <v>1124</v>
      </c>
      <c r="K287" s="10" t="s">
        <v>1135</v>
      </c>
      <c r="L287" s="10" t="s">
        <v>1161</v>
      </c>
      <c r="M287" s="11" t="s">
        <v>2211</v>
      </c>
    </row>
    <row r="288" spans="1:13" ht="62" customHeight="1">
      <c r="A288" s="8" t="s">
        <v>2239</v>
      </c>
      <c r="B288" s="8" t="s">
        <v>2240</v>
      </c>
      <c r="C288" s="8" t="s">
        <v>2241</v>
      </c>
      <c r="D288" s="8" t="s">
        <v>1131</v>
      </c>
      <c r="E288" s="8" t="s">
        <v>1132</v>
      </c>
      <c r="F288" s="8" t="s">
        <v>1120</v>
      </c>
      <c r="G288" s="8" t="s">
        <v>1121</v>
      </c>
      <c r="H288" s="8" t="s">
        <v>1134</v>
      </c>
      <c r="I288" s="8" t="s">
        <v>1123</v>
      </c>
      <c r="J288" s="8" t="s">
        <v>1124</v>
      </c>
      <c r="K288" s="8" t="s">
        <v>1135</v>
      </c>
      <c r="L288" s="8" t="s">
        <v>1161</v>
      </c>
      <c r="M288" s="9" t="s">
        <v>2211</v>
      </c>
    </row>
    <row r="289" spans="1:13" ht="62" customHeight="1">
      <c r="A289" s="10" t="s">
        <v>2242</v>
      </c>
      <c r="B289" s="10" t="s">
        <v>2243</v>
      </c>
      <c r="C289" s="10" t="s">
        <v>2244</v>
      </c>
      <c r="D289" s="10" t="s">
        <v>1131</v>
      </c>
      <c r="E289" s="10" t="s">
        <v>1132</v>
      </c>
      <c r="F289" s="10" t="s">
        <v>1120</v>
      </c>
      <c r="G289" s="10" t="s">
        <v>1121</v>
      </c>
      <c r="H289" s="10" t="s">
        <v>1134</v>
      </c>
      <c r="I289" s="10" t="s">
        <v>1123</v>
      </c>
      <c r="J289" s="10" t="s">
        <v>1124</v>
      </c>
      <c r="K289" s="10" t="s">
        <v>1135</v>
      </c>
      <c r="L289" s="10" t="s">
        <v>1161</v>
      </c>
      <c r="M289" s="11" t="s">
        <v>2211</v>
      </c>
    </row>
    <row r="290" spans="1:13" ht="62" customHeight="1">
      <c r="A290" s="8" t="s">
        <v>2245</v>
      </c>
      <c r="B290" s="8" t="s">
        <v>2246</v>
      </c>
      <c r="C290" s="8" t="s">
        <v>2247</v>
      </c>
      <c r="D290" s="8" t="s">
        <v>1131</v>
      </c>
      <c r="E290" s="8" t="s">
        <v>1132</v>
      </c>
      <c r="F290" s="8" t="s">
        <v>1120</v>
      </c>
      <c r="G290" s="8" t="s">
        <v>1121</v>
      </c>
      <c r="H290" s="8" t="s">
        <v>1134</v>
      </c>
      <c r="I290" s="8" t="s">
        <v>1123</v>
      </c>
      <c r="J290" s="8" t="s">
        <v>1124</v>
      </c>
      <c r="K290" s="8" t="s">
        <v>1135</v>
      </c>
      <c r="L290" s="8" t="s">
        <v>1161</v>
      </c>
      <c r="M290" s="9" t="s">
        <v>2211</v>
      </c>
    </row>
    <row r="291" spans="1:13" ht="62" customHeight="1">
      <c r="A291" s="10" t="s">
        <v>2248</v>
      </c>
      <c r="B291" s="10" t="s">
        <v>2249</v>
      </c>
      <c r="C291" s="10" t="s">
        <v>2250</v>
      </c>
      <c r="D291" s="10" t="s">
        <v>1131</v>
      </c>
      <c r="E291" s="10" t="s">
        <v>1276</v>
      </c>
      <c r="F291" s="10" t="s">
        <v>1120</v>
      </c>
      <c r="G291" s="10" t="s">
        <v>1121</v>
      </c>
      <c r="H291" s="10" t="s">
        <v>1134</v>
      </c>
      <c r="I291" s="10" t="s">
        <v>1141</v>
      </c>
      <c r="J291" s="10" t="s">
        <v>2210</v>
      </c>
      <c r="K291" s="10" t="s">
        <v>1125</v>
      </c>
      <c r="L291" s="10" t="s">
        <v>1161</v>
      </c>
      <c r="M291" s="11" t="s">
        <v>2211</v>
      </c>
    </row>
    <row r="292" spans="1:13" ht="62" customHeight="1">
      <c r="A292" s="8" t="s">
        <v>2251</v>
      </c>
      <c r="B292" s="8" t="s">
        <v>2252</v>
      </c>
      <c r="C292" s="8" t="s">
        <v>2253</v>
      </c>
      <c r="D292" s="8" t="s">
        <v>1131</v>
      </c>
      <c r="E292" s="8" t="s">
        <v>1276</v>
      </c>
      <c r="F292" s="8" t="s">
        <v>1120</v>
      </c>
      <c r="G292" s="8" t="s">
        <v>1121</v>
      </c>
      <c r="H292" s="8" t="s">
        <v>1134</v>
      </c>
      <c r="I292" s="8" t="s">
        <v>1141</v>
      </c>
      <c r="J292" s="8" t="s">
        <v>2210</v>
      </c>
      <c r="K292" s="8" t="s">
        <v>1125</v>
      </c>
      <c r="L292" s="8" t="s">
        <v>1161</v>
      </c>
      <c r="M292" s="9" t="s">
        <v>2211</v>
      </c>
    </row>
    <row r="293" spans="1:13" ht="62" customHeight="1">
      <c r="A293" s="10" t="s">
        <v>2254</v>
      </c>
      <c r="B293" s="10" t="s">
        <v>2255</v>
      </c>
      <c r="C293" s="10" t="s">
        <v>2256</v>
      </c>
      <c r="D293" s="10" t="s">
        <v>1131</v>
      </c>
      <c r="E293" s="10" t="s">
        <v>1276</v>
      </c>
      <c r="F293" s="10" t="s">
        <v>1120</v>
      </c>
      <c r="G293" s="10" t="s">
        <v>1121</v>
      </c>
      <c r="H293" s="10" t="s">
        <v>1134</v>
      </c>
      <c r="I293" s="10" t="s">
        <v>1141</v>
      </c>
      <c r="J293" s="10" t="s">
        <v>2257</v>
      </c>
      <c r="K293" s="10" t="s">
        <v>1125</v>
      </c>
      <c r="L293" s="10" t="s">
        <v>1161</v>
      </c>
      <c r="M293" s="11" t="s">
        <v>2211</v>
      </c>
    </row>
    <row r="294" spans="1:13" ht="62" customHeight="1">
      <c r="A294" s="8" t="s">
        <v>2258</v>
      </c>
      <c r="B294" s="8" t="s">
        <v>2259</v>
      </c>
      <c r="C294" s="8" t="s">
        <v>2260</v>
      </c>
      <c r="D294" s="8" t="s">
        <v>1131</v>
      </c>
      <c r="E294" s="8" t="s">
        <v>1276</v>
      </c>
      <c r="F294" s="8" t="s">
        <v>1120</v>
      </c>
      <c r="G294" s="8" t="s">
        <v>1121</v>
      </c>
      <c r="H294" s="8" t="s">
        <v>1134</v>
      </c>
      <c r="I294" s="8" t="s">
        <v>1141</v>
      </c>
      <c r="J294" s="8" t="s">
        <v>2210</v>
      </c>
      <c r="K294" s="8" t="s">
        <v>1125</v>
      </c>
      <c r="L294" s="8" t="s">
        <v>1161</v>
      </c>
      <c r="M294" s="9" t="s">
        <v>2211</v>
      </c>
    </row>
    <row r="295" spans="1:13" ht="62" customHeight="1">
      <c r="A295" s="10" t="s">
        <v>2261</v>
      </c>
      <c r="B295" s="10" t="s">
        <v>2262</v>
      </c>
      <c r="C295" s="10" t="s">
        <v>2263</v>
      </c>
      <c r="D295" s="10" t="s">
        <v>1131</v>
      </c>
      <c r="E295" s="10" t="s">
        <v>1276</v>
      </c>
      <c r="F295" s="10" t="s">
        <v>1120</v>
      </c>
      <c r="G295" s="10" t="s">
        <v>1121</v>
      </c>
      <c r="H295" s="10" t="s">
        <v>1134</v>
      </c>
      <c r="I295" s="10" t="s">
        <v>1141</v>
      </c>
      <c r="J295" s="10" t="s">
        <v>2257</v>
      </c>
      <c r="K295" s="10" t="s">
        <v>1125</v>
      </c>
      <c r="L295" s="10" t="s">
        <v>1161</v>
      </c>
      <c r="M295" s="11" t="s">
        <v>2211</v>
      </c>
    </row>
    <row r="296" spans="1:13" ht="62" customHeight="1">
      <c r="A296" s="8" t="s">
        <v>2264</v>
      </c>
      <c r="B296" s="8" t="s">
        <v>2265</v>
      </c>
      <c r="C296" s="8" t="s">
        <v>2266</v>
      </c>
      <c r="D296" s="8" t="s">
        <v>1131</v>
      </c>
      <c r="E296" s="8" t="s">
        <v>1276</v>
      </c>
      <c r="F296" s="8" t="s">
        <v>1120</v>
      </c>
      <c r="G296" s="8" t="s">
        <v>1121</v>
      </c>
      <c r="H296" s="8" t="s">
        <v>1134</v>
      </c>
      <c r="I296" s="8" t="s">
        <v>1141</v>
      </c>
      <c r="J296" s="8" t="s">
        <v>2210</v>
      </c>
      <c r="K296" s="8" t="s">
        <v>1125</v>
      </c>
      <c r="L296" s="8" t="s">
        <v>1161</v>
      </c>
      <c r="M296" s="9" t="s">
        <v>2211</v>
      </c>
    </row>
    <row r="297" spans="1:13" ht="62" customHeight="1">
      <c r="A297" s="10" t="s">
        <v>2267</v>
      </c>
      <c r="B297" s="10" t="s">
        <v>2268</v>
      </c>
      <c r="C297" s="10" t="s">
        <v>2269</v>
      </c>
      <c r="D297" s="10" t="s">
        <v>1131</v>
      </c>
      <c r="E297" s="10" t="s">
        <v>1276</v>
      </c>
      <c r="F297" s="10" t="s">
        <v>1120</v>
      </c>
      <c r="G297" s="10" t="s">
        <v>1121</v>
      </c>
      <c r="H297" s="10" t="s">
        <v>1134</v>
      </c>
      <c r="I297" s="10" t="s">
        <v>1141</v>
      </c>
      <c r="J297" s="10" t="s">
        <v>2257</v>
      </c>
      <c r="K297" s="10" t="s">
        <v>1125</v>
      </c>
      <c r="L297" s="10" t="s">
        <v>1161</v>
      </c>
      <c r="M297" s="11" t="s">
        <v>2211</v>
      </c>
    </row>
    <row r="298" spans="1:13" ht="62" customHeight="1">
      <c r="A298" s="8" t="s">
        <v>2270</v>
      </c>
      <c r="B298" s="8" t="s">
        <v>2271</v>
      </c>
      <c r="C298" s="8" t="s">
        <v>2272</v>
      </c>
      <c r="D298" s="8" t="s">
        <v>1131</v>
      </c>
      <c r="E298" s="8" t="s">
        <v>1276</v>
      </c>
      <c r="F298" s="8" t="s">
        <v>1120</v>
      </c>
      <c r="G298" s="8" t="s">
        <v>1121</v>
      </c>
      <c r="H298" s="8" t="s">
        <v>1134</v>
      </c>
      <c r="I298" s="8" t="s">
        <v>1141</v>
      </c>
      <c r="J298" s="8" t="s">
        <v>2210</v>
      </c>
      <c r="K298" s="8" t="s">
        <v>1125</v>
      </c>
      <c r="L298" s="8" t="s">
        <v>1161</v>
      </c>
      <c r="M298" s="9" t="s">
        <v>2211</v>
      </c>
    </row>
    <row r="299" spans="1:13" ht="62" customHeight="1">
      <c r="A299" s="10" t="s">
        <v>2273</v>
      </c>
      <c r="B299" s="10" t="s">
        <v>2274</v>
      </c>
      <c r="C299" s="10" t="s">
        <v>2275</v>
      </c>
      <c r="D299" s="10" t="s">
        <v>1131</v>
      </c>
      <c r="E299" s="10" t="s">
        <v>1276</v>
      </c>
      <c r="F299" s="10" t="s">
        <v>1120</v>
      </c>
      <c r="G299" s="10" t="s">
        <v>1121</v>
      </c>
      <c r="H299" s="10" t="s">
        <v>1134</v>
      </c>
      <c r="I299" s="10" t="s">
        <v>1141</v>
      </c>
      <c r="J299" s="10" t="s">
        <v>2257</v>
      </c>
      <c r="K299" s="10" t="s">
        <v>1125</v>
      </c>
      <c r="L299" s="10" t="s">
        <v>1161</v>
      </c>
      <c r="M299" s="11" t="s">
        <v>2211</v>
      </c>
    </row>
    <row r="300" spans="1:13" ht="62" customHeight="1">
      <c r="A300" s="8" t="s">
        <v>2276</v>
      </c>
      <c r="B300" s="8" t="s">
        <v>2277</v>
      </c>
      <c r="C300" s="8" t="s">
        <v>2278</v>
      </c>
      <c r="D300" s="8" t="s">
        <v>1131</v>
      </c>
      <c r="E300" s="8" t="s">
        <v>2209</v>
      </c>
      <c r="F300" s="8" t="s">
        <v>1120</v>
      </c>
      <c r="G300" s="8" t="s">
        <v>1121</v>
      </c>
      <c r="H300" s="8" t="s">
        <v>1134</v>
      </c>
      <c r="I300" s="8" t="s">
        <v>1141</v>
      </c>
      <c r="J300" s="8" t="s">
        <v>2210</v>
      </c>
      <c r="K300" s="8" t="s">
        <v>1125</v>
      </c>
      <c r="L300" s="8" t="s">
        <v>1161</v>
      </c>
      <c r="M300" s="9" t="s">
        <v>2211</v>
      </c>
    </row>
    <row r="301" spans="1:13" ht="62" customHeight="1">
      <c r="A301" s="10" t="s">
        <v>2279</v>
      </c>
      <c r="B301" s="10" t="s">
        <v>2280</v>
      </c>
      <c r="C301" s="10" t="s">
        <v>2281</v>
      </c>
      <c r="D301" s="10" t="s">
        <v>1131</v>
      </c>
      <c r="E301" s="10" t="s">
        <v>1132</v>
      </c>
      <c r="F301" s="10" t="s">
        <v>1120</v>
      </c>
      <c r="G301" s="10" t="s">
        <v>1121</v>
      </c>
      <c r="H301" s="10" t="s">
        <v>1134</v>
      </c>
      <c r="I301" s="10" t="s">
        <v>1180</v>
      </c>
      <c r="J301" s="10" t="s">
        <v>1205</v>
      </c>
      <c r="K301" s="10" t="s">
        <v>1135</v>
      </c>
      <c r="L301" s="10" t="s">
        <v>1161</v>
      </c>
      <c r="M301" s="11" t="s">
        <v>2211</v>
      </c>
    </row>
    <row r="302" spans="1:13" ht="62" customHeight="1">
      <c r="A302" s="8" t="s">
        <v>2282</v>
      </c>
      <c r="B302" s="8" t="s">
        <v>2283</v>
      </c>
      <c r="C302" s="8" t="s">
        <v>2284</v>
      </c>
      <c r="D302" s="8" t="s">
        <v>1131</v>
      </c>
      <c r="E302" s="8" t="s">
        <v>2285</v>
      </c>
      <c r="F302" s="8" t="s">
        <v>1120</v>
      </c>
      <c r="G302" s="8" t="s">
        <v>1121</v>
      </c>
      <c r="H302" s="8" t="s">
        <v>1134</v>
      </c>
      <c r="I302" s="8" t="s">
        <v>1141</v>
      </c>
      <c r="J302" s="8" t="s">
        <v>2286</v>
      </c>
      <c r="K302" s="8" t="s">
        <v>1125</v>
      </c>
      <c r="L302" s="8" t="s">
        <v>1161</v>
      </c>
      <c r="M302" s="9" t="s">
        <v>2211</v>
      </c>
    </row>
    <row r="303" spans="1:13" ht="62" customHeight="1">
      <c r="A303" s="10" t="s">
        <v>2287</v>
      </c>
      <c r="B303" s="10" t="s">
        <v>2288</v>
      </c>
      <c r="C303" s="10" t="s">
        <v>2289</v>
      </c>
      <c r="D303" s="10" t="s">
        <v>1131</v>
      </c>
      <c r="E303" s="10" t="s">
        <v>2209</v>
      </c>
      <c r="F303" s="10" t="s">
        <v>1120</v>
      </c>
      <c r="G303" s="10" t="s">
        <v>1121</v>
      </c>
      <c r="H303" s="10" t="s">
        <v>1134</v>
      </c>
      <c r="I303" s="10" t="s">
        <v>1141</v>
      </c>
      <c r="J303" s="10" t="s">
        <v>2210</v>
      </c>
      <c r="K303" s="10" t="s">
        <v>1125</v>
      </c>
      <c r="L303" s="10" t="s">
        <v>1161</v>
      </c>
      <c r="M303" s="11" t="s">
        <v>2211</v>
      </c>
    </row>
    <row r="304" spans="1:13" ht="62" customHeight="1">
      <c r="A304" s="8" t="s">
        <v>2290</v>
      </c>
      <c r="B304" s="8" t="s">
        <v>2291</v>
      </c>
      <c r="C304" s="8" t="s">
        <v>2292</v>
      </c>
      <c r="D304" s="8" t="s">
        <v>1131</v>
      </c>
      <c r="E304" s="8" t="s">
        <v>1548</v>
      </c>
      <c r="F304" s="8" t="s">
        <v>1120</v>
      </c>
      <c r="G304" s="8" t="s">
        <v>1121</v>
      </c>
      <c r="H304" s="8" t="s">
        <v>1134</v>
      </c>
      <c r="I304" s="8" t="s">
        <v>1141</v>
      </c>
      <c r="J304" s="8" t="s">
        <v>2210</v>
      </c>
      <c r="K304" s="8" t="s">
        <v>1125</v>
      </c>
      <c r="L304" s="8" t="s">
        <v>1161</v>
      </c>
      <c r="M304" s="9" t="s">
        <v>2211</v>
      </c>
    </row>
    <row r="305" spans="1:13" ht="62" customHeight="1">
      <c r="A305" s="10" t="s">
        <v>2293</v>
      </c>
      <c r="B305" s="10" t="s">
        <v>2294</v>
      </c>
      <c r="C305" s="10" t="s">
        <v>2295</v>
      </c>
      <c r="D305" s="10" t="s">
        <v>1131</v>
      </c>
      <c r="E305" s="10" t="s">
        <v>2153</v>
      </c>
      <c r="F305" s="10" t="s">
        <v>1120</v>
      </c>
      <c r="G305" s="10" t="s">
        <v>1121</v>
      </c>
      <c r="H305" s="10" t="s">
        <v>1122</v>
      </c>
      <c r="I305" s="10" t="s">
        <v>1141</v>
      </c>
      <c r="J305" s="10" t="s">
        <v>2058</v>
      </c>
      <c r="K305" s="10" t="s">
        <v>1125</v>
      </c>
      <c r="L305" s="10" t="s">
        <v>1126</v>
      </c>
      <c r="M305" s="11" t="s">
        <v>2211</v>
      </c>
    </row>
    <row r="306" spans="1:13" ht="62" customHeight="1">
      <c r="A306" s="8" t="s">
        <v>2296</v>
      </c>
      <c r="B306" s="8" t="s">
        <v>2297</v>
      </c>
      <c r="C306" s="8" t="s">
        <v>2298</v>
      </c>
      <c r="D306" s="8" t="s">
        <v>1131</v>
      </c>
      <c r="E306" s="8" t="s">
        <v>2299</v>
      </c>
      <c r="F306" s="8" t="s">
        <v>1120</v>
      </c>
      <c r="G306" s="8" t="s">
        <v>1121</v>
      </c>
      <c r="H306" s="8" t="s">
        <v>1134</v>
      </c>
      <c r="I306" s="8" t="s">
        <v>1141</v>
      </c>
      <c r="J306" s="8" t="s">
        <v>2286</v>
      </c>
      <c r="K306" s="8" t="s">
        <v>1125</v>
      </c>
      <c r="L306" s="8" t="s">
        <v>1161</v>
      </c>
      <c r="M306" s="9" t="s">
        <v>2211</v>
      </c>
    </row>
    <row r="307" spans="1:13" ht="62" customHeight="1">
      <c r="A307" s="10" t="s">
        <v>2300</v>
      </c>
      <c r="B307" s="10" t="s">
        <v>2301</v>
      </c>
      <c r="C307" s="10" t="s">
        <v>2302</v>
      </c>
      <c r="D307" s="10" t="s">
        <v>1131</v>
      </c>
      <c r="E307" s="10" t="s">
        <v>1291</v>
      </c>
      <c r="F307" s="10" t="s">
        <v>1120</v>
      </c>
      <c r="G307" s="10" t="s">
        <v>1121</v>
      </c>
      <c r="H307" s="10" t="s">
        <v>1134</v>
      </c>
      <c r="I307" s="10" t="s">
        <v>1141</v>
      </c>
      <c r="J307" s="10" t="s">
        <v>2058</v>
      </c>
      <c r="K307" s="10" t="s">
        <v>1125</v>
      </c>
      <c r="L307" s="10" t="s">
        <v>1161</v>
      </c>
      <c r="M307" s="11" t="s">
        <v>2211</v>
      </c>
    </row>
    <row r="308" spans="1:13" ht="62" customHeight="1">
      <c r="A308" s="8" t="s">
        <v>2303</v>
      </c>
      <c r="B308" s="8" t="s">
        <v>2304</v>
      </c>
      <c r="C308" s="8" t="s">
        <v>2305</v>
      </c>
      <c r="D308" s="8" t="s">
        <v>1131</v>
      </c>
      <c r="E308" s="8" t="s">
        <v>2209</v>
      </c>
      <c r="F308" s="8" t="s">
        <v>1120</v>
      </c>
      <c r="G308" s="8" t="s">
        <v>1121</v>
      </c>
      <c r="H308" s="8" t="s">
        <v>1134</v>
      </c>
      <c r="I308" s="8" t="s">
        <v>1141</v>
      </c>
      <c r="J308" s="8" t="s">
        <v>2210</v>
      </c>
      <c r="K308" s="8" t="s">
        <v>1125</v>
      </c>
      <c r="L308" s="8" t="s">
        <v>1161</v>
      </c>
      <c r="M308" s="9" t="s">
        <v>2211</v>
      </c>
    </row>
    <row r="309" spans="1:13" ht="62" customHeight="1">
      <c r="A309" s="10" t="s">
        <v>2306</v>
      </c>
      <c r="B309" s="10" t="s">
        <v>2307</v>
      </c>
      <c r="C309" s="10" t="s">
        <v>2308</v>
      </c>
      <c r="D309" s="10" t="s">
        <v>1131</v>
      </c>
      <c r="E309" s="10" t="s">
        <v>1276</v>
      </c>
      <c r="F309" s="10" t="s">
        <v>1120</v>
      </c>
      <c r="G309" s="10" t="s">
        <v>1121</v>
      </c>
      <c r="H309" s="10" t="s">
        <v>1134</v>
      </c>
      <c r="I309" s="10" t="s">
        <v>1141</v>
      </c>
      <c r="J309" s="10" t="s">
        <v>2210</v>
      </c>
      <c r="K309" s="10" t="s">
        <v>1125</v>
      </c>
      <c r="L309" s="10" t="s">
        <v>1161</v>
      </c>
      <c r="M309" s="11" t="s">
        <v>2211</v>
      </c>
    </row>
    <row r="310" spans="1:13" ht="62" customHeight="1">
      <c r="A310" s="8" t="s">
        <v>2309</v>
      </c>
      <c r="B310" s="8" t="s">
        <v>2310</v>
      </c>
      <c r="C310" s="8" t="s">
        <v>2311</v>
      </c>
      <c r="D310" s="8" t="s">
        <v>1131</v>
      </c>
      <c r="E310" s="8" t="s">
        <v>2312</v>
      </c>
      <c r="F310" s="8" t="s">
        <v>1120</v>
      </c>
      <c r="G310" s="8" t="s">
        <v>1121</v>
      </c>
      <c r="H310" s="8" t="s">
        <v>1134</v>
      </c>
      <c r="I310" s="8" t="s">
        <v>1141</v>
      </c>
      <c r="J310" s="8" t="s">
        <v>2257</v>
      </c>
      <c r="K310" s="8" t="s">
        <v>1125</v>
      </c>
      <c r="L310" s="8" t="s">
        <v>1161</v>
      </c>
      <c r="M310" s="9" t="s">
        <v>2211</v>
      </c>
    </row>
    <row r="311" spans="1:13" ht="62" customHeight="1">
      <c r="A311" s="10" t="s">
        <v>2313</v>
      </c>
      <c r="B311" s="10" t="s">
        <v>2314</v>
      </c>
      <c r="C311" s="10" t="s">
        <v>2315</v>
      </c>
      <c r="D311" s="10" t="s">
        <v>1131</v>
      </c>
      <c r="E311" s="10" t="s">
        <v>2209</v>
      </c>
      <c r="F311" s="10" t="s">
        <v>1120</v>
      </c>
      <c r="G311" s="10" t="s">
        <v>1121</v>
      </c>
      <c r="H311" s="10" t="s">
        <v>1134</v>
      </c>
      <c r="I311" s="10" t="s">
        <v>1141</v>
      </c>
      <c r="J311" s="10" t="s">
        <v>2316</v>
      </c>
      <c r="K311" s="10" t="s">
        <v>1125</v>
      </c>
      <c r="L311" s="10" t="s">
        <v>1161</v>
      </c>
      <c r="M311" s="11" t="s">
        <v>2211</v>
      </c>
    </row>
    <row r="312" spans="1:13" ht="62" customHeight="1">
      <c r="A312" s="8" t="s">
        <v>2317</v>
      </c>
      <c r="B312" s="8" t="s">
        <v>2318</v>
      </c>
      <c r="C312" s="8" t="s">
        <v>2319</v>
      </c>
      <c r="D312" s="8" t="s">
        <v>1131</v>
      </c>
      <c r="E312" s="8" t="s">
        <v>2320</v>
      </c>
      <c r="F312" s="8" t="s">
        <v>1120</v>
      </c>
      <c r="G312" s="8" t="s">
        <v>1121</v>
      </c>
      <c r="H312" s="8" t="s">
        <v>1134</v>
      </c>
      <c r="I312" s="8" t="s">
        <v>1141</v>
      </c>
      <c r="J312" s="8" t="s">
        <v>2286</v>
      </c>
      <c r="K312" s="8" t="s">
        <v>1125</v>
      </c>
      <c r="L312" s="8" t="s">
        <v>1161</v>
      </c>
      <c r="M312" s="9" t="s">
        <v>2211</v>
      </c>
    </row>
    <row r="313" spans="1:13" ht="62" customHeight="1">
      <c r="A313" s="10" t="s">
        <v>2321</v>
      </c>
      <c r="B313" s="10" t="s">
        <v>2322</v>
      </c>
      <c r="C313" s="10" t="s">
        <v>2323</v>
      </c>
      <c r="D313" s="10" t="s">
        <v>1131</v>
      </c>
      <c r="E313" s="10" t="s">
        <v>2209</v>
      </c>
      <c r="F313" s="10" t="s">
        <v>1120</v>
      </c>
      <c r="G313" s="10" t="s">
        <v>1121</v>
      </c>
      <c r="H313" s="10" t="s">
        <v>1134</v>
      </c>
      <c r="I313" s="10" t="s">
        <v>1141</v>
      </c>
      <c r="J313" s="10" t="s">
        <v>2316</v>
      </c>
      <c r="K313" s="10" t="s">
        <v>1125</v>
      </c>
      <c r="L313" s="10" t="s">
        <v>1161</v>
      </c>
      <c r="M313" s="11" t="s">
        <v>2211</v>
      </c>
    </row>
    <row r="314" spans="1:13" ht="62" customHeight="1">
      <c r="A314" s="8" t="s">
        <v>2324</v>
      </c>
      <c r="B314" s="8" t="s">
        <v>2325</v>
      </c>
      <c r="C314" s="8" t="s">
        <v>2326</v>
      </c>
      <c r="D314" s="8" t="s">
        <v>1131</v>
      </c>
      <c r="E314" s="8" t="s">
        <v>2209</v>
      </c>
      <c r="F314" s="8" t="s">
        <v>1120</v>
      </c>
      <c r="G314" s="8" t="s">
        <v>1121</v>
      </c>
      <c r="H314" s="8" t="s">
        <v>1134</v>
      </c>
      <c r="I314" s="8" t="s">
        <v>1141</v>
      </c>
      <c r="J314" s="8" t="s">
        <v>2210</v>
      </c>
      <c r="K314" s="8" t="s">
        <v>1125</v>
      </c>
      <c r="L314" s="8" t="s">
        <v>1161</v>
      </c>
      <c r="M314" s="9" t="s">
        <v>2211</v>
      </c>
    </row>
    <row r="315" spans="1:13" ht="62" customHeight="1">
      <c r="A315" s="10" t="s">
        <v>2327</v>
      </c>
      <c r="B315" s="10" t="s">
        <v>2328</v>
      </c>
      <c r="C315" s="10" t="s">
        <v>2329</v>
      </c>
      <c r="D315" s="10" t="s">
        <v>1131</v>
      </c>
      <c r="E315" s="10" t="s">
        <v>2209</v>
      </c>
      <c r="F315" s="10" t="s">
        <v>1120</v>
      </c>
      <c r="G315" s="10" t="s">
        <v>1121</v>
      </c>
      <c r="H315" s="10" t="s">
        <v>1134</v>
      </c>
      <c r="I315" s="10" t="s">
        <v>1141</v>
      </c>
      <c r="J315" s="10" t="s">
        <v>2210</v>
      </c>
      <c r="K315" s="10" t="s">
        <v>1125</v>
      </c>
      <c r="L315" s="10" t="s">
        <v>1161</v>
      </c>
      <c r="M315" s="11" t="s">
        <v>2211</v>
      </c>
    </row>
    <row r="316" spans="1:13" ht="62" customHeight="1">
      <c r="A316" s="8" t="s">
        <v>2330</v>
      </c>
      <c r="B316" s="8" t="s">
        <v>2331</v>
      </c>
      <c r="C316" s="8" t="s">
        <v>2332</v>
      </c>
      <c r="D316" s="8" t="s">
        <v>1131</v>
      </c>
      <c r="E316" s="8" t="s">
        <v>1459</v>
      </c>
      <c r="F316" s="8" t="s">
        <v>1120</v>
      </c>
      <c r="G316" s="8" t="s">
        <v>1121</v>
      </c>
      <c r="H316" s="8" t="s">
        <v>1134</v>
      </c>
      <c r="I316" s="8" t="s">
        <v>1141</v>
      </c>
      <c r="J316" s="8" t="s">
        <v>2286</v>
      </c>
      <c r="K316" s="8" t="s">
        <v>1125</v>
      </c>
      <c r="L316" s="8" t="s">
        <v>1161</v>
      </c>
      <c r="M316" s="9" t="s">
        <v>2211</v>
      </c>
    </row>
    <row r="317" spans="1:13" ht="62" customHeight="1">
      <c r="A317" s="10" t="s">
        <v>2333</v>
      </c>
      <c r="B317" s="10" t="s">
        <v>2334</v>
      </c>
      <c r="C317" s="10" t="s">
        <v>2335</v>
      </c>
      <c r="D317" s="10" t="s">
        <v>1131</v>
      </c>
      <c r="E317" s="10" t="s">
        <v>1276</v>
      </c>
      <c r="F317" s="10" t="s">
        <v>1120</v>
      </c>
      <c r="G317" s="10" t="s">
        <v>1121</v>
      </c>
      <c r="H317" s="10" t="s">
        <v>1134</v>
      </c>
      <c r="I317" s="10" t="s">
        <v>1141</v>
      </c>
      <c r="J317" s="10" t="s">
        <v>2316</v>
      </c>
      <c r="K317" s="10" t="s">
        <v>1125</v>
      </c>
      <c r="L317" s="10" t="s">
        <v>1161</v>
      </c>
      <c r="M317" s="11" t="s">
        <v>2211</v>
      </c>
    </row>
    <row r="318" spans="1:13" ht="62" customHeight="1">
      <c r="A318" s="8" t="s">
        <v>2336</v>
      </c>
      <c r="B318" s="8" t="s">
        <v>2337</v>
      </c>
      <c r="C318" s="8" t="s">
        <v>2338</v>
      </c>
      <c r="D318" s="8" t="s">
        <v>1131</v>
      </c>
      <c r="E318" s="8" t="s">
        <v>1420</v>
      </c>
      <c r="F318" s="8" t="s">
        <v>1120</v>
      </c>
      <c r="G318" s="8" t="s">
        <v>1121</v>
      </c>
      <c r="H318" s="8" t="s">
        <v>1134</v>
      </c>
      <c r="I318" s="8" t="s">
        <v>1141</v>
      </c>
      <c r="J318" s="8" t="s">
        <v>2286</v>
      </c>
      <c r="K318" s="8" t="s">
        <v>1125</v>
      </c>
      <c r="L318" s="8" t="s">
        <v>1161</v>
      </c>
      <c r="M318" s="9" t="s">
        <v>2211</v>
      </c>
    </row>
    <row r="319" spans="1:13" ht="62" customHeight="1">
      <c r="A319" s="10" t="s">
        <v>2339</v>
      </c>
      <c r="B319" s="10" t="s">
        <v>2340</v>
      </c>
      <c r="C319" s="10" t="s">
        <v>2341</v>
      </c>
      <c r="D319" s="10" t="s">
        <v>1131</v>
      </c>
      <c r="E319" s="10" t="s">
        <v>2209</v>
      </c>
      <c r="F319" s="10" t="s">
        <v>1120</v>
      </c>
      <c r="G319" s="10" t="s">
        <v>1121</v>
      </c>
      <c r="H319" s="10" t="s">
        <v>1134</v>
      </c>
      <c r="I319" s="10" t="s">
        <v>1141</v>
      </c>
      <c r="J319" s="10" t="s">
        <v>2210</v>
      </c>
      <c r="K319" s="10" t="s">
        <v>1125</v>
      </c>
      <c r="L319" s="10" t="s">
        <v>1161</v>
      </c>
      <c r="M319" s="11" t="s">
        <v>2211</v>
      </c>
    </row>
    <row r="320" spans="1:13" ht="62" customHeight="1">
      <c r="A320" s="8" t="s">
        <v>2342</v>
      </c>
      <c r="B320" s="8" t="s">
        <v>2343</v>
      </c>
      <c r="C320" s="8" t="s">
        <v>2344</v>
      </c>
      <c r="D320" s="8" t="s">
        <v>1131</v>
      </c>
      <c r="E320" s="8" t="s">
        <v>1548</v>
      </c>
      <c r="F320" s="8" t="s">
        <v>1120</v>
      </c>
      <c r="G320" s="8" t="s">
        <v>1121</v>
      </c>
      <c r="H320" s="8" t="s">
        <v>1134</v>
      </c>
      <c r="I320" s="8" t="s">
        <v>1141</v>
      </c>
      <c r="J320" s="8" t="s">
        <v>2210</v>
      </c>
      <c r="K320" s="8" t="s">
        <v>1125</v>
      </c>
      <c r="L320" s="8" t="s">
        <v>1161</v>
      </c>
      <c r="M320" s="9" t="s">
        <v>2211</v>
      </c>
    </row>
    <row r="321" spans="1:13" ht="62" customHeight="1">
      <c r="A321" s="10" t="s">
        <v>2345</v>
      </c>
      <c r="B321" s="10" t="s">
        <v>2346</v>
      </c>
      <c r="C321" s="10" t="s">
        <v>2347</v>
      </c>
      <c r="D321" s="10" t="s">
        <v>1131</v>
      </c>
      <c r="E321" s="10" t="s">
        <v>2348</v>
      </c>
      <c r="F321" s="10" t="s">
        <v>1120</v>
      </c>
      <c r="G321" s="10" t="s">
        <v>1121</v>
      </c>
      <c r="H321" s="10" t="s">
        <v>1134</v>
      </c>
      <c r="I321" s="10" t="s">
        <v>1141</v>
      </c>
      <c r="J321" s="10" t="s">
        <v>2286</v>
      </c>
      <c r="K321" s="10" t="s">
        <v>1125</v>
      </c>
      <c r="L321" s="10" t="s">
        <v>1161</v>
      </c>
      <c r="M321" s="11" t="s">
        <v>2211</v>
      </c>
    </row>
    <row r="322" spans="1:13" ht="62" customHeight="1">
      <c r="A322" s="8" t="s">
        <v>2349</v>
      </c>
      <c r="B322" s="8" t="s">
        <v>2350</v>
      </c>
      <c r="C322" s="8" t="s">
        <v>2351</v>
      </c>
      <c r="D322" s="8" t="s">
        <v>1131</v>
      </c>
      <c r="E322" s="8" t="s">
        <v>1132</v>
      </c>
      <c r="F322" s="8" t="s">
        <v>1120</v>
      </c>
      <c r="G322" s="8" t="s">
        <v>1121</v>
      </c>
      <c r="H322" s="8" t="s">
        <v>1134</v>
      </c>
      <c r="I322" s="8" t="s">
        <v>1141</v>
      </c>
      <c r="J322" s="8" t="s">
        <v>2286</v>
      </c>
      <c r="K322" s="8" t="s">
        <v>1135</v>
      </c>
      <c r="L322" s="8" t="s">
        <v>1161</v>
      </c>
      <c r="M322" s="9" t="s">
        <v>2211</v>
      </c>
    </row>
    <row r="323" spans="1:13" ht="62" customHeight="1">
      <c r="A323" s="10" t="s">
        <v>2352</v>
      </c>
      <c r="B323" s="10" t="s">
        <v>2353</v>
      </c>
      <c r="C323" s="10" t="s">
        <v>2354</v>
      </c>
      <c r="D323" s="10" t="s">
        <v>1131</v>
      </c>
      <c r="E323" s="10" t="s">
        <v>1420</v>
      </c>
      <c r="F323" s="10" t="s">
        <v>1120</v>
      </c>
      <c r="G323" s="10" t="s">
        <v>1121</v>
      </c>
      <c r="H323" s="10" t="s">
        <v>1134</v>
      </c>
      <c r="I323" s="10" t="s">
        <v>1141</v>
      </c>
      <c r="J323" s="10" t="s">
        <v>1811</v>
      </c>
      <c r="K323" s="10" t="s">
        <v>1125</v>
      </c>
      <c r="L323" s="10" t="s">
        <v>1161</v>
      </c>
      <c r="M323" s="11" t="s">
        <v>2211</v>
      </c>
    </row>
    <row r="324" spans="1:13" ht="62" customHeight="1">
      <c r="A324" s="8" t="s">
        <v>2355</v>
      </c>
      <c r="B324" s="8" t="s">
        <v>2356</v>
      </c>
      <c r="C324" s="8" t="s">
        <v>2357</v>
      </c>
      <c r="D324" s="8" t="s">
        <v>1131</v>
      </c>
      <c r="E324" s="8" t="s">
        <v>2209</v>
      </c>
      <c r="F324" s="8" t="s">
        <v>1120</v>
      </c>
      <c r="G324" s="8" t="s">
        <v>1121</v>
      </c>
      <c r="H324" s="8" t="s">
        <v>1134</v>
      </c>
      <c r="I324" s="8" t="s">
        <v>1141</v>
      </c>
      <c r="J324" s="8" t="s">
        <v>2210</v>
      </c>
      <c r="K324" s="8" t="s">
        <v>1125</v>
      </c>
      <c r="L324" s="8" t="s">
        <v>1161</v>
      </c>
      <c r="M324" s="9" t="s">
        <v>2211</v>
      </c>
    </row>
    <row r="325" spans="1:13" ht="62" customHeight="1">
      <c r="A325" s="10" t="s">
        <v>2358</v>
      </c>
      <c r="B325" s="10" t="s">
        <v>2359</v>
      </c>
      <c r="C325" s="10" t="s">
        <v>2360</v>
      </c>
      <c r="D325" s="10" t="s">
        <v>1131</v>
      </c>
      <c r="E325" s="10" t="s">
        <v>2209</v>
      </c>
      <c r="F325" s="10" t="s">
        <v>1120</v>
      </c>
      <c r="G325" s="10" t="s">
        <v>1121</v>
      </c>
      <c r="H325" s="10" t="s">
        <v>1134</v>
      </c>
      <c r="I325" s="10" t="s">
        <v>1141</v>
      </c>
      <c r="J325" s="10" t="s">
        <v>2210</v>
      </c>
      <c r="K325" s="10" t="s">
        <v>1125</v>
      </c>
      <c r="L325" s="10" t="s">
        <v>1161</v>
      </c>
      <c r="M325" s="11" t="s">
        <v>2211</v>
      </c>
    </row>
    <row r="326" spans="1:13" ht="62" customHeight="1">
      <c r="A326" s="8" t="s">
        <v>2361</v>
      </c>
      <c r="B326" s="8" t="s">
        <v>2362</v>
      </c>
      <c r="C326" s="8" t="s">
        <v>2363</v>
      </c>
      <c r="D326" s="8" t="s">
        <v>1131</v>
      </c>
      <c r="E326" s="8" t="s">
        <v>1276</v>
      </c>
      <c r="F326" s="8" t="s">
        <v>1120</v>
      </c>
      <c r="G326" s="8" t="s">
        <v>1121</v>
      </c>
      <c r="H326" s="8" t="s">
        <v>1134</v>
      </c>
      <c r="I326" s="8" t="s">
        <v>1141</v>
      </c>
      <c r="J326" s="8" t="s">
        <v>2210</v>
      </c>
      <c r="K326" s="8" t="s">
        <v>1125</v>
      </c>
      <c r="L326" s="8" t="s">
        <v>1161</v>
      </c>
      <c r="M326" s="9" t="s">
        <v>2211</v>
      </c>
    </row>
    <row r="327" spans="1:13" ht="62" customHeight="1">
      <c r="A327" s="10" t="s">
        <v>2364</v>
      </c>
      <c r="B327" s="10" t="s">
        <v>2365</v>
      </c>
      <c r="C327" s="10" t="s">
        <v>2366</v>
      </c>
      <c r="D327" s="10" t="s">
        <v>1131</v>
      </c>
      <c r="E327" s="10" t="s">
        <v>1459</v>
      </c>
      <c r="F327" s="10" t="s">
        <v>1120</v>
      </c>
      <c r="G327" s="10" t="s">
        <v>1121</v>
      </c>
      <c r="H327" s="10" t="s">
        <v>1134</v>
      </c>
      <c r="I327" s="10" t="s">
        <v>1141</v>
      </c>
      <c r="J327" s="10" t="s">
        <v>2286</v>
      </c>
      <c r="K327" s="10" t="s">
        <v>1125</v>
      </c>
      <c r="L327" s="10" t="s">
        <v>1161</v>
      </c>
      <c r="M327" s="11" t="s">
        <v>2211</v>
      </c>
    </row>
    <row r="328" spans="1:13" ht="62" customHeight="1">
      <c r="A328" s="8" t="s">
        <v>2367</v>
      </c>
      <c r="B328" s="8" t="s">
        <v>2368</v>
      </c>
      <c r="C328" s="8" t="s">
        <v>2369</v>
      </c>
      <c r="D328" s="8" t="s">
        <v>1131</v>
      </c>
      <c r="E328" s="8" t="s">
        <v>1276</v>
      </c>
      <c r="F328" s="8" t="s">
        <v>1120</v>
      </c>
      <c r="G328" s="8" t="s">
        <v>1121</v>
      </c>
      <c r="H328" s="8" t="s">
        <v>1134</v>
      </c>
      <c r="I328" s="8" t="s">
        <v>1141</v>
      </c>
      <c r="J328" s="8" t="s">
        <v>2210</v>
      </c>
      <c r="K328" s="8" t="s">
        <v>1125</v>
      </c>
      <c r="L328" s="8" t="s">
        <v>1161</v>
      </c>
      <c r="M328" s="9" t="s">
        <v>2211</v>
      </c>
    </row>
    <row r="329" spans="1:13" ht="62" customHeight="1">
      <c r="A329" s="10" t="s">
        <v>2370</v>
      </c>
      <c r="B329" s="10" t="s">
        <v>2371</v>
      </c>
      <c r="C329" s="10" t="s">
        <v>2372</v>
      </c>
      <c r="D329" s="10" t="s">
        <v>1131</v>
      </c>
      <c r="E329" s="10" t="s">
        <v>1276</v>
      </c>
      <c r="F329" s="10" t="s">
        <v>1120</v>
      </c>
      <c r="G329" s="10" t="s">
        <v>1121</v>
      </c>
      <c r="H329" s="10" t="s">
        <v>1134</v>
      </c>
      <c r="I329" s="10" t="s">
        <v>1141</v>
      </c>
      <c r="J329" s="10" t="s">
        <v>2210</v>
      </c>
      <c r="K329" s="10" t="s">
        <v>1125</v>
      </c>
      <c r="L329" s="10" t="s">
        <v>1161</v>
      </c>
      <c r="M329" s="11" t="s">
        <v>2211</v>
      </c>
    </row>
    <row r="330" spans="1:13" ht="62" customHeight="1">
      <c r="A330" s="8" t="s">
        <v>2373</v>
      </c>
      <c r="B330" s="8" t="s">
        <v>2374</v>
      </c>
      <c r="C330" s="8" t="s">
        <v>2375</v>
      </c>
      <c r="D330" s="8" t="s">
        <v>1131</v>
      </c>
      <c r="E330" s="8" t="s">
        <v>2209</v>
      </c>
      <c r="F330" s="8" t="s">
        <v>1120</v>
      </c>
      <c r="G330" s="8" t="s">
        <v>1121</v>
      </c>
      <c r="H330" s="8" t="s">
        <v>1134</v>
      </c>
      <c r="I330" s="8" t="s">
        <v>1141</v>
      </c>
      <c r="J330" s="8" t="s">
        <v>1146</v>
      </c>
      <c r="K330" s="8" t="s">
        <v>1125</v>
      </c>
      <c r="L330" s="8" t="s">
        <v>1161</v>
      </c>
      <c r="M330" s="9" t="s">
        <v>2211</v>
      </c>
    </row>
    <row r="331" spans="1:13" ht="62" customHeight="1">
      <c r="A331" s="10" t="s">
        <v>2376</v>
      </c>
      <c r="B331" s="10" t="s">
        <v>2377</v>
      </c>
      <c r="C331" s="10" t="s">
        <v>2378</v>
      </c>
      <c r="D331" s="10" t="s">
        <v>1131</v>
      </c>
      <c r="E331" s="10" t="s">
        <v>2209</v>
      </c>
      <c r="F331" s="10" t="s">
        <v>1120</v>
      </c>
      <c r="G331" s="10" t="s">
        <v>1121</v>
      </c>
      <c r="H331" s="10" t="s">
        <v>1134</v>
      </c>
      <c r="I331" s="10" t="s">
        <v>1141</v>
      </c>
      <c r="J331" s="10" t="s">
        <v>2210</v>
      </c>
      <c r="K331" s="10" t="s">
        <v>1125</v>
      </c>
      <c r="L331" s="10" t="s">
        <v>1161</v>
      </c>
      <c r="M331" s="11" t="s">
        <v>2211</v>
      </c>
    </row>
    <row r="332" spans="1:13" ht="62" customHeight="1">
      <c r="A332" s="8" t="s">
        <v>2379</v>
      </c>
      <c r="B332" s="8" t="s">
        <v>2380</v>
      </c>
      <c r="C332" s="8" t="s">
        <v>2381</v>
      </c>
      <c r="D332" s="8" t="s">
        <v>1131</v>
      </c>
      <c r="E332" s="8" t="s">
        <v>1119</v>
      </c>
      <c r="F332" s="8" t="s">
        <v>1120</v>
      </c>
      <c r="G332" s="8" t="s">
        <v>1121</v>
      </c>
      <c r="H332" s="8" t="s">
        <v>1122</v>
      </c>
      <c r="I332" s="8" t="s">
        <v>1123</v>
      </c>
      <c r="J332" s="8" t="s">
        <v>1124</v>
      </c>
      <c r="K332" s="8" t="s">
        <v>1125</v>
      </c>
      <c r="L332" s="8" t="s">
        <v>1126</v>
      </c>
      <c r="M332" s="9" t="s">
        <v>2211</v>
      </c>
    </row>
    <row r="333" spans="1:13" ht="62" customHeight="1">
      <c r="A333" s="10" t="s">
        <v>2382</v>
      </c>
      <c r="B333" s="10" t="s">
        <v>2383</v>
      </c>
      <c r="C333" s="10" t="s">
        <v>2384</v>
      </c>
      <c r="D333" s="10" t="s">
        <v>1131</v>
      </c>
      <c r="E333" s="10" t="s">
        <v>2209</v>
      </c>
      <c r="F333" s="10" t="s">
        <v>1120</v>
      </c>
      <c r="G333" s="10" t="s">
        <v>1121</v>
      </c>
      <c r="H333" s="10" t="s">
        <v>1134</v>
      </c>
      <c r="I333" s="10" t="s">
        <v>1141</v>
      </c>
      <c r="J333" s="10" t="s">
        <v>2210</v>
      </c>
      <c r="K333" s="10" t="s">
        <v>1125</v>
      </c>
      <c r="L333" s="10" t="s">
        <v>1161</v>
      </c>
      <c r="M333" s="11" t="s">
        <v>2211</v>
      </c>
    </row>
    <row r="334" spans="1:13" ht="62" customHeight="1">
      <c r="A334" s="8" t="s">
        <v>2385</v>
      </c>
      <c r="B334" s="8" t="s">
        <v>2386</v>
      </c>
      <c r="C334" s="8" t="s">
        <v>2387</v>
      </c>
      <c r="D334" s="8" t="s">
        <v>2388</v>
      </c>
      <c r="E334" s="8" t="s">
        <v>1132</v>
      </c>
      <c r="F334" s="8" t="s">
        <v>1120</v>
      </c>
      <c r="G334" s="8" t="s">
        <v>1133</v>
      </c>
      <c r="H334" s="8" t="s">
        <v>1134</v>
      </c>
      <c r="I334" s="8" t="s">
        <v>1180</v>
      </c>
      <c r="J334" s="8" t="s">
        <v>1205</v>
      </c>
      <c r="K334" s="8" t="s">
        <v>1135</v>
      </c>
      <c r="L334" s="12" t="s">
        <v>1136</v>
      </c>
      <c r="M334" s="9" t="s">
        <v>1127</v>
      </c>
    </row>
    <row r="335" spans="1:13" ht="62" customHeight="1">
      <c r="A335" s="10" t="s">
        <v>2389</v>
      </c>
      <c r="B335" s="10" t="s">
        <v>2390</v>
      </c>
      <c r="C335" s="10" t="s">
        <v>2391</v>
      </c>
      <c r="D335" s="10" t="s">
        <v>1131</v>
      </c>
      <c r="E335" s="10" t="s">
        <v>2392</v>
      </c>
      <c r="F335" s="10" t="s">
        <v>1120</v>
      </c>
      <c r="G335" s="10" t="s">
        <v>1133</v>
      </c>
      <c r="H335" s="10" t="s">
        <v>1134</v>
      </c>
      <c r="I335" s="10" t="s">
        <v>1180</v>
      </c>
      <c r="J335" s="10" t="s">
        <v>1205</v>
      </c>
      <c r="K335" s="10" t="s">
        <v>1125</v>
      </c>
      <c r="L335" s="12" t="s">
        <v>1136</v>
      </c>
      <c r="M335" s="11" t="s">
        <v>1127</v>
      </c>
    </row>
    <row r="336" spans="1:13" ht="62" customHeight="1">
      <c r="A336" s="8" t="s">
        <v>2393</v>
      </c>
      <c r="B336" s="8" t="s">
        <v>2394</v>
      </c>
      <c r="C336" s="8" t="s">
        <v>2395</v>
      </c>
      <c r="D336" s="8" t="s">
        <v>2396</v>
      </c>
      <c r="E336" s="8" t="s">
        <v>2397</v>
      </c>
      <c r="F336" s="8" t="s">
        <v>1120</v>
      </c>
      <c r="G336" s="8" t="s">
        <v>1133</v>
      </c>
      <c r="H336" s="8" t="s">
        <v>1134</v>
      </c>
      <c r="I336" s="8" t="s">
        <v>1141</v>
      </c>
      <c r="J336" s="8" t="s">
        <v>1205</v>
      </c>
      <c r="K336" s="8" t="s">
        <v>1125</v>
      </c>
      <c r="L336" s="12" t="s">
        <v>1136</v>
      </c>
      <c r="M336" s="9" t="s">
        <v>1127</v>
      </c>
    </row>
    <row r="337" spans="1:13" ht="62" customHeight="1">
      <c r="A337" s="10" t="s">
        <v>2398</v>
      </c>
      <c r="B337" s="10" t="s">
        <v>2399</v>
      </c>
      <c r="C337" s="10" t="s">
        <v>2400</v>
      </c>
      <c r="D337" s="10" t="s">
        <v>1131</v>
      </c>
      <c r="E337" s="10" t="s">
        <v>1291</v>
      </c>
      <c r="F337" s="10" t="s">
        <v>1120</v>
      </c>
      <c r="G337" s="10" t="s">
        <v>1121</v>
      </c>
      <c r="H337" s="10" t="s">
        <v>1122</v>
      </c>
      <c r="I337" s="10" t="s">
        <v>1141</v>
      </c>
      <c r="J337" s="10" t="s">
        <v>2024</v>
      </c>
      <c r="K337" s="10" t="s">
        <v>1243</v>
      </c>
      <c r="L337" s="10" t="s">
        <v>1126</v>
      </c>
      <c r="M337" s="11" t="s">
        <v>1192</v>
      </c>
    </row>
    <row r="338" spans="1:13" ht="62" customHeight="1">
      <c r="A338" s="8" t="s">
        <v>2401</v>
      </c>
      <c r="B338" s="8" t="s">
        <v>2402</v>
      </c>
      <c r="C338" s="8" t="s">
        <v>2403</v>
      </c>
      <c r="D338" s="8" t="s">
        <v>1131</v>
      </c>
      <c r="E338" s="8" t="s">
        <v>1132</v>
      </c>
      <c r="F338" s="8" t="s">
        <v>1120</v>
      </c>
      <c r="G338" s="8" t="s">
        <v>1121</v>
      </c>
      <c r="H338" s="8" t="s">
        <v>1122</v>
      </c>
      <c r="I338" s="8" t="s">
        <v>1141</v>
      </c>
      <c r="J338" s="8" t="s">
        <v>2404</v>
      </c>
      <c r="K338" s="8" t="s">
        <v>1135</v>
      </c>
      <c r="L338" s="8" t="s">
        <v>1126</v>
      </c>
      <c r="M338" s="9" t="s">
        <v>1127</v>
      </c>
    </row>
    <row r="339" spans="1:13" ht="62" customHeight="1">
      <c r="A339" s="10" t="s">
        <v>2405</v>
      </c>
      <c r="B339" s="10" t="s">
        <v>2406</v>
      </c>
      <c r="C339" s="10" t="s">
        <v>2407</v>
      </c>
      <c r="D339" s="10" t="s">
        <v>1131</v>
      </c>
      <c r="E339" s="10" t="s">
        <v>2408</v>
      </c>
      <c r="F339" s="10" t="s">
        <v>1120</v>
      </c>
      <c r="G339" s="10" t="s">
        <v>1121</v>
      </c>
      <c r="H339" s="10" t="s">
        <v>1122</v>
      </c>
      <c r="I339" s="10" t="s">
        <v>1141</v>
      </c>
      <c r="J339" s="10" t="s">
        <v>2409</v>
      </c>
      <c r="K339" s="10" t="s">
        <v>1243</v>
      </c>
      <c r="L339" s="10" t="s">
        <v>1126</v>
      </c>
      <c r="M339" s="11" t="s">
        <v>1127</v>
      </c>
    </row>
    <row r="340" spans="1:13" ht="62" customHeight="1">
      <c r="A340" s="8" t="s">
        <v>2410</v>
      </c>
      <c r="B340" s="8" t="s">
        <v>2411</v>
      </c>
      <c r="C340" s="8" t="s">
        <v>2412</v>
      </c>
      <c r="D340" s="8" t="s">
        <v>1131</v>
      </c>
      <c r="E340" s="8" t="s">
        <v>2408</v>
      </c>
      <c r="F340" s="8" t="s">
        <v>1120</v>
      </c>
      <c r="G340" s="8" t="s">
        <v>1121</v>
      </c>
      <c r="H340" s="8" t="s">
        <v>1122</v>
      </c>
      <c r="I340" s="8" t="s">
        <v>1141</v>
      </c>
      <c r="J340" s="8" t="s">
        <v>2413</v>
      </c>
      <c r="K340" s="8" t="s">
        <v>1243</v>
      </c>
      <c r="L340" s="8" t="s">
        <v>1126</v>
      </c>
      <c r="M340" s="9" t="s">
        <v>1127</v>
      </c>
    </row>
    <row r="341" spans="1:13" ht="62" customHeight="1">
      <c r="A341" s="10" t="s">
        <v>2414</v>
      </c>
      <c r="B341" s="10" t="s">
        <v>2415</v>
      </c>
      <c r="C341" s="10" t="s">
        <v>2416</v>
      </c>
      <c r="D341" s="10" t="s">
        <v>1131</v>
      </c>
      <c r="E341" s="10" t="s">
        <v>2417</v>
      </c>
      <c r="F341" s="10" t="s">
        <v>1120</v>
      </c>
      <c r="G341" s="10" t="s">
        <v>1121</v>
      </c>
      <c r="H341" s="10" t="s">
        <v>1122</v>
      </c>
      <c r="I341" s="10" t="s">
        <v>1141</v>
      </c>
      <c r="J341" s="10" t="s">
        <v>1292</v>
      </c>
      <c r="K341" s="10" t="s">
        <v>1243</v>
      </c>
      <c r="L341" s="10" t="s">
        <v>1126</v>
      </c>
      <c r="M341" s="11" t="s">
        <v>1386</v>
      </c>
    </row>
    <row r="342" spans="1:13" ht="62" customHeight="1">
      <c r="A342" s="8" t="s">
        <v>2418</v>
      </c>
      <c r="B342" s="8" t="s">
        <v>2419</v>
      </c>
      <c r="C342" s="8" t="s">
        <v>2420</v>
      </c>
      <c r="D342" s="8" t="s">
        <v>1131</v>
      </c>
      <c r="E342" s="8" t="s">
        <v>1371</v>
      </c>
      <c r="F342" s="8" t="s">
        <v>1120</v>
      </c>
      <c r="G342" s="8" t="s">
        <v>1121</v>
      </c>
      <c r="H342" s="8" t="s">
        <v>1122</v>
      </c>
      <c r="I342" s="8" t="s">
        <v>1141</v>
      </c>
      <c r="J342" s="8" t="s">
        <v>1188</v>
      </c>
      <c r="K342" s="8" t="s">
        <v>1243</v>
      </c>
      <c r="L342" s="8" t="s">
        <v>1126</v>
      </c>
      <c r="M342" s="9" t="s">
        <v>1386</v>
      </c>
    </row>
    <row r="343" spans="1:13" ht="62" customHeight="1">
      <c r="A343" s="10" t="s">
        <v>2421</v>
      </c>
      <c r="B343" s="10" t="s">
        <v>2422</v>
      </c>
      <c r="C343" s="10" t="s">
        <v>2423</v>
      </c>
      <c r="D343" s="10" t="s">
        <v>2424</v>
      </c>
      <c r="E343" s="10" t="s">
        <v>2425</v>
      </c>
      <c r="F343" s="10" t="s">
        <v>1120</v>
      </c>
      <c r="G343" s="10" t="s">
        <v>1121</v>
      </c>
      <c r="H343" s="10" t="s">
        <v>1122</v>
      </c>
      <c r="I343" s="10" t="s">
        <v>1141</v>
      </c>
      <c r="J343" s="10" t="s">
        <v>2426</v>
      </c>
      <c r="K343" s="10" t="s">
        <v>1243</v>
      </c>
      <c r="L343" s="10" t="s">
        <v>1126</v>
      </c>
      <c r="M343" s="11" t="s">
        <v>1192</v>
      </c>
    </row>
    <row r="344" spans="1:13" ht="62" customHeight="1">
      <c r="A344" s="8" t="s">
        <v>2427</v>
      </c>
      <c r="B344" s="8" t="s">
        <v>2428</v>
      </c>
      <c r="C344" s="8" t="s">
        <v>2429</v>
      </c>
      <c r="D344" s="8" t="s">
        <v>1118</v>
      </c>
      <c r="E344" s="8" t="s">
        <v>1119</v>
      </c>
      <c r="F344" s="8" t="s">
        <v>1140</v>
      </c>
      <c r="G344" s="8" t="s">
        <v>1121</v>
      </c>
      <c r="H344" s="8" t="s">
        <v>1122</v>
      </c>
      <c r="I344" s="8" t="s">
        <v>1123</v>
      </c>
      <c r="J344" s="8" t="s">
        <v>2430</v>
      </c>
      <c r="K344" s="8" t="s">
        <v>1125</v>
      </c>
      <c r="L344" s="8" t="s">
        <v>1126</v>
      </c>
      <c r="M344" s="9" t="s">
        <v>2431</v>
      </c>
    </row>
    <row r="345" spans="1:13" ht="62" customHeight="1">
      <c r="A345" s="10" t="s">
        <v>2432</v>
      </c>
      <c r="B345" s="10" t="s">
        <v>2433</v>
      </c>
      <c r="C345" s="10" t="s">
        <v>2434</v>
      </c>
      <c r="D345" s="10" t="s">
        <v>2435</v>
      </c>
      <c r="E345" s="10" t="s">
        <v>1930</v>
      </c>
      <c r="F345" s="10" t="s">
        <v>1120</v>
      </c>
      <c r="G345" s="10" t="s">
        <v>1121</v>
      </c>
      <c r="H345" s="10" t="s">
        <v>1122</v>
      </c>
      <c r="I345" s="10" t="s">
        <v>1141</v>
      </c>
      <c r="J345" s="10" t="s">
        <v>2426</v>
      </c>
      <c r="K345" s="10" t="s">
        <v>1243</v>
      </c>
      <c r="L345" s="10" t="s">
        <v>1126</v>
      </c>
      <c r="M345" s="11" t="s">
        <v>1192</v>
      </c>
    </row>
    <row r="346" spans="1:13" ht="62" customHeight="1">
      <c r="A346" s="8" t="s">
        <v>2436</v>
      </c>
      <c r="B346" s="8" t="s">
        <v>2437</v>
      </c>
      <c r="C346" s="8" t="s">
        <v>2438</v>
      </c>
      <c r="D346" s="8" t="s">
        <v>1131</v>
      </c>
      <c r="E346" s="8" t="s">
        <v>1709</v>
      </c>
      <c r="F346" s="8" t="s">
        <v>1120</v>
      </c>
      <c r="G346" s="8" t="s">
        <v>1121</v>
      </c>
      <c r="H346" s="8" t="s">
        <v>1122</v>
      </c>
      <c r="I346" s="8" t="s">
        <v>1141</v>
      </c>
      <c r="J346" s="8" t="s">
        <v>2439</v>
      </c>
      <c r="K346" s="8" t="s">
        <v>1125</v>
      </c>
      <c r="L346" s="8" t="s">
        <v>1126</v>
      </c>
      <c r="M346" s="9" t="s">
        <v>1386</v>
      </c>
    </row>
    <row r="347" spans="1:13" ht="62" customHeight="1">
      <c r="A347" s="10" t="s">
        <v>2440</v>
      </c>
      <c r="B347" s="10" t="s">
        <v>2441</v>
      </c>
      <c r="C347" s="10" t="s">
        <v>2442</v>
      </c>
      <c r="D347" s="10" t="s">
        <v>1131</v>
      </c>
      <c r="E347" s="10" t="s">
        <v>2443</v>
      </c>
      <c r="F347" s="10" t="s">
        <v>1120</v>
      </c>
      <c r="G347" s="10" t="s">
        <v>1121</v>
      </c>
      <c r="H347" s="10" t="s">
        <v>1122</v>
      </c>
      <c r="I347" s="10" t="s">
        <v>1141</v>
      </c>
      <c r="J347" s="10" t="s">
        <v>2439</v>
      </c>
      <c r="K347" s="10" t="s">
        <v>1125</v>
      </c>
      <c r="L347" s="10" t="s">
        <v>1126</v>
      </c>
      <c r="M347" s="11" t="s">
        <v>1386</v>
      </c>
    </row>
    <row r="348" spans="1:13" ht="62" customHeight="1">
      <c r="A348" s="8" t="s">
        <v>2444</v>
      </c>
      <c r="B348" s="8" t="s">
        <v>2445</v>
      </c>
      <c r="C348" s="8" t="s">
        <v>2446</v>
      </c>
      <c r="D348" s="8" t="s">
        <v>2447</v>
      </c>
      <c r="E348" s="8" t="s">
        <v>1132</v>
      </c>
      <c r="F348" s="8" t="s">
        <v>1120</v>
      </c>
      <c r="G348" s="8" t="s">
        <v>1133</v>
      </c>
      <c r="H348" s="8" t="s">
        <v>1134</v>
      </c>
      <c r="I348" s="8" t="s">
        <v>1180</v>
      </c>
      <c r="J348" s="8" t="s">
        <v>1205</v>
      </c>
      <c r="K348" s="8" t="s">
        <v>1135</v>
      </c>
      <c r="L348" s="12" t="s">
        <v>1136</v>
      </c>
      <c r="M348" s="9" t="s">
        <v>1286</v>
      </c>
    </row>
    <row r="349" spans="1:13" ht="62" customHeight="1">
      <c r="A349" s="10" t="s">
        <v>2448</v>
      </c>
      <c r="B349" s="10" t="s">
        <v>2449</v>
      </c>
      <c r="C349" s="10" t="s">
        <v>2450</v>
      </c>
      <c r="D349" s="10" t="s">
        <v>1285</v>
      </c>
      <c r="E349" s="10" t="s">
        <v>1119</v>
      </c>
      <c r="F349" s="10" t="s">
        <v>1120</v>
      </c>
      <c r="G349" s="10" t="s">
        <v>1133</v>
      </c>
      <c r="H349" s="10" t="s">
        <v>1122</v>
      </c>
      <c r="I349" s="10" t="s">
        <v>1123</v>
      </c>
      <c r="J349" s="10" t="s">
        <v>1124</v>
      </c>
      <c r="K349" s="10" t="s">
        <v>1125</v>
      </c>
      <c r="L349" s="12" t="s">
        <v>1136</v>
      </c>
      <c r="M349" s="11" t="s">
        <v>1286</v>
      </c>
    </row>
    <row r="350" spans="1:13" ht="62" customHeight="1">
      <c r="A350" s="8" t="s">
        <v>2451</v>
      </c>
      <c r="B350" s="8" t="s">
        <v>2452</v>
      </c>
      <c r="C350" s="8" t="s">
        <v>2453</v>
      </c>
      <c r="D350" s="8" t="s">
        <v>1131</v>
      </c>
      <c r="E350" s="8" t="s">
        <v>1316</v>
      </c>
      <c r="F350" s="8" t="s">
        <v>1140</v>
      </c>
      <c r="G350" s="8" t="s">
        <v>1121</v>
      </c>
      <c r="H350" s="8" t="s">
        <v>1134</v>
      </c>
      <c r="I350" s="8" t="s">
        <v>1141</v>
      </c>
      <c r="J350" s="8" t="s">
        <v>1429</v>
      </c>
      <c r="K350" s="8" t="s">
        <v>1125</v>
      </c>
      <c r="L350" s="8" t="s">
        <v>1161</v>
      </c>
      <c r="M350" s="9" t="s">
        <v>1286</v>
      </c>
    </row>
    <row r="351" spans="1:13" ht="62" customHeight="1">
      <c r="A351" s="10" t="s">
        <v>2454</v>
      </c>
      <c r="B351" s="10" t="s">
        <v>2455</v>
      </c>
      <c r="C351" s="10" t="s">
        <v>2456</v>
      </c>
      <c r="D351" s="10" t="s">
        <v>1131</v>
      </c>
      <c r="E351" s="10" t="s">
        <v>2457</v>
      </c>
      <c r="F351" s="10" t="s">
        <v>1120</v>
      </c>
      <c r="G351" s="10" t="s">
        <v>1121</v>
      </c>
      <c r="H351" s="10" t="s">
        <v>1122</v>
      </c>
      <c r="I351" s="10" t="s">
        <v>1141</v>
      </c>
      <c r="J351" s="10" t="s">
        <v>2458</v>
      </c>
      <c r="K351" s="10" t="s">
        <v>1125</v>
      </c>
      <c r="L351" s="10" t="s">
        <v>1126</v>
      </c>
      <c r="M351" s="11" t="s">
        <v>1286</v>
      </c>
    </row>
    <row r="352" spans="1:13" ht="62" customHeight="1">
      <c r="A352" s="8" t="s">
        <v>2459</v>
      </c>
      <c r="B352" s="8" t="s">
        <v>2460</v>
      </c>
      <c r="C352" s="8" t="s">
        <v>2461</v>
      </c>
      <c r="D352" s="8" t="s">
        <v>1131</v>
      </c>
      <c r="E352" s="8" t="s">
        <v>1464</v>
      </c>
      <c r="F352" s="8" t="s">
        <v>1120</v>
      </c>
      <c r="G352" s="8" t="s">
        <v>1121</v>
      </c>
      <c r="H352" s="8" t="s">
        <v>1122</v>
      </c>
      <c r="I352" s="8" t="s">
        <v>1141</v>
      </c>
      <c r="J352" s="8" t="s">
        <v>1655</v>
      </c>
      <c r="K352" s="8" t="s">
        <v>1125</v>
      </c>
      <c r="L352" s="8" t="s">
        <v>1126</v>
      </c>
      <c r="M352" s="9" t="s">
        <v>1286</v>
      </c>
    </row>
    <row r="353" spans="1:13" ht="62" customHeight="1">
      <c r="A353" s="10" t="s">
        <v>2462</v>
      </c>
      <c r="B353" s="10" t="s">
        <v>2463</v>
      </c>
      <c r="C353" s="10" t="s">
        <v>2464</v>
      </c>
      <c r="D353" s="10" t="s">
        <v>1131</v>
      </c>
      <c r="E353" s="10" t="s">
        <v>2465</v>
      </c>
      <c r="F353" s="10" t="s">
        <v>1140</v>
      </c>
      <c r="G353" s="10" t="s">
        <v>1121</v>
      </c>
      <c r="H353" s="10" t="s">
        <v>1122</v>
      </c>
      <c r="I353" s="10" t="s">
        <v>1180</v>
      </c>
      <c r="J353" s="10" t="s">
        <v>2466</v>
      </c>
      <c r="K353" s="10" t="s">
        <v>1125</v>
      </c>
      <c r="L353" s="10" t="s">
        <v>1126</v>
      </c>
      <c r="M353" s="11" t="s">
        <v>1286</v>
      </c>
    </row>
    <row r="354" spans="1:13" ht="62" customHeight="1">
      <c r="A354" s="8" t="s">
        <v>2467</v>
      </c>
      <c r="B354" s="8" t="s">
        <v>2468</v>
      </c>
      <c r="C354" s="8" t="s">
        <v>2469</v>
      </c>
      <c r="D354" s="8" t="s">
        <v>1131</v>
      </c>
      <c r="E354" s="8" t="s">
        <v>1479</v>
      </c>
      <c r="F354" s="8" t="s">
        <v>1120</v>
      </c>
      <c r="G354" s="8" t="s">
        <v>1121</v>
      </c>
      <c r="H354" s="8" t="s">
        <v>1122</v>
      </c>
      <c r="I354" s="8" t="s">
        <v>1141</v>
      </c>
      <c r="J354" s="8" t="s">
        <v>1146</v>
      </c>
      <c r="K354" s="8" t="s">
        <v>1125</v>
      </c>
      <c r="L354" s="8" t="s">
        <v>1126</v>
      </c>
      <c r="M354" s="9" t="s">
        <v>1286</v>
      </c>
    </row>
    <row r="355" spans="1:13" ht="62" customHeight="1">
      <c r="A355" s="10" t="s">
        <v>2470</v>
      </c>
      <c r="B355" s="10" t="s">
        <v>2471</v>
      </c>
      <c r="C355" s="10" t="s">
        <v>2472</v>
      </c>
      <c r="D355" s="10" t="s">
        <v>1131</v>
      </c>
      <c r="E355" s="10" t="s">
        <v>2473</v>
      </c>
      <c r="F355" s="10" t="s">
        <v>1120</v>
      </c>
      <c r="G355" s="10" t="s">
        <v>1121</v>
      </c>
      <c r="H355" s="10" t="s">
        <v>1122</v>
      </c>
      <c r="I355" s="10" t="s">
        <v>1141</v>
      </c>
      <c r="J355" s="10" t="s">
        <v>2409</v>
      </c>
      <c r="K355" s="10" t="s">
        <v>1125</v>
      </c>
      <c r="L355" s="10" t="s">
        <v>1126</v>
      </c>
      <c r="M355" s="11" t="s">
        <v>1286</v>
      </c>
    </row>
    <row r="356" spans="1:13" ht="62" customHeight="1">
      <c r="A356" s="8" t="s">
        <v>2474</v>
      </c>
      <c r="B356" s="8" t="s">
        <v>2475</v>
      </c>
      <c r="C356" s="8" t="s">
        <v>2476</v>
      </c>
      <c r="D356" s="8" t="s">
        <v>1131</v>
      </c>
      <c r="E356" s="8" t="s">
        <v>1242</v>
      </c>
      <c r="F356" s="8" t="s">
        <v>1140</v>
      </c>
      <c r="G356" s="8" t="s">
        <v>1121</v>
      </c>
      <c r="H356" s="8" t="s">
        <v>1122</v>
      </c>
      <c r="I356" s="8" t="s">
        <v>1180</v>
      </c>
      <c r="J356" s="8" t="s">
        <v>1214</v>
      </c>
      <c r="K356" s="8" t="s">
        <v>1125</v>
      </c>
      <c r="L356" s="8" t="s">
        <v>1126</v>
      </c>
      <c r="M356" s="9" t="s">
        <v>1286</v>
      </c>
    </row>
    <row r="357" spans="1:13" ht="62" customHeight="1">
      <c r="A357" s="10" t="s">
        <v>2477</v>
      </c>
      <c r="B357" s="10" t="s">
        <v>2478</v>
      </c>
      <c r="C357" s="10" t="s">
        <v>2479</v>
      </c>
      <c r="D357" s="10" t="s">
        <v>1131</v>
      </c>
      <c r="E357" s="10" t="s">
        <v>1119</v>
      </c>
      <c r="F357" s="10" t="s">
        <v>1140</v>
      </c>
      <c r="G357" s="10" t="s">
        <v>1121</v>
      </c>
      <c r="H357" s="10" t="s">
        <v>1134</v>
      </c>
      <c r="I357" s="10" t="s">
        <v>1301</v>
      </c>
      <c r="J357" s="10" t="s">
        <v>2480</v>
      </c>
      <c r="K357" s="10" t="s">
        <v>1125</v>
      </c>
      <c r="L357" s="10" t="s">
        <v>1161</v>
      </c>
      <c r="M357" s="11" t="s">
        <v>1286</v>
      </c>
    </row>
    <row r="358" spans="1:13" ht="62" customHeight="1">
      <c r="A358" s="8" t="s">
        <v>2481</v>
      </c>
      <c r="B358" s="8" t="s">
        <v>2482</v>
      </c>
      <c r="C358" s="8" t="s">
        <v>2483</v>
      </c>
      <c r="D358" s="8" t="s">
        <v>1131</v>
      </c>
      <c r="E358" s="8" t="s">
        <v>1242</v>
      </c>
      <c r="F358" s="8" t="s">
        <v>1120</v>
      </c>
      <c r="G358" s="8" t="s">
        <v>1121</v>
      </c>
      <c r="H358" s="8" t="s">
        <v>1122</v>
      </c>
      <c r="I358" s="8" t="s">
        <v>1123</v>
      </c>
      <c r="J358" s="8" t="s">
        <v>1124</v>
      </c>
      <c r="K358" s="8" t="s">
        <v>1125</v>
      </c>
      <c r="L358" s="8" t="s">
        <v>1126</v>
      </c>
      <c r="M358" s="9" t="s">
        <v>1286</v>
      </c>
    </row>
    <row r="359" spans="1:13" ht="62" customHeight="1">
      <c r="A359" s="10" t="s">
        <v>2484</v>
      </c>
      <c r="B359" s="10" t="s">
        <v>2485</v>
      </c>
      <c r="C359" s="10" t="s">
        <v>2486</v>
      </c>
      <c r="D359" s="10" t="s">
        <v>1131</v>
      </c>
      <c r="E359" s="10" t="s">
        <v>1132</v>
      </c>
      <c r="F359" s="10" t="s">
        <v>1140</v>
      </c>
      <c r="G359" s="10" t="s">
        <v>1121</v>
      </c>
      <c r="H359" s="10" t="s">
        <v>1122</v>
      </c>
      <c r="I359" s="10" t="s">
        <v>1301</v>
      </c>
      <c r="J359" s="10" t="s">
        <v>1205</v>
      </c>
      <c r="K359" s="10" t="s">
        <v>1135</v>
      </c>
      <c r="L359" s="10" t="s">
        <v>1126</v>
      </c>
      <c r="M359" s="11" t="s">
        <v>1286</v>
      </c>
    </row>
    <row r="360" spans="1:13" ht="62" customHeight="1">
      <c r="A360" s="8" t="s">
        <v>2487</v>
      </c>
      <c r="B360" s="8" t="s">
        <v>2488</v>
      </c>
      <c r="C360" s="8" t="s">
        <v>2489</v>
      </c>
      <c r="D360" s="8" t="s">
        <v>1131</v>
      </c>
      <c r="E360" s="8" t="s">
        <v>1132</v>
      </c>
      <c r="F360" s="8" t="s">
        <v>1140</v>
      </c>
      <c r="G360" s="8" t="s">
        <v>1121</v>
      </c>
      <c r="H360" s="8" t="s">
        <v>1122</v>
      </c>
      <c r="I360" s="8" t="s">
        <v>1301</v>
      </c>
      <c r="J360" s="8" t="s">
        <v>1205</v>
      </c>
      <c r="K360" s="8" t="s">
        <v>1135</v>
      </c>
      <c r="L360" s="8" t="s">
        <v>1126</v>
      </c>
      <c r="M360" s="9" t="s">
        <v>1286</v>
      </c>
    </row>
    <row r="361" spans="1:13" ht="62" customHeight="1">
      <c r="A361" s="10" t="s">
        <v>2490</v>
      </c>
      <c r="B361" s="10" t="s">
        <v>2491</v>
      </c>
      <c r="C361" s="10" t="s">
        <v>2492</v>
      </c>
      <c r="D361" s="10" t="s">
        <v>1131</v>
      </c>
      <c r="E361" s="10" t="s">
        <v>1132</v>
      </c>
      <c r="F361" s="10" t="s">
        <v>1140</v>
      </c>
      <c r="G361" s="10" t="s">
        <v>1121</v>
      </c>
      <c r="H361" s="10" t="s">
        <v>1122</v>
      </c>
      <c r="I361" s="10" t="s">
        <v>1301</v>
      </c>
      <c r="J361" s="10" t="s">
        <v>1205</v>
      </c>
      <c r="K361" s="10" t="s">
        <v>1135</v>
      </c>
      <c r="L361" s="10" t="s">
        <v>1126</v>
      </c>
      <c r="M361" s="11" t="s">
        <v>1286</v>
      </c>
    </row>
    <row r="362" spans="1:13" ht="62" customHeight="1">
      <c r="A362" s="8" t="s">
        <v>2493</v>
      </c>
      <c r="B362" s="8" t="s">
        <v>2494</v>
      </c>
      <c r="C362" s="8" t="s">
        <v>2495</v>
      </c>
      <c r="D362" s="8" t="s">
        <v>1131</v>
      </c>
      <c r="E362" s="8" t="s">
        <v>1132</v>
      </c>
      <c r="F362" s="8" t="s">
        <v>1140</v>
      </c>
      <c r="G362" s="8" t="s">
        <v>1121</v>
      </c>
      <c r="H362" s="8" t="s">
        <v>1122</v>
      </c>
      <c r="I362" s="8" t="s">
        <v>1301</v>
      </c>
      <c r="J362" s="8" t="s">
        <v>1205</v>
      </c>
      <c r="K362" s="8" t="s">
        <v>1135</v>
      </c>
      <c r="L362" s="8" t="s">
        <v>1126</v>
      </c>
      <c r="M362" s="9" t="s">
        <v>1286</v>
      </c>
    </row>
    <row r="363" spans="1:13" ht="62" customHeight="1">
      <c r="A363" s="10" t="s">
        <v>2496</v>
      </c>
      <c r="B363" s="10" t="s">
        <v>2497</v>
      </c>
      <c r="C363" s="10" t="s">
        <v>2498</v>
      </c>
      <c r="D363" s="10" t="s">
        <v>1131</v>
      </c>
      <c r="E363" s="10" t="s">
        <v>1132</v>
      </c>
      <c r="F363" s="10" t="s">
        <v>1140</v>
      </c>
      <c r="G363" s="10" t="s">
        <v>1121</v>
      </c>
      <c r="H363" s="10" t="s">
        <v>1122</v>
      </c>
      <c r="I363" s="10" t="s">
        <v>1301</v>
      </c>
      <c r="J363" s="10" t="s">
        <v>1205</v>
      </c>
      <c r="K363" s="10" t="s">
        <v>1135</v>
      </c>
      <c r="L363" s="10" t="s">
        <v>1126</v>
      </c>
      <c r="M363" s="11" t="s">
        <v>1286</v>
      </c>
    </row>
    <row r="364" spans="1:13" ht="62" customHeight="1">
      <c r="A364" s="8" t="s">
        <v>2499</v>
      </c>
      <c r="B364" s="8" t="s">
        <v>2500</v>
      </c>
      <c r="C364" s="8" t="s">
        <v>2501</v>
      </c>
      <c r="D364" s="8" t="s">
        <v>1131</v>
      </c>
      <c r="E364" s="8" t="s">
        <v>1132</v>
      </c>
      <c r="F364" s="8" t="s">
        <v>1140</v>
      </c>
      <c r="G364" s="8" t="s">
        <v>1121</v>
      </c>
      <c r="H364" s="8" t="s">
        <v>1122</v>
      </c>
      <c r="I364" s="8" t="s">
        <v>1301</v>
      </c>
      <c r="J364" s="8" t="s">
        <v>1205</v>
      </c>
      <c r="K364" s="8" t="s">
        <v>1135</v>
      </c>
      <c r="L364" s="8" t="s">
        <v>1126</v>
      </c>
      <c r="M364" s="9" t="s">
        <v>1286</v>
      </c>
    </row>
    <row r="365" spans="1:13" ht="62" customHeight="1">
      <c r="A365" s="10" t="s">
        <v>2502</v>
      </c>
      <c r="B365" s="10" t="s">
        <v>2503</v>
      </c>
      <c r="C365" s="10" t="s">
        <v>2504</v>
      </c>
      <c r="D365" s="10" t="s">
        <v>1131</v>
      </c>
      <c r="E365" s="10" t="s">
        <v>1420</v>
      </c>
      <c r="F365" s="10" t="s">
        <v>1140</v>
      </c>
      <c r="G365" s="10" t="s">
        <v>1121</v>
      </c>
      <c r="H365" s="10" t="s">
        <v>1122</v>
      </c>
      <c r="I365" s="10" t="s">
        <v>1141</v>
      </c>
      <c r="J365" s="10" t="s">
        <v>1429</v>
      </c>
      <c r="K365" s="10" t="s">
        <v>1125</v>
      </c>
      <c r="L365" s="10" t="s">
        <v>1126</v>
      </c>
      <c r="M365" s="11" t="s">
        <v>1286</v>
      </c>
    </row>
    <row r="366" spans="1:13" ht="62" customHeight="1">
      <c r="A366" s="8" t="s">
        <v>2505</v>
      </c>
      <c r="B366" s="8" t="s">
        <v>2506</v>
      </c>
      <c r="C366" s="8" t="s">
        <v>2507</v>
      </c>
      <c r="D366" s="8" t="s">
        <v>1131</v>
      </c>
      <c r="E366" s="8" t="s">
        <v>1350</v>
      </c>
      <c r="F366" s="8" t="s">
        <v>1140</v>
      </c>
      <c r="G366" s="8" t="s">
        <v>1121</v>
      </c>
      <c r="H366" s="8" t="s">
        <v>1134</v>
      </c>
      <c r="I366" s="8" t="s">
        <v>1301</v>
      </c>
      <c r="J366" s="8" t="s">
        <v>2508</v>
      </c>
      <c r="K366" s="8" t="s">
        <v>1125</v>
      </c>
      <c r="L366" s="8" t="s">
        <v>1161</v>
      </c>
      <c r="M366" s="9" t="s">
        <v>1286</v>
      </c>
    </row>
    <row r="367" spans="1:13" ht="62" customHeight="1">
      <c r="A367" s="10" t="s">
        <v>2509</v>
      </c>
      <c r="B367" s="10" t="s">
        <v>2510</v>
      </c>
      <c r="C367" s="10" t="s">
        <v>2511</v>
      </c>
      <c r="D367" s="10" t="s">
        <v>1662</v>
      </c>
      <c r="E367" s="10" t="s">
        <v>1119</v>
      </c>
      <c r="F367" s="10" t="s">
        <v>1140</v>
      </c>
      <c r="G367" s="10" t="s">
        <v>1121</v>
      </c>
      <c r="H367" s="10" t="s">
        <v>1122</v>
      </c>
      <c r="I367" s="10" t="s">
        <v>1180</v>
      </c>
      <c r="J367" s="10" t="s">
        <v>1214</v>
      </c>
      <c r="K367" s="10" t="s">
        <v>1125</v>
      </c>
      <c r="L367" s="10" t="s">
        <v>1126</v>
      </c>
      <c r="M367" s="11" t="s">
        <v>2512</v>
      </c>
    </row>
    <row r="368" spans="1:13" ht="62" customHeight="1">
      <c r="A368" s="8" t="s">
        <v>2513</v>
      </c>
      <c r="B368" s="8" t="s">
        <v>2514</v>
      </c>
      <c r="C368" s="8" t="s">
        <v>2515</v>
      </c>
      <c r="D368" s="8" t="s">
        <v>1285</v>
      </c>
      <c r="E368" s="8" t="s">
        <v>1242</v>
      </c>
      <c r="F368" s="8" t="s">
        <v>1140</v>
      </c>
      <c r="G368" s="8" t="s">
        <v>1121</v>
      </c>
      <c r="H368" s="8" t="s">
        <v>1122</v>
      </c>
      <c r="I368" s="8" t="s">
        <v>1123</v>
      </c>
      <c r="J368" s="8" t="s">
        <v>1124</v>
      </c>
      <c r="K368" s="8" t="s">
        <v>1243</v>
      </c>
      <c r="L368" s="8" t="s">
        <v>1126</v>
      </c>
      <c r="M368" s="9" t="s">
        <v>2516</v>
      </c>
    </row>
    <row r="369" spans="1:13" ht="62" customHeight="1">
      <c r="A369" s="10" t="s">
        <v>2517</v>
      </c>
      <c r="B369" s="10" t="s">
        <v>2518</v>
      </c>
      <c r="C369" s="10" t="s">
        <v>2519</v>
      </c>
      <c r="D369" s="10" t="s">
        <v>1131</v>
      </c>
      <c r="E369" s="10" t="s">
        <v>2408</v>
      </c>
      <c r="F369" s="10" t="s">
        <v>1140</v>
      </c>
      <c r="G369" s="10" t="s">
        <v>1121</v>
      </c>
      <c r="H369" s="10" t="s">
        <v>1122</v>
      </c>
      <c r="I369" s="10" t="s">
        <v>1141</v>
      </c>
      <c r="J369" s="10" t="s">
        <v>2520</v>
      </c>
      <c r="K369" s="10" t="s">
        <v>1125</v>
      </c>
      <c r="L369" s="10" t="s">
        <v>1126</v>
      </c>
      <c r="M369" s="11" t="s">
        <v>1127</v>
      </c>
    </row>
    <row r="370" spans="1:13" ht="62" customHeight="1">
      <c r="A370" s="8" t="s">
        <v>2521</v>
      </c>
      <c r="B370" s="8" t="s">
        <v>2522</v>
      </c>
      <c r="C370" s="8" t="s">
        <v>2523</v>
      </c>
      <c r="D370" s="8" t="s">
        <v>1131</v>
      </c>
      <c r="E370" s="8" t="s">
        <v>1132</v>
      </c>
      <c r="F370" s="8" t="s">
        <v>1120</v>
      </c>
      <c r="G370" s="8" t="s">
        <v>1121</v>
      </c>
      <c r="H370" s="8" t="s">
        <v>1134</v>
      </c>
      <c r="I370" s="8" t="s">
        <v>1123</v>
      </c>
      <c r="J370" s="8" t="s">
        <v>1124</v>
      </c>
      <c r="K370" s="8" t="s">
        <v>1135</v>
      </c>
      <c r="L370" s="8" t="s">
        <v>1161</v>
      </c>
      <c r="M370" s="9" t="s">
        <v>1127</v>
      </c>
    </row>
    <row r="371" spans="1:13" ht="62" customHeight="1">
      <c r="A371" s="10" t="s">
        <v>2524</v>
      </c>
      <c r="B371" s="10" t="s">
        <v>2525</v>
      </c>
      <c r="C371" s="10" t="s">
        <v>2526</v>
      </c>
      <c r="D371" s="10" t="s">
        <v>1131</v>
      </c>
      <c r="E371" s="10" t="s">
        <v>2527</v>
      </c>
      <c r="F371" s="10" t="s">
        <v>1120</v>
      </c>
      <c r="G371" s="10" t="s">
        <v>1121</v>
      </c>
      <c r="H371" s="10" t="s">
        <v>1122</v>
      </c>
      <c r="I371" s="10" t="s">
        <v>1141</v>
      </c>
      <c r="J371" s="10" t="s">
        <v>2528</v>
      </c>
      <c r="K371" s="10" t="s">
        <v>1125</v>
      </c>
      <c r="L371" s="10" t="s">
        <v>1126</v>
      </c>
      <c r="M371" s="11" t="s">
        <v>1192</v>
      </c>
    </row>
    <row r="372" spans="1:13" ht="62" customHeight="1">
      <c r="A372" s="8" t="s">
        <v>2529</v>
      </c>
      <c r="B372" s="8" t="s">
        <v>2530</v>
      </c>
      <c r="C372" s="8" t="s">
        <v>2531</v>
      </c>
      <c r="D372" s="8" t="s">
        <v>2532</v>
      </c>
      <c r="E372" s="8" t="s">
        <v>2533</v>
      </c>
      <c r="F372" s="8" t="s">
        <v>1120</v>
      </c>
      <c r="G372" s="8" t="s">
        <v>1133</v>
      </c>
      <c r="H372" s="8" t="s">
        <v>1134</v>
      </c>
      <c r="I372" s="8" t="s">
        <v>1180</v>
      </c>
      <c r="J372" s="8" t="s">
        <v>1205</v>
      </c>
      <c r="K372" s="8" t="s">
        <v>1125</v>
      </c>
      <c r="L372" s="12" t="s">
        <v>1136</v>
      </c>
      <c r="M372" s="9" t="s">
        <v>1127</v>
      </c>
    </row>
    <row r="373" spans="1:13" ht="62" customHeight="1">
      <c r="A373" s="10" t="s">
        <v>2534</v>
      </c>
      <c r="B373" s="10" t="s">
        <v>2535</v>
      </c>
      <c r="C373" s="10" t="s">
        <v>2536</v>
      </c>
      <c r="D373" s="10" t="s">
        <v>1131</v>
      </c>
      <c r="E373" s="10" t="s">
        <v>1132</v>
      </c>
      <c r="F373" s="10" t="s">
        <v>1140</v>
      </c>
      <c r="G373" s="10" t="s">
        <v>1121</v>
      </c>
      <c r="H373" s="10" t="s">
        <v>1122</v>
      </c>
      <c r="I373" s="10" t="s">
        <v>1301</v>
      </c>
      <c r="J373" s="10" t="s">
        <v>2537</v>
      </c>
      <c r="K373" s="10" t="s">
        <v>1135</v>
      </c>
      <c r="L373" s="10" t="s">
        <v>1126</v>
      </c>
      <c r="M373" s="11" t="s">
        <v>1150</v>
      </c>
    </row>
    <row r="374" spans="1:13" ht="62" customHeight="1">
      <c r="A374" s="8" t="s">
        <v>2538</v>
      </c>
      <c r="B374" s="8" t="s">
        <v>2539</v>
      </c>
      <c r="C374" s="8" t="s">
        <v>2540</v>
      </c>
      <c r="D374" s="8" t="s">
        <v>1131</v>
      </c>
      <c r="E374" s="8" t="s">
        <v>1132</v>
      </c>
      <c r="F374" s="8" t="s">
        <v>1140</v>
      </c>
      <c r="G374" s="8" t="s">
        <v>1121</v>
      </c>
      <c r="H374" s="8" t="s">
        <v>1122</v>
      </c>
      <c r="I374" s="8" t="s">
        <v>1180</v>
      </c>
      <c r="J374" s="8" t="s">
        <v>1205</v>
      </c>
      <c r="K374" s="8" t="s">
        <v>1135</v>
      </c>
      <c r="L374" s="8" t="s">
        <v>1126</v>
      </c>
      <c r="M374" s="9" t="s">
        <v>1150</v>
      </c>
    </row>
    <row r="375" spans="1:13" ht="62" customHeight="1">
      <c r="A375" s="10" t="s">
        <v>2541</v>
      </c>
      <c r="B375" s="10" t="s">
        <v>2542</v>
      </c>
      <c r="C375" s="10" t="s">
        <v>2543</v>
      </c>
      <c r="D375" s="10" t="s">
        <v>1131</v>
      </c>
      <c r="E375" s="10" t="s">
        <v>1132</v>
      </c>
      <c r="F375" s="10" t="s">
        <v>1140</v>
      </c>
      <c r="G375" s="10" t="s">
        <v>1121</v>
      </c>
      <c r="H375" s="10" t="s">
        <v>1122</v>
      </c>
      <c r="I375" s="10" t="s">
        <v>1180</v>
      </c>
      <c r="J375" s="10" t="s">
        <v>1205</v>
      </c>
      <c r="K375" s="10" t="s">
        <v>1135</v>
      </c>
      <c r="L375" s="10" t="s">
        <v>1126</v>
      </c>
      <c r="M375" s="11" t="s">
        <v>1150</v>
      </c>
    </row>
    <row r="376" spans="1:13" ht="62" customHeight="1">
      <c r="A376" s="8" t="s">
        <v>2544</v>
      </c>
      <c r="B376" s="8" t="s">
        <v>2545</v>
      </c>
      <c r="C376" s="8" t="s">
        <v>2546</v>
      </c>
      <c r="D376" s="8" t="s">
        <v>1131</v>
      </c>
      <c r="E376" s="8" t="s">
        <v>1132</v>
      </c>
      <c r="F376" s="8" t="s">
        <v>1140</v>
      </c>
      <c r="G376" s="8" t="s">
        <v>1121</v>
      </c>
      <c r="H376" s="8" t="s">
        <v>1122</v>
      </c>
      <c r="I376" s="8" t="s">
        <v>1123</v>
      </c>
      <c r="J376" s="8" t="s">
        <v>1124</v>
      </c>
      <c r="K376" s="8" t="s">
        <v>1135</v>
      </c>
      <c r="L376" s="8" t="s">
        <v>1126</v>
      </c>
      <c r="M376" s="9" t="s">
        <v>1150</v>
      </c>
    </row>
    <row r="377" spans="1:13" ht="62" customHeight="1">
      <c r="A377" s="10" t="s">
        <v>2547</v>
      </c>
      <c r="B377" s="10" t="s">
        <v>2548</v>
      </c>
      <c r="C377" s="10" t="s">
        <v>2549</v>
      </c>
      <c r="D377" s="10" t="s">
        <v>1118</v>
      </c>
      <c r="E377" s="10" t="s">
        <v>1132</v>
      </c>
      <c r="F377" s="10" t="s">
        <v>1140</v>
      </c>
      <c r="G377" s="10" t="s">
        <v>1121</v>
      </c>
      <c r="H377" s="10" t="s">
        <v>1122</v>
      </c>
      <c r="I377" s="10" t="s">
        <v>1123</v>
      </c>
      <c r="J377" s="10" t="s">
        <v>1124</v>
      </c>
      <c r="K377" s="10" t="s">
        <v>1135</v>
      </c>
      <c r="L377" s="10" t="s">
        <v>1126</v>
      </c>
      <c r="M377" s="11" t="s">
        <v>1150</v>
      </c>
    </row>
    <row r="378" spans="1:13" ht="62" customHeight="1">
      <c r="A378" s="8" t="s">
        <v>2550</v>
      </c>
      <c r="B378" s="8" t="s">
        <v>2551</v>
      </c>
      <c r="C378" s="8" t="s">
        <v>2552</v>
      </c>
      <c r="D378" s="8" t="s">
        <v>1131</v>
      </c>
      <c r="E378" s="8" t="s">
        <v>1132</v>
      </c>
      <c r="F378" s="8" t="s">
        <v>1140</v>
      </c>
      <c r="G378" s="8" t="s">
        <v>1121</v>
      </c>
      <c r="H378" s="8" t="s">
        <v>1122</v>
      </c>
      <c r="I378" s="8" t="s">
        <v>1141</v>
      </c>
      <c r="J378" s="8" t="s">
        <v>2024</v>
      </c>
      <c r="K378" s="8" t="s">
        <v>1135</v>
      </c>
      <c r="L378" s="8" t="s">
        <v>1126</v>
      </c>
      <c r="M378" s="9" t="s">
        <v>1150</v>
      </c>
    </row>
    <row r="379" spans="1:13" ht="62" customHeight="1">
      <c r="A379" s="10" t="s">
        <v>2553</v>
      </c>
      <c r="B379" s="10" t="s">
        <v>2554</v>
      </c>
      <c r="C379" s="10" t="s">
        <v>2555</v>
      </c>
      <c r="D379" s="10" t="s">
        <v>2556</v>
      </c>
      <c r="E379" s="10" t="s">
        <v>1132</v>
      </c>
      <c r="F379" s="10" t="s">
        <v>1140</v>
      </c>
      <c r="G379" s="10" t="s">
        <v>1133</v>
      </c>
      <c r="H379" s="10" t="s">
        <v>1122</v>
      </c>
      <c r="I379" s="10" t="s">
        <v>1141</v>
      </c>
      <c r="J379" s="10" t="s">
        <v>1205</v>
      </c>
      <c r="K379" s="10" t="s">
        <v>1135</v>
      </c>
      <c r="L379" s="12" t="s">
        <v>1136</v>
      </c>
      <c r="M379" s="11" t="s">
        <v>1127</v>
      </c>
    </row>
    <row r="380" spans="1:13" ht="62" customHeight="1">
      <c r="A380" s="8" t="s">
        <v>2557</v>
      </c>
      <c r="B380" s="8" t="s">
        <v>2558</v>
      </c>
      <c r="C380" s="8" t="s">
        <v>2559</v>
      </c>
      <c r="D380" s="8" t="s">
        <v>1131</v>
      </c>
      <c r="E380" s="8" t="s">
        <v>1119</v>
      </c>
      <c r="F380" s="8" t="s">
        <v>1120</v>
      </c>
      <c r="G380" s="8" t="s">
        <v>1121</v>
      </c>
      <c r="H380" s="8" t="s">
        <v>1122</v>
      </c>
      <c r="I380" s="8" t="s">
        <v>1123</v>
      </c>
      <c r="J380" s="8" t="s">
        <v>1124</v>
      </c>
      <c r="K380" s="8" t="s">
        <v>1243</v>
      </c>
      <c r="L380" s="8" t="s">
        <v>1126</v>
      </c>
      <c r="M380" s="9" t="s">
        <v>1127</v>
      </c>
    </row>
    <row r="381" spans="1:13" ht="62" customHeight="1">
      <c r="A381" s="10" t="s">
        <v>2560</v>
      </c>
      <c r="B381" s="10" t="s">
        <v>2561</v>
      </c>
      <c r="C381" s="10" t="s">
        <v>2562</v>
      </c>
      <c r="D381" s="10" t="s">
        <v>1131</v>
      </c>
      <c r="E381" s="10" t="s">
        <v>1242</v>
      </c>
      <c r="F381" s="10" t="s">
        <v>1120</v>
      </c>
      <c r="G381" s="10" t="s">
        <v>1121</v>
      </c>
      <c r="H381" s="10" t="s">
        <v>1122</v>
      </c>
      <c r="I381" s="10" t="s">
        <v>1123</v>
      </c>
      <c r="J381" s="10" t="s">
        <v>1124</v>
      </c>
      <c r="K381" s="10" t="s">
        <v>1243</v>
      </c>
      <c r="L381" s="10" t="s">
        <v>1126</v>
      </c>
      <c r="M381" s="11" t="s">
        <v>1127</v>
      </c>
    </row>
    <row r="382" spans="1:13" ht="62" customHeight="1">
      <c r="A382" s="8" t="s">
        <v>2563</v>
      </c>
      <c r="B382" s="8" t="s">
        <v>2564</v>
      </c>
      <c r="C382" s="8" t="s">
        <v>2565</v>
      </c>
      <c r="D382" s="8" t="s">
        <v>1131</v>
      </c>
      <c r="E382" s="8" t="s">
        <v>1242</v>
      </c>
      <c r="F382" s="8" t="s">
        <v>1120</v>
      </c>
      <c r="G382" s="8" t="s">
        <v>1133</v>
      </c>
      <c r="H382" s="8" t="s">
        <v>1134</v>
      </c>
      <c r="I382" s="8" t="s">
        <v>1123</v>
      </c>
      <c r="J382" s="8" t="s">
        <v>1124</v>
      </c>
      <c r="K382" s="8" t="s">
        <v>1125</v>
      </c>
      <c r="L382" s="12" t="s">
        <v>1136</v>
      </c>
      <c r="M382" s="9" t="s">
        <v>1127</v>
      </c>
    </row>
    <row r="383" spans="1:13" ht="62" customHeight="1">
      <c r="A383" s="10" t="s">
        <v>2566</v>
      </c>
      <c r="B383" s="10" t="s">
        <v>2567</v>
      </c>
      <c r="C383" s="10" t="s">
        <v>2568</v>
      </c>
      <c r="D383" s="10" t="s">
        <v>1285</v>
      </c>
      <c r="E383" s="10" t="s">
        <v>1119</v>
      </c>
      <c r="F383" s="10" t="s">
        <v>1140</v>
      </c>
      <c r="G383" s="10" t="s">
        <v>1133</v>
      </c>
      <c r="H383" s="10" t="s">
        <v>1134</v>
      </c>
      <c r="I383" s="10" t="s">
        <v>1123</v>
      </c>
      <c r="J383" s="10" t="s">
        <v>1124</v>
      </c>
      <c r="K383" s="10" t="s">
        <v>1125</v>
      </c>
      <c r="L383" s="12" t="s">
        <v>1136</v>
      </c>
      <c r="M383" s="11" t="s">
        <v>1127</v>
      </c>
    </row>
    <row r="384" spans="1:13" ht="62" customHeight="1">
      <c r="A384" s="8" t="s">
        <v>2569</v>
      </c>
      <c r="B384" s="8" t="s">
        <v>2570</v>
      </c>
      <c r="C384" s="8" t="s">
        <v>2571</v>
      </c>
      <c r="D384" s="8" t="s">
        <v>1285</v>
      </c>
      <c r="E384" s="8" t="s">
        <v>1119</v>
      </c>
      <c r="F384" s="8" t="s">
        <v>1120</v>
      </c>
      <c r="G384" s="8" t="s">
        <v>1133</v>
      </c>
      <c r="H384" s="8" t="s">
        <v>1134</v>
      </c>
      <c r="I384" s="8" t="s">
        <v>1123</v>
      </c>
      <c r="J384" s="8" t="s">
        <v>1124</v>
      </c>
      <c r="K384" s="8" t="s">
        <v>1125</v>
      </c>
      <c r="L384" s="12" t="s">
        <v>1136</v>
      </c>
      <c r="M384" s="9" t="s">
        <v>1127</v>
      </c>
    </row>
    <row r="385" spans="1:13" ht="62" customHeight="1">
      <c r="A385" s="10" t="s">
        <v>2572</v>
      </c>
      <c r="B385" s="10" t="s">
        <v>2573</v>
      </c>
      <c r="C385" s="10" t="s">
        <v>2574</v>
      </c>
      <c r="D385" s="10" t="s">
        <v>1131</v>
      </c>
      <c r="E385" s="10" t="s">
        <v>1119</v>
      </c>
      <c r="F385" s="10" t="s">
        <v>1120</v>
      </c>
      <c r="G385" s="10" t="s">
        <v>1121</v>
      </c>
      <c r="H385" s="10" t="s">
        <v>1134</v>
      </c>
      <c r="I385" s="10" t="s">
        <v>1123</v>
      </c>
      <c r="J385" s="10" t="s">
        <v>1124</v>
      </c>
      <c r="K385" s="10" t="s">
        <v>1125</v>
      </c>
      <c r="L385" s="10" t="s">
        <v>1161</v>
      </c>
      <c r="M385" s="11" t="s">
        <v>1127</v>
      </c>
    </row>
    <row r="386" spans="1:13" ht="62" customHeight="1">
      <c r="A386" s="8" t="s">
        <v>2575</v>
      </c>
      <c r="B386" s="8" t="s">
        <v>2576</v>
      </c>
      <c r="C386" s="8" t="s">
        <v>2577</v>
      </c>
      <c r="D386" s="8" t="s">
        <v>1131</v>
      </c>
      <c r="E386" s="8" t="s">
        <v>1609</v>
      </c>
      <c r="F386" s="8" t="s">
        <v>1120</v>
      </c>
      <c r="G386" s="8" t="s">
        <v>1121</v>
      </c>
      <c r="H386" s="8" t="s">
        <v>1122</v>
      </c>
      <c r="I386" s="8" t="s">
        <v>1141</v>
      </c>
      <c r="J386" s="8" t="s">
        <v>1509</v>
      </c>
      <c r="K386" s="8" t="s">
        <v>1125</v>
      </c>
      <c r="L386" s="8" t="s">
        <v>1126</v>
      </c>
      <c r="M386" s="9" t="s">
        <v>1150</v>
      </c>
    </row>
    <row r="387" spans="1:13" ht="62" customHeight="1">
      <c r="A387" s="10" t="s">
        <v>2578</v>
      </c>
      <c r="B387" s="10" t="s">
        <v>2579</v>
      </c>
      <c r="C387" s="10" t="s">
        <v>2580</v>
      </c>
      <c r="D387" s="10" t="s">
        <v>1131</v>
      </c>
      <c r="E387" s="10" t="s">
        <v>1119</v>
      </c>
      <c r="F387" s="10" t="s">
        <v>1120</v>
      </c>
      <c r="G387" s="10" t="s">
        <v>1121</v>
      </c>
      <c r="H387" s="10" t="s">
        <v>1122</v>
      </c>
      <c r="I387" s="10" t="s">
        <v>1123</v>
      </c>
      <c r="J387" s="10" t="s">
        <v>1124</v>
      </c>
      <c r="K387" s="10" t="s">
        <v>1125</v>
      </c>
      <c r="L387" s="10" t="s">
        <v>1126</v>
      </c>
      <c r="M387" s="11" t="s">
        <v>1150</v>
      </c>
    </row>
    <row r="388" spans="1:13" ht="62" customHeight="1">
      <c r="A388" s="8" t="s">
        <v>2581</v>
      </c>
      <c r="B388" s="8" t="s">
        <v>2582</v>
      </c>
      <c r="C388" s="8" t="s">
        <v>2583</v>
      </c>
      <c r="D388" s="8" t="s">
        <v>2584</v>
      </c>
      <c r="E388" s="8" t="s">
        <v>2585</v>
      </c>
      <c r="F388" s="8" t="s">
        <v>1120</v>
      </c>
      <c r="G388" s="8" t="s">
        <v>1133</v>
      </c>
      <c r="H388" s="8" t="s">
        <v>1122</v>
      </c>
      <c r="I388" s="8" t="s">
        <v>1180</v>
      </c>
      <c r="J388" s="8" t="s">
        <v>1205</v>
      </c>
      <c r="K388" s="8" t="s">
        <v>1125</v>
      </c>
      <c r="L388" s="12" t="s">
        <v>1136</v>
      </c>
      <c r="M388" s="9" t="s">
        <v>1150</v>
      </c>
    </row>
    <row r="389" spans="1:13" ht="62" customHeight="1">
      <c r="A389" s="10" t="s">
        <v>2586</v>
      </c>
      <c r="B389" s="10" t="s">
        <v>2587</v>
      </c>
      <c r="C389" s="10" t="s">
        <v>2588</v>
      </c>
      <c r="D389" s="10" t="s">
        <v>2589</v>
      </c>
      <c r="E389" s="10" t="s">
        <v>2590</v>
      </c>
      <c r="F389" s="10" t="s">
        <v>1120</v>
      </c>
      <c r="G389" s="10" t="s">
        <v>1133</v>
      </c>
      <c r="H389" s="10" t="s">
        <v>1134</v>
      </c>
      <c r="I389" s="10" t="s">
        <v>1180</v>
      </c>
      <c r="J389" s="10" t="s">
        <v>1205</v>
      </c>
      <c r="K389" s="10" t="s">
        <v>1125</v>
      </c>
      <c r="L389" s="12" t="s">
        <v>1136</v>
      </c>
      <c r="M389" s="11" t="s">
        <v>1127</v>
      </c>
    </row>
    <row r="390" spans="1:13" ht="62" customHeight="1">
      <c r="A390" s="8" t="s">
        <v>2591</v>
      </c>
      <c r="B390" s="8" t="s">
        <v>2592</v>
      </c>
      <c r="C390" s="8" t="s">
        <v>2593</v>
      </c>
      <c r="D390" s="8" t="s">
        <v>1131</v>
      </c>
      <c r="E390" s="8" t="s">
        <v>1930</v>
      </c>
      <c r="F390" s="8" t="s">
        <v>1120</v>
      </c>
      <c r="G390" s="8" t="s">
        <v>1121</v>
      </c>
      <c r="H390" s="8" t="s">
        <v>1122</v>
      </c>
      <c r="I390" s="8" t="s">
        <v>1141</v>
      </c>
      <c r="J390" s="8" t="s">
        <v>2594</v>
      </c>
      <c r="K390" s="8" t="s">
        <v>1243</v>
      </c>
      <c r="L390" s="8" t="s">
        <v>1126</v>
      </c>
      <c r="M390" s="9" t="s">
        <v>1192</v>
      </c>
    </row>
    <row r="391" spans="1:13" ht="62" customHeight="1">
      <c r="A391" s="10" t="s">
        <v>2595</v>
      </c>
      <c r="B391" s="10" t="s">
        <v>2596</v>
      </c>
      <c r="C391" s="10" t="s">
        <v>2597</v>
      </c>
      <c r="D391" s="10" t="s">
        <v>1131</v>
      </c>
      <c r="E391" s="10" t="s">
        <v>1119</v>
      </c>
      <c r="F391" s="10" t="s">
        <v>1140</v>
      </c>
      <c r="G391" s="10" t="s">
        <v>1121</v>
      </c>
      <c r="H391" s="10" t="s">
        <v>1122</v>
      </c>
      <c r="I391" s="10" t="s">
        <v>1123</v>
      </c>
      <c r="J391" s="10" t="s">
        <v>1124</v>
      </c>
      <c r="K391" s="10" t="s">
        <v>1125</v>
      </c>
      <c r="L391" s="10" t="s">
        <v>1126</v>
      </c>
      <c r="M391" s="11" t="s">
        <v>1127</v>
      </c>
    </row>
    <row r="392" spans="1:13" ht="62" customHeight="1">
      <c r="A392" s="8" t="s">
        <v>2598</v>
      </c>
      <c r="B392" s="8" t="s">
        <v>2599</v>
      </c>
      <c r="C392" s="8" t="s">
        <v>2600</v>
      </c>
      <c r="D392" s="8" t="s">
        <v>1131</v>
      </c>
      <c r="E392" s="8" t="s">
        <v>1119</v>
      </c>
      <c r="F392" s="8" t="s">
        <v>1120</v>
      </c>
      <c r="G392" s="8" t="s">
        <v>1121</v>
      </c>
      <c r="H392" s="8" t="s">
        <v>1122</v>
      </c>
      <c r="I392" s="8" t="s">
        <v>1123</v>
      </c>
      <c r="J392" s="8" t="s">
        <v>1124</v>
      </c>
      <c r="K392" s="8" t="s">
        <v>1243</v>
      </c>
      <c r="L392" s="8" t="s">
        <v>1126</v>
      </c>
      <c r="M392" s="9" t="s">
        <v>1386</v>
      </c>
    </row>
    <row r="393" spans="1:13" ht="177" customHeight="1">
      <c r="A393" s="10" t="s">
        <v>2601</v>
      </c>
      <c r="B393" s="10" t="s">
        <v>561</v>
      </c>
      <c r="C393" s="10" t="s">
        <v>2602</v>
      </c>
      <c r="D393" s="10" t="s">
        <v>1118</v>
      </c>
      <c r="E393" s="10" t="s">
        <v>2603</v>
      </c>
      <c r="F393" s="10" t="s">
        <v>1120</v>
      </c>
      <c r="G393" s="10" t="s">
        <v>1121</v>
      </c>
      <c r="H393" s="10" t="s">
        <v>1122</v>
      </c>
      <c r="I393" s="10" t="s">
        <v>1301</v>
      </c>
      <c r="J393" s="10" t="s">
        <v>2604</v>
      </c>
      <c r="K393" s="10" t="s">
        <v>1243</v>
      </c>
      <c r="L393" s="10" t="s">
        <v>1126</v>
      </c>
      <c r="M393" s="11" t="s">
        <v>1386</v>
      </c>
    </row>
    <row r="394" spans="1:13" ht="62" customHeight="1">
      <c r="A394" s="8" t="s">
        <v>2605</v>
      </c>
      <c r="B394" s="8" t="s">
        <v>2606</v>
      </c>
      <c r="C394" s="8" t="s">
        <v>2607</v>
      </c>
      <c r="D394" s="8" t="s">
        <v>1131</v>
      </c>
      <c r="E394" s="8" t="s">
        <v>2075</v>
      </c>
      <c r="F394" s="8" t="s">
        <v>1120</v>
      </c>
      <c r="G394" s="8" t="s">
        <v>1121</v>
      </c>
      <c r="H394" s="8" t="s">
        <v>1122</v>
      </c>
      <c r="I394" s="8" t="s">
        <v>1141</v>
      </c>
      <c r="J394" s="8" t="s">
        <v>1188</v>
      </c>
      <c r="K394" s="8" t="s">
        <v>1243</v>
      </c>
      <c r="L394" s="8" t="s">
        <v>1126</v>
      </c>
      <c r="M394" s="9" t="s">
        <v>1386</v>
      </c>
    </row>
    <row r="395" spans="1:13" ht="78" customHeight="1">
      <c r="A395" s="10" t="s">
        <v>2608</v>
      </c>
      <c r="B395" s="10" t="s">
        <v>2609</v>
      </c>
      <c r="C395" s="10" t="s">
        <v>2610</v>
      </c>
      <c r="D395" s="10" t="s">
        <v>2611</v>
      </c>
      <c r="E395" s="10" t="s">
        <v>1728</v>
      </c>
      <c r="F395" s="10" t="s">
        <v>1140</v>
      </c>
      <c r="G395" s="10" t="s">
        <v>1121</v>
      </c>
      <c r="H395" s="10" t="s">
        <v>1122</v>
      </c>
      <c r="I395" s="10" t="s">
        <v>1301</v>
      </c>
      <c r="J395" s="10" t="s">
        <v>2611</v>
      </c>
      <c r="K395" s="10" t="s">
        <v>1125</v>
      </c>
      <c r="L395" s="10" t="s">
        <v>1126</v>
      </c>
      <c r="M395" s="11" t="s">
        <v>2138</v>
      </c>
    </row>
    <row r="396" spans="1:13" ht="62" customHeight="1">
      <c r="A396" s="8" t="s">
        <v>2612</v>
      </c>
      <c r="B396" s="8" t="s">
        <v>2613</v>
      </c>
      <c r="C396" s="8" t="s">
        <v>2614</v>
      </c>
      <c r="D396" s="8" t="s">
        <v>1131</v>
      </c>
      <c r="E396" s="8" t="s">
        <v>1242</v>
      </c>
      <c r="F396" s="8" t="s">
        <v>1120</v>
      </c>
      <c r="G396" s="8" t="s">
        <v>1121</v>
      </c>
      <c r="H396" s="8" t="s">
        <v>1122</v>
      </c>
      <c r="I396" s="8" t="s">
        <v>1123</v>
      </c>
      <c r="J396" s="8" t="s">
        <v>1124</v>
      </c>
      <c r="K396" s="8" t="s">
        <v>1125</v>
      </c>
      <c r="L396" s="8" t="s">
        <v>1126</v>
      </c>
      <c r="M396" s="9" t="s">
        <v>2138</v>
      </c>
    </row>
    <row r="397" spans="1:13" ht="62" customHeight="1">
      <c r="A397" s="10" t="s">
        <v>2615</v>
      </c>
      <c r="B397" s="10" t="s">
        <v>2616</v>
      </c>
      <c r="C397" s="10" t="s">
        <v>2617</v>
      </c>
      <c r="D397" s="10" t="s">
        <v>1131</v>
      </c>
      <c r="E397" s="10" t="s">
        <v>1464</v>
      </c>
      <c r="F397" s="10" t="s">
        <v>1120</v>
      </c>
      <c r="G397" s="10" t="s">
        <v>1121</v>
      </c>
      <c r="H397" s="10" t="s">
        <v>1122</v>
      </c>
      <c r="I397" s="10" t="s">
        <v>1141</v>
      </c>
      <c r="J397" s="10" t="s">
        <v>2618</v>
      </c>
      <c r="K397" s="10" t="s">
        <v>1125</v>
      </c>
      <c r="L397" s="10" t="s">
        <v>1126</v>
      </c>
      <c r="M397" s="11" t="s">
        <v>2138</v>
      </c>
    </row>
    <row r="398" spans="1:13" ht="62" customHeight="1">
      <c r="A398" s="8" t="s">
        <v>2619</v>
      </c>
      <c r="B398" s="8" t="s">
        <v>2620</v>
      </c>
      <c r="C398" s="8" t="s">
        <v>2621</v>
      </c>
      <c r="D398" s="8" t="s">
        <v>1131</v>
      </c>
      <c r="E398" s="8" t="s">
        <v>2527</v>
      </c>
      <c r="F398" s="8" t="s">
        <v>1120</v>
      </c>
      <c r="G398" s="8" t="s">
        <v>1121</v>
      </c>
      <c r="H398" s="8" t="s">
        <v>1122</v>
      </c>
      <c r="I398" s="8" t="s">
        <v>1141</v>
      </c>
      <c r="J398" s="8" t="s">
        <v>2528</v>
      </c>
      <c r="K398" s="8" t="s">
        <v>1125</v>
      </c>
      <c r="L398" s="8" t="s">
        <v>1126</v>
      </c>
      <c r="M398" s="9" t="s">
        <v>1192</v>
      </c>
    </row>
    <row r="399" spans="1:13" ht="62" customHeight="1">
      <c r="A399" s="10" t="s">
        <v>2622</v>
      </c>
      <c r="B399" s="10" t="s">
        <v>2623</v>
      </c>
      <c r="C399" s="10" t="s">
        <v>2624</v>
      </c>
      <c r="D399" s="10" t="s">
        <v>1131</v>
      </c>
      <c r="E399" s="10" t="s">
        <v>2527</v>
      </c>
      <c r="F399" s="10" t="s">
        <v>1120</v>
      </c>
      <c r="G399" s="10" t="s">
        <v>1121</v>
      </c>
      <c r="H399" s="10" t="s">
        <v>1122</v>
      </c>
      <c r="I399" s="10" t="s">
        <v>1141</v>
      </c>
      <c r="J399" s="10" t="s">
        <v>2528</v>
      </c>
      <c r="K399" s="10" t="s">
        <v>1125</v>
      </c>
      <c r="L399" s="10" t="s">
        <v>1126</v>
      </c>
      <c r="M399" s="11" t="s">
        <v>1192</v>
      </c>
    </row>
    <row r="400" spans="1:13" ht="62" customHeight="1">
      <c r="A400" s="8" t="s">
        <v>2625</v>
      </c>
      <c r="B400" s="8" t="s">
        <v>2626</v>
      </c>
      <c r="C400" s="8" t="s">
        <v>2627</v>
      </c>
      <c r="D400" s="8" t="s">
        <v>1285</v>
      </c>
      <c r="E400" s="8" t="s">
        <v>1687</v>
      </c>
      <c r="F400" s="8" t="s">
        <v>1120</v>
      </c>
      <c r="G400" s="8" t="s">
        <v>1133</v>
      </c>
      <c r="H400" s="8" t="s">
        <v>1122</v>
      </c>
      <c r="I400" s="8" t="s">
        <v>1141</v>
      </c>
      <c r="J400" s="8" t="s">
        <v>1372</v>
      </c>
      <c r="K400" s="8" t="s">
        <v>1125</v>
      </c>
      <c r="L400" s="12" t="s">
        <v>1136</v>
      </c>
      <c r="M400" s="9" t="s">
        <v>1127</v>
      </c>
    </row>
    <row r="401" spans="1:13" ht="62" customHeight="1">
      <c r="A401" s="10" t="s">
        <v>2628</v>
      </c>
      <c r="B401" s="10" t="s">
        <v>2629</v>
      </c>
      <c r="C401" s="10" t="s">
        <v>2630</v>
      </c>
      <c r="D401" s="10" t="s">
        <v>1131</v>
      </c>
      <c r="E401" s="10" t="s">
        <v>1739</v>
      </c>
      <c r="F401" s="10" t="s">
        <v>1120</v>
      </c>
      <c r="G401" s="10" t="s">
        <v>1121</v>
      </c>
      <c r="H401" s="10" t="s">
        <v>1122</v>
      </c>
      <c r="I401" s="10" t="s">
        <v>1141</v>
      </c>
      <c r="J401" s="10" t="s">
        <v>1372</v>
      </c>
      <c r="K401" s="10" t="s">
        <v>1125</v>
      </c>
      <c r="L401" s="10" t="s">
        <v>1126</v>
      </c>
      <c r="M401" s="11" t="s">
        <v>1286</v>
      </c>
    </row>
    <row r="402" spans="1:13" ht="62" customHeight="1">
      <c r="A402" s="8" t="s">
        <v>2631</v>
      </c>
      <c r="B402" s="8" t="s">
        <v>2632</v>
      </c>
      <c r="C402" s="8" t="s">
        <v>2633</v>
      </c>
      <c r="D402" s="8" t="s">
        <v>1131</v>
      </c>
      <c r="E402" s="8" t="s">
        <v>1739</v>
      </c>
      <c r="F402" s="8" t="s">
        <v>1120</v>
      </c>
      <c r="G402" s="8" t="s">
        <v>1121</v>
      </c>
      <c r="H402" s="8" t="s">
        <v>1122</v>
      </c>
      <c r="I402" s="8" t="s">
        <v>1141</v>
      </c>
      <c r="J402" s="8" t="s">
        <v>1372</v>
      </c>
      <c r="K402" s="8" t="s">
        <v>1125</v>
      </c>
      <c r="L402" s="8" t="s">
        <v>1126</v>
      </c>
      <c r="M402" s="9" t="s">
        <v>1286</v>
      </c>
    </row>
    <row r="403" spans="1:13" ht="62" customHeight="1">
      <c r="A403" s="10" t="s">
        <v>2634</v>
      </c>
      <c r="B403" s="10" t="s">
        <v>2635</v>
      </c>
      <c r="C403" s="10" t="s">
        <v>2636</v>
      </c>
      <c r="D403" s="10" t="s">
        <v>1131</v>
      </c>
      <c r="E403" s="10" t="s">
        <v>1132</v>
      </c>
      <c r="F403" s="10" t="s">
        <v>1120</v>
      </c>
      <c r="G403" s="10" t="s">
        <v>1121</v>
      </c>
      <c r="H403" s="10" t="s">
        <v>1134</v>
      </c>
      <c r="I403" s="10" t="s">
        <v>1123</v>
      </c>
      <c r="J403" s="10" t="s">
        <v>1124</v>
      </c>
      <c r="K403" s="10" t="s">
        <v>1135</v>
      </c>
      <c r="L403" s="10" t="s">
        <v>1161</v>
      </c>
      <c r="M403" s="11" t="s">
        <v>1127</v>
      </c>
    </row>
    <row r="404" spans="1:13" ht="62" customHeight="1">
      <c r="A404" s="8" t="s">
        <v>2637</v>
      </c>
      <c r="B404" s="8" t="s">
        <v>2638</v>
      </c>
      <c r="C404" s="8" t="s">
        <v>2639</v>
      </c>
      <c r="D404" s="8" t="s">
        <v>1131</v>
      </c>
      <c r="E404" s="8" t="s">
        <v>1132</v>
      </c>
      <c r="F404" s="8" t="s">
        <v>1120</v>
      </c>
      <c r="G404" s="8" t="s">
        <v>1133</v>
      </c>
      <c r="H404" s="8" t="s">
        <v>1134</v>
      </c>
      <c r="I404" s="8" t="s">
        <v>1141</v>
      </c>
      <c r="J404" s="8" t="s">
        <v>2640</v>
      </c>
      <c r="K404" s="8" t="s">
        <v>1135</v>
      </c>
      <c r="L404" s="12" t="s">
        <v>1136</v>
      </c>
      <c r="M404" s="9" t="s">
        <v>1192</v>
      </c>
    </row>
    <row r="405" spans="1:13" ht="62" customHeight="1">
      <c r="A405" s="10" t="s">
        <v>2641</v>
      </c>
      <c r="B405" s="10" t="s">
        <v>2642</v>
      </c>
      <c r="C405" s="10" t="s">
        <v>2643</v>
      </c>
      <c r="D405" s="10" t="s">
        <v>2644</v>
      </c>
      <c r="E405" s="10" t="s">
        <v>1276</v>
      </c>
      <c r="F405" s="10" t="s">
        <v>1120</v>
      </c>
      <c r="G405" s="10" t="s">
        <v>1121</v>
      </c>
      <c r="H405" s="10" t="s">
        <v>1122</v>
      </c>
      <c r="I405" s="10" t="s">
        <v>1141</v>
      </c>
      <c r="J405" s="10" t="s">
        <v>2645</v>
      </c>
      <c r="K405" s="10" t="s">
        <v>1125</v>
      </c>
      <c r="L405" s="10" t="s">
        <v>1635</v>
      </c>
      <c r="M405" s="11" t="s">
        <v>1636</v>
      </c>
    </row>
    <row r="406" spans="1:13" ht="62" customHeight="1">
      <c r="A406" s="8" t="s">
        <v>2646</v>
      </c>
      <c r="B406" s="8" t="s">
        <v>2647</v>
      </c>
      <c r="C406" s="8" t="s">
        <v>2648</v>
      </c>
      <c r="D406" s="8" t="s">
        <v>2649</v>
      </c>
      <c r="E406" s="8" t="s">
        <v>2650</v>
      </c>
      <c r="F406" s="8" t="s">
        <v>1120</v>
      </c>
      <c r="G406" s="8" t="s">
        <v>1121</v>
      </c>
      <c r="H406" s="8" t="s">
        <v>1122</v>
      </c>
      <c r="I406" s="8" t="s">
        <v>1141</v>
      </c>
      <c r="J406" s="8" t="s">
        <v>2651</v>
      </c>
      <c r="K406" s="8" t="s">
        <v>1125</v>
      </c>
      <c r="L406" s="8" t="s">
        <v>1635</v>
      </c>
      <c r="M406" s="9" t="s">
        <v>1636</v>
      </c>
    </row>
    <row r="407" spans="1:13" ht="62" customHeight="1">
      <c r="A407" s="10" t="s">
        <v>2652</v>
      </c>
      <c r="B407" s="10" t="s">
        <v>2653</v>
      </c>
      <c r="C407" s="10" t="s">
        <v>2654</v>
      </c>
      <c r="D407" s="10" t="s">
        <v>1131</v>
      </c>
      <c r="E407" s="10" t="s">
        <v>2655</v>
      </c>
      <c r="F407" s="10" t="s">
        <v>1120</v>
      </c>
      <c r="G407" s="10" t="s">
        <v>1121</v>
      </c>
      <c r="H407" s="10" t="s">
        <v>1134</v>
      </c>
      <c r="I407" s="10" t="s">
        <v>1141</v>
      </c>
      <c r="J407" s="10" t="s">
        <v>1802</v>
      </c>
      <c r="K407" s="10" t="s">
        <v>1125</v>
      </c>
      <c r="L407" s="10" t="s">
        <v>1161</v>
      </c>
      <c r="M407" s="11" t="s">
        <v>1192</v>
      </c>
    </row>
    <row r="408" spans="1:13" ht="62" customHeight="1">
      <c r="A408" s="8" t="s">
        <v>2656</v>
      </c>
      <c r="B408" s="8" t="s">
        <v>2657</v>
      </c>
      <c r="C408" s="8" t="s">
        <v>2658</v>
      </c>
      <c r="D408" s="8" t="s">
        <v>1131</v>
      </c>
      <c r="E408" s="8" t="s">
        <v>2527</v>
      </c>
      <c r="F408" s="8" t="s">
        <v>1120</v>
      </c>
      <c r="G408" s="8" t="s">
        <v>1121</v>
      </c>
      <c r="H408" s="8" t="s">
        <v>1122</v>
      </c>
      <c r="I408" s="8" t="s">
        <v>1141</v>
      </c>
      <c r="J408" s="8" t="s">
        <v>2528</v>
      </c>
      <c r="K408" s="8" t="s">
        <v>1125</v>
      </c>
      <c r="L408" s="8" t="s">
        <v>1126</v>
      </c>
      <c r="M408" s="9" t="s">
        <v>1192</v>
      </c>
    </row>
    <row r="409" spans="1:13" ht="62" customHeight="1">
      <c r="A409" s="10" t="s">
        <v>2659</v>
      </c>
      <c r="B409" s="10" t="s">
        <v>2660</v>
      </c>
      <c r="C409" s="10" t="s">
        <v>2661</v>
      </c>
      <c r="D409" s="10" t="s">
        <v>2662</v>
      </c>
      <c r="E409" s="10" t="s">
        <v>1316</v>
      </c>
      <c r="F409" s="10" t="s">
        <v>1120</v>
      </c>
      <c r="G409" s="10" t="s">
        <v>1121</v>
      </c>
      <c r="H409" s="10" t="s">
        <v>1122</v>
      </c>
      <c r="I409" s="10" t="s">
        <v>1141</v>
      </c>
      <c r="J409" s="10" t="s">
        <v>1188</v>
      </c>
      <c r="K409" s="10" t="s">
        <v>1125</v>
      </c>
      <c r="L409" s="10" t="s">
        <v>1126</v>
      </c>
      <c r="M409" s="11" t="s">
        <v>1192</v>
      </c>
    </row>
    <row r="410" spans="1:13" ht="62" customHeight="1">
      <c r="A410" s="8" t="s">
        <v>2663</v>
      </c>
      <c r="B410" s="8" t="s">
        <v>2664</v>
      </c>
      <c r="C410" s="8" t="s">
        <v>2665</v>
      </c>
      <c r="D410" s="8" t="s">
        <v>1131</v>
      </c>
      <c r="E410" s="8" t="s">
        <v>2666</v>
      </c>
      <c r="F410" s="8" t="s">
        <v>1120</v>
      </c>
      <c r="G410" s="8" t="s">
        <v>1121</v>
      </c>
      <c r="H410" s="8" t="s">
        <v>1122</v>
      </c>
      <c r="I410" s="8" t="s">
        <v>1141</v>
      </c>
      <c r="J410" s="8" t="s">
        <v>2667</v>
      </c>
      <c r="K410" s="8" t="s">
        <v>1125</v>
      </c>
      <c r="L410" s="8" t="s">
        <v>1126</v>
      </c>
      <c r="M410" s="9" t="s">
        <v>1192</v>
      </c>
    </row>
    <row r="411" spans="1:13" ht="62" customHeight="1">
      <c r="A411" s="10" t="s">
        <v>2668</v>
      </c>
      <c r="B411" s="10" t="s">
        <v>2669</v>
      </c>
      <c r="C411" s="10" t="s">
        <v>2670</v>
      </c>
      <c r="D411" s="10" t="s">
        <v>1285</v>
      </c>
      <c r="E411" s="10" t="s">
        <v>1119</v>
      </c>
      <c r="F411" s="10" t="s">
        <v>1120</v>
      </c>
      <c r="G411" s="10" t="s">
        <v>1121</v>
      </c>
      <c r="H411" s="10" t="s">
        <v>1122</v>
      </c>
      <c r="I411" s="10" t="s">
        <v>1123</v>
      </c>
      <c r="J411" s="10" t="s">
        <v>1124</v>
      </c>
      <c r="K411" s="10" t="s">
        <v>1125</v>
      </c>
      <c r="L411" s="10" t="s">
        <v>1126</v>
      </c>
      <c r="M411" s="11" t="s">
        <v>1192</v>
      </c>
    </row>
    <row r="412" spans="1:13" ht="62" customHeight="1">
      <c r="A412" s="8" t="s">
        <v>2671</v>
      </c>
      <c r="B412" s="8" t="s">
        <v>2672</v>
      </c>
      <c r="C412" s="8" t="s">
        <v>2673</v>
      </c>
      <c r="D412" s="8" t="s">
        <v>2674</v>
      </c>
      <c r="E412" s="8" t="s">
        <v>1276</v>
      </c>
      <c r="F412" s="8" t="s">
        <v>1120</v>
      </c>
      <c r="G412" s="8" t="s">
        <v>1121</v>
      </c>
      <c r="H412" s="8" t="s">
        <v>1122</v>
      </c>
      <c r="I412" s="8" t="s">
        <v>1141</v>
      </c>
      <c r="J412" s="8" t="s">
        <v>2054</v>
      </c>
      <c r="K412" s="8" t="s">
        <v>1125</v>
      </c>
      <c r="L412" s="8" t="s">
        <v>1126</v>
      </c>
      <c r="M412" s="9" t="s">
        <v>1192</v>
      </c>
    </row>
    <row r="413" spans="1:13" ht="62" customHeight="1">
      <c r="A413" s="10" t="s">
        <v>2675</v>
      </c>
      <c r="B413" s="10" t="s">
        <v>2676</v>
      </c>
      <c r="C413" s="10" t="s">
        <v>2677</v>
      </c>
      <c r="D413" s="10" t="s">
        <v>2678</v>
      </c>
      <c r="E413" s="10" t="s">
        <v>2679</v>
      </c>
      <c r="F413" s="10" t="s">
        <v>1120</v>
      </c>
      <c r="G413" s="10" t="s">
        <v>1133</v>
      </c>
      <c r="H413" s="10" t="s">
        <v>1134</v>
      </c>
      <c r="I413" s="10" t="s">
        <v>1180</v>
      </c>
      <c r="J413" s="10" t="s">
        <v>2680</v>
      </c>
      <c r="K413" s="10" t="s">
        <v>1125</v>
      </c>
      <c r="L413" s="12" t="s">
        <v>1136</v>
      </c>
      <c r="M413" s="11" t="s">
        <v>1127</v>
      </c>
    </row>
    <row r="414" spans="1:13" ht="62" customHeight="1">
      <c r="A414" s="8" t="s">
        <v>2681</v>
      </c>
      <c r="B414" s="8" t="s">
        <v>2682</v>
      </c>
      <c r="C414" s="8" t="s">
        <v>2683</v>
      </c>
      <c r="D414" s="8" t="s">
        <v>2424</v>
      </c>
      <c r="E414" s="8" t="s">
        <v>1844</v>
      </c>
      <c r="F414" s="8" t="s">
        <v>1120</v>
      </c>
      <c r="G414" s="8" t="s">
        <v>1121</v>
      </c>
      <c r="H414" s="8" t="s">
        <v>1134</v>
      </c>
      <c r="I414" s="8" t="s">
        <v>1141</v>
      </c>
      <c r="J414" s="8" t="s">
        <v>2684</v>
      </c>
      <c r="K414" s="8" t="s">
        <v>1125</v>
      </c>
      <c r="L414" s="8" t="s">
        <v>1161</v>
      </c>
      <c r="M414" s="9" t="s">
        <v>1127</v>
      </c>
    </row>
    <row r="415" spans="1:13" ht="62" customHeight="1">
      <c r="A415" s="10" t="s">
        <v>2685</v>
      </c>
      <c r="B415" s="10" t="s">
        <v>2686</v>
      </c>
      <c r="C415" s="10" t="s">
        <v>2687</v>
      </c>
      <c r="D415" s="10" t="s">
        <v>1131</v>
      </c>
      <c r="E415" s="10" t="s">
        <v>2688</v>
      </c>
      <c r="F415" s="10" t="s">
        <v>1140</v>
      </c>
      <c r="G415" s="10" t="s">
        <v>1121</v>
      </c>
      <c r="H415" s="10" t="s">
        <v>1122</v>
      </c>
      <c r="I415" s="10" t="s">
        <v>1180</v>
      </c>
      <c r="J415" s="10" t="s">
        <v>2689</v>
      </c>
      <c r="K415" s="10" t="s">
        <v>1243</v>
      </c>
      <c r="L415" s="10" t="s">
        <v>1126</v>
      </c>
      <c r="M415" s="11" t="s">
        <v>1386</v>
      </c>
    </row>
    <row r="416" spans="1:13" ht="62" customHeight="1">
      <c r="A416" s="8" t="s">
        <v>2690</v>
      </c>
      <c r="B416" s="8" t="s">
        <v>2691</v>
      </c>
      <c r="C416" s="8" t="s">
        <v>2692</v>
      </c>
      <c r="D416" s="8" t="s">
        <v>2693</v>
      </c>
      <c r="E416" s="8" t="s">
        <v>1728</v>
      </c>
      <c r="F416" s="8" t="s">
        <v>1140</v>
      </c>
      <c r="G416" s="8" t="s">
        <v>1121</v>
      </c>
      <c r="H416" s="8" t="s">
        <v>1122</v>
      </c>
      <c r="I416" s="8" t="s">
        <v>1301</v>
      </c>
      <c r="J416" s="8" t="s">
        <v>2693</v>
      </c>
      <c r="K416" s="8" t="s">
        <v>1125</v>
      </c>
      <c r="L416" s="8" t="s">
        <v>1126</v>
      </c>
      <c r="M416" s="9" t="s">
        <v>2138</v>
      </c>
    </row>
    <row r="417" spans="1:13" ht="62" customHeight="1">
      <c r="A417" s="10" t="s">
        <v>2694</v>
      </c>
      <c r="B417" s="10" t="s">
        <v>2695</v>
      </c>
      <c r="C417" s="10" t="s">
        <v>2696</v>
      </c>
      <c r="D417" s="10" t="s">
        <v>1131</v>
      </c>
      <c r="E417" s="10" t="s">
        <v>2697</v>
      </c>
      <c r="F417" s="10" t="s">
        <v>1140</v>
      </c>
      <c r="G417" s="10" t="s">
        <v>1121</v>
      </c>
      <c r="H417" s="10" t="s">
        <v>1122</v>
      </c>
      <c r="I417" s="10" t="s">
        <v>1301</v>
      </c>
      <c r="J417" s="10" t="s">
        <v>740</v>
      </c>
      <c r="K417" s="10" t="s">
        <v>1125</v>
      </c>
      <c r="L417" s="10" t="s">
        <v>1126</v>
      </c>
      <c r="M417" s="11" t="s">
        <v>2512</v>
      </c>
    </row>
    <row r="418" spans="1:13" ht="62" customHeight="1">
      <c r="A418" s="8" t="s">
        <v>2698</v>
      </c>
      <c r="B418" s="8" t="s">
        <v>2699</v>
      </c>
      <c r="C418" s="8" t="s">
        <v>2700</v>
      </c>
      <c r="D418" s="8" t="s">
        <v>2701</v>
      </c>
      <c r="E418" s="8" t="s">
        <v>1132</v>
      </c>
      <c r="F418" s="8" t="s">
        <v>1120</v>
      </c>
      <c r="G418" s="8" t="s">
        <v>1133</v>
      </c>
      <c r="H418" s="8" t="s">
        <v>1134</v>
      </c>
      <c r="I418" s="8" t="s">
        <v>1180</v>
      </c>
      <c r="J418" s="8" t="s">
        <v>1205</v>
      </c>
      <c r="K418" s="8" t="s">
        <v>1135</v>
      </c>
      <c r="L418" s="12" t="s">
        <v>1136</v>
      </c>
      <c r="M418" s="9" t="s">
        <v>1127</v>
      </c>
    </row>
    <row r="419" spans="1:13" ht="62" customHeight="1">
      <c r="A419" s="10" t="s">
        <v>2702</v>
      </c>
      <c r="B419" s="10" t="s">
        <v>2703</v>
      </c>
      <c r="C419" s="10" t="s">
        <v>2704</v>
      </c>
      <c r="D419" s="10" t="s">
        <v>1131</v>
      </c>
      <c r="E419" s="10" t="s">
        <v>2067</v>
      </c>
      <c r="F419" s="10" t="s">
        <v>1120</v>
      </c>
      <c r="G419" s="10" t="s">
        <v>1121</v>
      </c>
      <c r="H419" s="10" t="s">
        <v>1122</v>
      </c>
      <c r="I419" s="10" t="s">
        <v>1141</v>
      </c>
      <c r="J419" s="10" t="s">
        <v>2705</v>
      </c>
      <c r="K419" s="10" t="s">
        <v>1243</v>
      </c>
      <c r="L419" s="10" t="s">
        <v>1126</v>
      </c>
      <c r="M419" s="11" t="s">
        <v>1192</v>
      </c>
    </row>
    <row r="420" spans="1:13" ht="62" customHeight="1">
      <c r="A420" s="8" t="s">
        <v>2706</v>
      </c>
      <c r="B420" s="8" t="s">
        <v>2707</v>
      </c>
      <c r="C420" s="8" t="s">
        <v>2708</v>
      </c>
      <c r="D420" s="8" t="s">
        <v>1131</v>
      </c>
      <c r="E420" s="8" t="s">
        <v>2408</v>
      </c>
      <c r="F420" s="8" t="s">
        <v>1120</v>
      </c>
      <c r="G420" s="8" t="s">
        <v>1121</v>
      </c>
      <c r="H420" s="8" t="s">
        <v>1122</v>
      </c>
      <c r="I420" s="8" t="s">
        <v>1141</v>
      </c>
      <c r="J420" s="8" t="s">
        <v>2409</v>
      </c>
      <c r="K420" s="8" t="s">
        <v>1243</v>
      </c>
      <c r="L420" s="8" t="s">
        <v>1126</v>
      </c>
      <c r="M420" s="9" t="s">
        <v>1127</v>
      </c>
    </row>
    <row r="421" spans="1:13" ht="62" customHeight="1">
      <c r="A421" s="10" t="s">
        <v>2709</v>
      </c>
      <c r="B421" s="10" t="s">
        <v>2710</v>
      </c>
      <c r="C421" s="10" t="s">
        <v>2711</v>
      </c>
      <c r="D421" s="10" t="s">
        <v>1131</v>
      </c>
      <c r="E421" s="10" t="s">
        <v>2712</v>
      </c>
      <c r="F421" s="10" t="s">
        <v>1120</v>
      </c>
      <c r="G421" s="10" t="s">
        <v>1121</v>
      </c>
      <c r="H421" s="10" t="s">
        <v>1122</v>
      </c>
      <c r="I421" s="10" t="s">
        <v>1180</v>
      </c>
      <c r="J421" s="10" t="s">
        <v>2713</v>
      </c>
      <c r="K421" s="10" t="s">
        <v>1243</v>
      </c>
      <c r="L421" s="10" t="s">
        <v>1126</v>
      </c>
      <c r="M421" s="11" t="s">
        <v>1386</v>
      </c>
    </row>
    <row r="422" spans="1:13" ht="62" customHeight="1">
      <c r="A422" s="8" t="s">
        <v>2714</v>
      </c>
      <c r="B422" s="8" t="s">
        <v>2715</v>
      </c>
      <c r="C422" s="8" t="s">
        <v>2716</v>
      </c>
      <c r="D422" s="8" t="s">
        <v>1131</v>
      </c>
      <c r="E422" s="8" t="s">
        <v>2417</v>
      </c>
      <c r="F422" s="8" t="s">
        <v>1120</v>
      </c>
      <c r="G422" s="8" t="s">
        <v>1121</v>
      </c>
      <c r="H422" s="8" t="s">
        <v>1122</v>
      </c>
      <c r="I422" s="8" t="s">
        <v>1141</v>
      </c>
      <c r="J422" s="8" t="s">
        <v>2409</v>
      </c>
      <c r="K422" s="8" t="s">
        <v>1243</v>
      </c>
      <c r="L422" s="8" t="s">
        <v>1126</v>
      </c>
      <c r="M422" s="9" t="s">
        <v>1127</v>
      </c>
    </row>
    <row r="423" spans="1:13" ht="62" customHeight="1">
      <c r="A423" s="10" t="s">
        <v>2717</v>
      </c>
      <c r="B423" s="10" t="s">
        <v>2718</v>
      </c>
      <c r="C423" s="10" t="s">
        <v>2719</v>
      </c>
      <c r="D423" s="10" t="s">
        <v>1131</v>
      </c>
      <c r="E423" s="10" t="s">
        <v>1687</v>
      </c>
      <c r="F423" s="10" t="s">
        <v>1120</v>
      </c>
      <c r="G423" s="10" t="s">
        <v>1121</v>
      </c>
      <c r="H423" s="10" t="s">
        <v>1122</v>
      </c>
      <c r="I423" s="10" t="s">
        <v>1123</v>
      </c>
      <c r="J423" s="10" t="s">
        <v>1124</v>
      </c>
      <c r="K423" s="10" t="s">
        <v>1243</v>
      </c>
      <c r="L423" s="10" t="s">
        <v>1126</v>
      </c>
      <c r="M423" s="11" t="s">
        <v>1127</v>
      </c>
    </row>
    <row r="424" spans="1:13" ht="62" customHeight="1">
      <c r="A424" s="8" t="s">
        <v>2720</v>
      </c>
      <c r="B424" s="8" t="s">
        <v>2721</v>
      </c>
      <c r="C424" s="8" t="s">
        <v>2722</v>
      </c>
      <c r="D424" s="8" t="s">
        <v>1131</v>
      </c>
      <c r="E424" s="8" t="s">
        <v>1132</v>
      </c>
      <c r="F424" s="8" t="s">
        <v>1120</v>
      </c>
      <c r="G424" s="8" t="s">
        <v>1133</v>
      </c>
      <c r="H424" s="8" t="s">
        <v>1134</v>
      </c>
      <c r="I424" s="8" t="s">
        <v>1180</v>
      </c>
      <c r="J424" s="8" t="s">
        <v>2723</v>
      </c>
      <c r="K424" s="8" t="s">
        <v>1135</v>
      </c>
      <c r="L424" s="12" t="s">
        <v>1136</v>
      </c>
      <c r="M424" s="9" t="s">
        <v>2138</v>
      </c>
    </row>
    <row r="425" spans="1:13" ht="62" customHeight="1">
      <c r="A425" s="10" t="s">
        <v>2724</v>
      </c>
      <c r="B425" s="10" t="s">
        <v>2725</v>
      </c>
      <c r="C425" s="10" t="s">
        <v>2726</v>
      </c>
      <c r="D425" s="10" t="s">
        <v>1131</v>
      </c>
      <c r="E425" s="10" t="s">
        <v>1316</v>
      </c>
      <c r="F425" s="10" t="s">
        <v>1140</v>
      </c>
      <c r="G425" s="10" t="s">
        <v>1121</v>
      </c>
      <c r="H425" s="10" t="s">
        <v>1122</v>
      </c>
      <c r="I425" s="10" t="s">
        <v>1141</v>
      </c>
      <c r="J425" s="10" t="s">
        <v>2404</v>
      </c>
      <c r="K425" s="10" t="s">
        <v>1125</v>
      </c>
      <c r="L425" s="10" t="s">
        <v>1126</v>
      </c>
      <c r="M425" s="11" t="s">
        <v>2138</v>
      </c>
    </row>
    <row r="426" spans="1:13" ht="62" customHeight="1">
      <c r="A426" s="8" t="s">
        <v>2727</v>
      </c>
      <c r="B426" s="8" t="s">
        <v>2728</v>
      </c>
      <c r="C426" s="8" t="s">
        <v>2729</v>
      </c>
      <c r="D426" s="8" t="s">
        <v>1131</v>
      </c>
      <c r="E426" s="8" t="s">
        <v>1242</v>
      </c>
      <c r="F426" s="8" t="s">
        <v>1140</v>
      </c>
      <c r="G426" s="8" t="s">
        <v>1121</v>
      </c>
      <c r="H426" s="8" t="s">
        <v>1122</v>
      </c>
      <c r="I426" s="8" t="s">
        <v>1123</v>
      </c>
      <c r="J426" s="8" t="s">
        <v>1124</v>
      </c>
      <c r="K426" s="8" t="s">
        <v>1125</v>
      </c>
      <c r="L426" s="8" t="s">
        <v>1126</v>
      </c>
      <c r="M426" s="9" t="s">
        <v>1157</v>
      </c>
    </row>
    <row r="427" spans="1:13" ht="62" customHeight="1">
      <c r="A427" s="10" t="s">
        <v>2730</v>
      </c>
      <c r="B427" s="10" t="s">
        <v>2731</v>
      </c>
      <c r="C427" s="10" t="s">
        <v>2732</v>
      </c>
      <c r="D427" s="10" t="s">
        <v>1131</v>
      </c>
      <c r="E427" s="10" t="s">
        <v>1132</v>
      </c>
      <c r="F427" s="10" t="s">
        <v>1140</v>
      </c>
      <c r="G427" s="10" t="s">
        <v>1133</v>
      </c>
      <c r="H427" s="10" t="s">
        <v>1122</v>
      </c>
      <c r="I427" s="10" t="s">
        <v>1180</v>
      </c>
      <c r="J427" s="10" t="s">
        <v>1205</v>
      </c>
      <c r="K427" s="10" t="s">
        <v>1135</v>
      </c>
      <c r="L427" s="12" t="s">
        <v>1136</v>
      </c>
      <c r="M427" s="11" t="s">
        <v>2138</v>
      </c>
    </row>
    <row r="428" spans="1:13" ht="62" customHeight="1">
      <c r="A428" s="8" t="s">
        <v>2733</v>
      </c>
      <c r="B428" s="8" t="s">
        <v>2734</v>
      </c>
      <c r="C428" s="8" t="s">
        <v>2735</v>
      </c>
      <c r="D428" s="8" t="s">
        <v>1131</v>
      </c>
      <c r="E428" s="8" t="s">
        <v>1588</v>
      </c>
      <c r="F428" s="8" t="s">
        <v>1140</v>
      </c>
      <c r="G428" s="8" t="s">
        <v>1121</v>
      </c>
      <c r="H428" s="8" t="s">
        <v>1122</v>
      </c>
      <c r="I428" s="8" t="s">
        <v>1141</v>
      </c>
      <c r="J428" s="8" t="s">
        <v>2439</v>
      </c>
      <c r="K428" s="8" t="s">
        <v>1125</v>
      </c>
      <c r="L428" s="8" t="s">
        <v>1126</v>
      </c>
      <c r="M428" s="9" t="s">
        <v>1157</v>
      </c>
    </row>
    <row r="429" spans="1:13" ht="62" customHeight="1">
      <c r="A429" s="10" t="s">
        <v>2736</v>
      </c>
      <c r="B429" s="10" t="s">
        <v>2737</v>
      </c>
      <c r="C429" s="10" t="s">
        <v>2738</v>
      </c>
      <c r="D429" s="10" t="s">
        <v>1131</v>
      </c>
      <c r="E429" s="10" t="s">
        <v>1687</v>
      </c>
      <c r="F429" s="10" t="s">
        <v>1140</v>
      </c>
      <c r="G429" s="10" t="s">
        <v>1121</v>
      </c>
      <c r="H429" s="10" t="s">
        <v>1122</v>
      </c>
      <c r="I429" s="10" t="s">
        <v>1141</v>
      </c>
      <c r="J429" s="10" t="s">
        <v>2439</v>
      </c>
      <c r="K429" s="10" t="s">
        <v>1125</v>
      </c>
      <c r="L429" s="10" t="s">
        <v>1126</v>
      </c>
      <c r="M429" s="11" t="s">
        <v>2138</v>
      </c>
    </row>
    <row r="430" spans="1:13" ht="62" customHeight="1">
      <c r="A430" s="8" t="s">
        <v>2739</v>
      </c>
      <c r="B430" s="8" t="s">
        <v>2740</v>
      </c>
      <c r="C430" s="8" t="s">
        <v>2741</v>
      </c>
      <c r="D430" s="8" t="s">
        <v>1131</v>
      </c>
      <c r="E430" s="8" t="s">
        <v>1687</v>
      </c>
      <c r="F430" s="8" t="s">
        <v>1140</v>
      </c>
      <c r="G430" s="8" t="s">
        <v>1121</v>
      </c>
      <c r="H430" s="8" t="s">
        <v>1122</v>
      </c>
      <c r="I430" s="8" t="s">
        <v>1141</v>
      </c>
      <c r="J430" s="8" t="s">
        <v>2439</v>
      </c>
      <c r="K430" s="8" t="s">
        <v>1125</v>
      </c>
      <c r="L430" s="8" t="s">
        <v>1126</v>
      </c>
      <c r="M430" s="9" t="s">
        <v>2138</v>
      </c>
    </row>
    <row r="431" spans="1:13" ht="62" customHeight="1">
      <c r="A431" s="10" t="s">
        <v>2742</v>
      </c>
      <c r="B431" s="10" t="s">
        <v>2743</v>
      </c>
      <c r="C431" s="10" t="s">
        <v>2744</v>
      </c>
      <c r="D431" s="10" t="s">
        <v>1131</v>
      </c>
      <c r="E431" s="10" t="s">
        <v>1687</v>
      </c>
      <c r="F431" s="10" t="s">
        <v>1140</v>
      </c>
      <c r="G431" s="10" t="s">
        <v>1121</v>
      </c>
      <c r="H431" s="10" t="s">
        <v>1122</v>
      </c>
      <c r="I431" s="10" t="s">
        <v>1180</v>
      </c>
      <c r="J431" s="10" t="s">
        <v>2745</v>
      </c>
      <c r="K431" s="10" t="s">
        <v>1125</v>
      </c>
      <c r="L431" s="10" t="s">
        <v>1126</v>
      </c>
      <c r="M431" s="11" t="s">
        <v>1157</v>
      </c>
    </row>
    <row r="432" spans="1:13" ht="62" customHeight="1">
      <c r="A432" s="8" t="s">
        <v>2746</v>
      </c>
      <c r="B432" s="8" t="s">
        <v>2747</v>
      </c>
      <c r="C432" s="8" t="s">
        <v>2748</v>
      </c>
      <c r="D432" s="8" t="s">
        <v>1131</v>
      </c>
      <c r="E432" s="8" t="s">
        <v>1687</v>
      </c>
      <c r="F432" s="8" t="s">
        <v>1140</v>
      </c>
      <c r="G432" s="8" t="s">
        <v>1121</v>
      </c>
      <c r="H432" s="8" t="s">
        <v>1122</v>
      </c>
      <c r="I432" s="8" t="s">
        <v>1141</v>
      </c>
      <c r="J432" s="8" t="s">
        <v>2439</v>
      </c>
      <c r="K432" s="8" t="s">
        <v>1125</v>
      </c>
      <c r="L432" s="8" t="s">
        <v>1126</v>
      </c>
      <c r="M432" s="9" t="s">
        <v>2138</v>
      </c>
    </row>
    <row r="433" spans="1:13" ht="62" customHeight="1">
      <c r="A433" s="10" t="s">
        <v>2749</v>
      </c>
      <c r="B433" s="10" t="s">
        <v>606</v>
      </c>
      <c r="C433" s="10" t="s">
        <v>2750</v>
      </c>
      <c r="D433" s="10" t="s">
        <v>1131</v>
      </c>
      <c r="E433" s="10" t="s">
        <v>1920</v>
      </c>
      <c r="F433" s="10" t="s">
        <v>1120</v>
      </c>
      <c r="G433" s="10" t="s">
        <v>1121</v>
      </c>
      <c r="H433" s="10" t="s">
        <v>1122</v>
      </c>
      <c r="I433" s="10" t="s">
        <v>1141</v>
      </c>
      <c r="J433" s="10" t="s">
        <v>1465</v>
      </c>
      <c r="K433" s="10" t="s">
        <v>1243</v>
      </c>
      <c r="L433" s="10" t="s">
        <v>1126</v>
      </c>
      <c r="M433" s="11" t="s">
        <v>2751</v>
      </c>
    </row>
    <row r="434" spans="1:13" ht="62" customHeight="1">
      <c r="A434" s="8" t="s">
        <v>2752</v>
      </c>
      <c r="B434" s="8" t="s">
        <v>2753</v>
      </c>
      <c r="C434" s="8" t="s">
        <v>2754</v>
      </c>
      <c r="D434" s="8" t="s">
        <v>1131</v>
      </c>
      <c r="E434" s="8" t="s">
        <v>1242</v>
      </c>
      <c r="F434" s="8" t="s">
        <v>1120</v>
      </c>
      <c r="G434" s="8" t="s">
        <v>1121</v>
      </c>
      <c r="H434" s="8" t="s">
        <v>1122</v>
      </c>
      <c r="I434" s="8" t="s">
        <v>1123</v>
      </c>
      <c r="J434" s="8" t="s">
        <v>1124</v>
      </c>
      <c r="K434" s="8" t="s">
        <v>1243</v>
      </c>
      <c r="L434" s="8" t="s">
        <v>1126</v>
      </c>
      <c r="M434" s="9" t="s">
        <v>1127</v>
      </c>
    </row>
    <row r="435" spans="1:13" ht="62" customHeight="1">
      <c r="A435" s="10" t="s">
        <v>2755</v>
      </c>
      <c r="B435" s="10" t="s">
        <v>2756</v>
      </c>
      <c r="C435" s="10" t="s">
        <v>2757</v>
      </c>
      <c r="D435" s="10" t="s">
        <v>1131</v>
      </c>
      <c r="E435" s="10" t="s">
        <v>1242</v>
      </c>
      <c r="F435" s="10" t="s">
        <v>1120</v>
      </c>
      <c r="G435" s="10" t="s">
        <v>1121</v>
      </c>
      <c r="H435" s="10" t="s">
        <v>1122</v>
      </c>
      <c r="I435" s="10" t="s">
        <v>1123</v>
      </c>
      <c r="J435" s="10" t="s">
        <v>1124</v>
      </c>
      <c r="K435" s="10" t="s">
        <v>1243</v>
      </c>
      <c r="L435" s="10" t="s">
        <v>1126</v>
      </c>
      <c r="M435" s="11" t="s">
        <v>1127</v>
      </c>
    </row>
  </sheetData>
  <autoFilter ref="A5:M435"/>
  <mergeCells count="2">
    <mergeCell ref="A1:M2"/>
    <mergeCell ref="A3:M3"/>
  </mergeCells>
  <hyperlinks>
    <hyperlink ref="M6" location="'90_公式出典'!A61" display="S56 / S20 S53"/>
    <hyperlink ref="M7" location="'90_公式出典'!A61" display="S56 / S20 S53"/>
    <hyperlink ref="M8" location="'90_公式出典'!A61" display="S56 / S20 S53"/>
    <hyperlink ref="M9" location="'90_公式出典'!A61" display="S56 / S20 S53"/>
    <hyperlink ref="M10" location="'90_公式出典'!A61" display="S56 / S20"/>
    <hyperlink ref="M11" location="'90_公式出典'!A61" display="S56 / S20 S53"/>
    <hyperlink ref="M12" location="'90_公式出典'!A61" display="S56 / S23"/>
    <hyperlink ref="M13" location="'90_公式出典'!A61" display="S56 / S20 S53"/>
    <hyperlink ref="M14" location="'90_公式出典'!A61" display="S56 / S20 S53"/>
    <hyperlink ref="M15" location="'90_公式出典'!A61" display="S56 / S53 S54"/>
    <hyperlink ref="M16" location="'90_公式出典'!A61" display="S56 / S20 S53"/>
    <hyperlink ref="M17" location="'90_公式出典'!A61" display="S56 / S20 S53"/>
    <hyperlink ref="M18" location="'90_公式出典'!A61" display="S56 / S20 S53"/>
    <hyperlink ref="M19" location="'90_公式出典'!A61" display="S56 / S20 S53"/>
    <hyperlink ref="M20" location="'90_公式出典'!A61" display="S56 / S17 S38"/>
    <hyperlink ref="M21" location="'90_公式出典'!A61" display="S56 / S20"/>
    <hyperlink ref="M22" location="'90_公式出典'!A61" display="S56 / S20"/>
    <hyperlink ref="M23" location="'90_公式出典'!A61" display="S56 / S20"/>
    <hyperlink ref="M24" location="'90_公式出典'!A61" display="S56 / S61"/>
    <hyperlink ref="M25" location="'90_公式出典'!A61" display="S56 / S20"/>
    <hyperlink ref="M26" location="'90_公式出典'!A61" display="S56 / S04"/>
    <hyperlink ref="M27" location="'90_公式出典'!A61" display="S56 / S20 S53"/>
    <hyperlink ref="M28" location="'90_公式出典'!A61" display="S56 / S56 S57"/>
    <hyperlink ref="M29" location="'90_公式出典'!A61" display="S56 / S20 S53"/>
    <hyperlink ref="M30" location="'90_公式出典'!A61" display="S56 / S22"/>
    <hyperlink ref="M31" location="'90_公式出典'!A61" display="S56 / S10"/>
    <hyperlink ref="M32" location="'90_公式出典'!A61" display="S56 / S20 S53"/>
    <hyperlink ref="M33" location="'90_公式出典'!A61" display="S56 / S20 S53"/>
    <hyperlink ref="M34" location="'90_公式出典'!A61" display="S56 / S20 S53"/>
    <hyperlink ref="M35" location="'90_公式出典'!A61" display="S56 / S20"/>
    <hyperlink ref="M36" location="'90_公式出典'!A61" display="S56 / S20"/>
    <hyperlink ref="M37" location="'90_公式出典'!A61" display="S56 / S20"/>
    <hyperlink ref="M38" location="'90_公式出典'!A61" display="S56 / S20"/>
    <hyperlink ref="M39" location="'90_公式出典'!A61" display="S56 / S20"/>
    <hyperlink ref="M40" location="'90_公式出典'!A61" display="S56 / S20"/>
    <hyperlink ref="M41" location="'90_公式出典'!A61" display="S56 / S20 S53"/>
    <hyperlink ref="M42" location="'90_公式出典'!A61" display="S56 / S20 S53"/>
    <hyperlink ref="M43" location="'90_公式出典'!A61" display="S56 / S20 S15"/>
    <hyperlink ref="M44" location="'90_公式出典'!A61" display="S56 / S20 S15"/>
    <hyperlink ref="M45" location="'90_公式出典'!A61" display="S56 / S20 S15"/>
    <hyperlink ref="M46" location="'90_公式出典'!A61" display="S56 / S20 S15"/>
    <hyperlink ref="M47" location="'90_公式出典'!A61" display="S56 / S20 S15"/>
    <hyperlink ref="M48" location="'90_公式出典'!A61" display="S56 / S15 S20"/>
    <hyperlink ref="M49" location="'90_公式出典'!A61" display="S56 / S20 S15"/>
    <hyperlink ref="M50" location="'90_公式出典'!A61" display="S56 / S20 S15"/>
    <hyperlink ref="M51" location="'90_公式出典'!A61" display="S56 / S20 S15"/>
    <hyperlink ref="M52" location="'90_公式出典'!A61" display="S56 / S20 S15"/>
    <hyperlink ref="M53" location="'90_公式出典'!A61" display="S56 / S20 S15"/>
    <hyperlink ref="M54" location="'90_公式出典'!A61" display="S56 / S20 S15"/>
    <hyperlink ref="M55" location="'90_公式出典'!A61" display="S56 / S20 S15"/>
    <hyperlink ref="M56" location="'90_公式出典'!A61" display="S56 / S20 S15"/>
    <hyperlink ref="M57" location="'90_公式出典'!A61" display="S56 / S20 S15"/>
    <hyperlink ref="M58" location="'90_公式出典'!A61" display="S56 / S20 S15"/>
    <hyperlink ref="M59" location="'90_公式出典'!A61" display="S56 / S20 S15"/>
    <hyperlink ref="M60" location="'90_公式出典'!A61" display="S56 / S20 S15"/>
    <hyperlink ref="M61" location="'90_公式出典'!A61" display="S56 / S20 S15"/>
    <hyperlink ref="M62" location="'90_公式出典'!A61" display="S56 / S20 S15"/>
    <hyperlink ref="M63" location="'90_公式出典'!A61" display="S56 / S20 S53"/>
    <hyperlink ref="M64" location="'90_公式出典'!A61" display="S56 / S27"/>
    <hyperlink ref="M65" location="'90_公式出典'!A61" display="S56 / S27"/>
    <hyperlink ref="M66" location="'90_公式出典'!A61" display="S56 / S53"/>
    <hyperlink ref="M67" location="'90_公式出典'!A61" display="S56 / S20 S53"/>
    <hyperlink ref="M68" location="'90_公式出典'!A61" display="S56 / S27"/>
    <hyperlink ref="M69" location="'90_公式出典'!A61" display="S56 / S53"/>
    <hyperlink ref="M70" location="'90_公式出典'!A61" display="S56 / S20 S53"/>
    <hyperlink ref="M71" location="'90_公式出典'!A61" display="S56 / S27 S53"/>
    <hyperlink ref="M72" location="'90_公式出典'!A61" display="S56 / S53"/>
    <hyperlink ref="M73" location="'90_公式出典'!A61" display="S56 / S20 S53"/>
    <hyperlink ref="M74" location="'90_公式出典'!A61" display="S56 / S20 S53"/>
    <hyperlink ref="M75" location="'90_公式出典'!A61" display="S56 / S53"/>
    <hyperlink ref="M76" location="'90_公式出典'!A61" display="S56 / S20 S53"/>
    <hyperlink ref="M77" location="'90_公式出典'!A61" display="S56 / S53"/>
    <hyperlink ref="M78" location="'90_公式出典'!A61" display="S56 / S20 S53"/>
    <hyperlink ref="M79" location="'90_公式出典'!A61" display="S56 / S22 S33"/>
    <hyperlink ref="M80" location="'90_公式出典'!A61" display="S56 / S20 S53"/>
    <hyperlink ref="M81" location="'90_公式出典'!A61" display="S56 / S20 S53"/>
    <hyperlink ref="M82" location="'90_公式出典'!A61" display="S56 / S20 S53"/>
    <hyperlink ref="M83" location="'90_公式出典'!A61" display="S56 / S20 S53"/>
    <hyperlink ref="M84" location="'90_公式出典'!A61" display="S56 / S20 S53"/>
    <hyperlink ref="M85" location="'90_公式出典'!A61" display="S56 / S20 S53"/>
    <hyperlink ref="M86" location="'90_公式出典'!A61" display="S56 / S20 S53"/>
    <hyperlink ref="M87" location="'90_公式出典'!A61" display="S56 / S20 S53"/>
    <hyperlink ref="M88" location="'90_公式出典'!A61" display="S56 / S20 S53"/>
    <hyperlink ref="M89" location="'90_公式出典'!A61" display="S56 / S20 S53"/>
    <hyperlink ref="M90" location="'90_公式出典'!A61" display="S56 / S20 S53"/>
    <hyperlink ref="M91" location="'90_公式出典'!A61" display="S56 / S20 S53"/>
    <hyperlink ref="M92" location="'90_公式出典'!A61" display="S56 / S53"/>
    <hyperlink ref="M93" location="'90_公式出典'!A61" display="S56 / S53"/>
    <hyperlink ref="M94" location="'90_公式出典'!A61" display="S56 / S20 S53"/>
    <hyperlink ref="M95" location="'90_公式出典'!A61" display="S56 / S20 S53"/>
    <hyperlink ref="M96" location="'90_公式出典'!A61" display="S56 / S20 S53"/>
    <hyperlink ref="M97" location="'90_公式出典'!A61" display="S56 / S20 S53"/>
    <hyperlink ref="M98" location="'90_公式出典'!A61" display="S56 / S20 S53"/>
    <hyperlink ref="M99" location="'90_公式出典'!A61" display="S56 / S20 S53"/>
    <hyperlink ref="M100" location="'90_公式出典'!A61" display="S56 / S20 S53"/>
    <hyperlink ref="M101" location="'90_公式出典'!A61" display="S56 / S20 S53"/>
    <hyperlink ref="M102" location="'90_公式出典'!A61" display="S56 / S20 S53"/>
    <hyperlink ref="M103" location="'90_公式出典'!A61" display="S56 / S20"/>
    <hyperlink ref="M104" location="'90_公式出典'!A61" display="S56 / S20"/>
    <hyperlink ref="M105" location="'90_公式出典'!A61" display="S56 / S23"/>
    <hyperlink ref="M106" location="'90_公式出典'!A61" display="S56 / S20 S53"/>
    <hyperlink ref="M107" location="'90_公式出典'!A61" display="S56 / S20 S15"/>
    <hyperlink ref="M108" location="'90_公式出典'!A61" display="S56 / S20 S15"/>
    <hyperlink ref="M109" location="'90_公式出典'!A61" display="S56 / S20 S15"/>
    <hyperlink ref="M110" location="'90_公式出典'!A61" display="S56 / S53"/>
    <hyperlink ref="M111" location="'90_公式出典'!A61" display="S56 / S17 S38"/>
    <hyperlink ref="M112" location="'90_公式出典'!A61" display="S56 / S20 S53"/>
    <hyperlink ref="M113" location="'90_公式出典'!A61" display="S56 / S08"/>
    <hyperlink ref="M114" location="'90_公式出典'!A61" display="S56 / S54 S35"/>
    <hyperlink ref="M115" location="'90_公式出典'!A61" display="S56 / S54 S35"/>
    <hyperlink ref="M116" location="'90_公式出典'!A61" display="S56 / S54 S35"/>
    <hyperlink ref="M117" location="'90_公式出典'!A61" display="S56 / S54 S35"/>
    <hyperlink ref="M118" location="'90_公式出典'!A61" display="S56 / S54 S35"/>
    <hyperlink ref="M119" location="'90_公式出典'!A61" display="S56 / S54 S35"/>
    <hyperlink ref="M120" location="'90_公式出典'!A61" display="S56 / S54 S35"/>
    <hyperlink ref="M121" location="'90_公式出典'!A61" display="S56 / S54 S35"/>
    <hyperlink ref="M122" location="'90_公式出典'!A61" display="S56 / S17 S38"/>
    <hyperlink ref="M123" location="'90_公式出典'!A61" display="S56 / S17 S38"/>
    <hyperlink ref="M124" location="'90_公式出典'!A61" display="S56 / S17 S38"/>
    <hyperlink ref="M125" location="'90_公式出典'!A61" display="S56 / S17 S38"/>
    <hyperlink ref="M126" location="'90_公式出典'!A61" display="S56 / S17 S38"/>
    <hyperlink ref="M127" location="'90_公式出典'!A61" display="S56 / S17 S38"/>
    <hyperlink ref="M128" location="'90_公式出典'!A61" display="S56 / S17"/>
    <hyperlink ref="M129" location="'90_公式出典'!A61" display="S56 / S17 S38"/>
    <hyperlink ref="M130" location="'90_公式出典'!A61" display="S56 / S54 S35"/>
    <hyperlink ref="M131" location="'90_公式出典'!A61" display="S56 / S54 S35"/>
    <hyperlink ref="M132" location="'90_公式出典'!A61" display="S56 / S54 S35"/>
    <hyperlink ref="M133" location="'90_公式出典'!A61" display="S56 / S54 S35"/>
    <hyperlink ref="M134" location="'90_公式出典'!A61" display="S56 / S54"/>
    <hyperlink ref="M135" location="'90_公式出典'!A61" display="S56 / S54"/>
    <hyperlink ref="M136" location="'90_公式出典'!A61" display="S56 / S54 S35"/>
    <hyperlink ref="M137" location="'90_公式出典'!A61" display="S56 / S37"/>
    <hyperlink ref="M138" location="'90_公式出典'!A61" display="S56 / S54 S35"/>
    <hyperlink ref="M139" location="'90_公式出典'!A61" display="S56 / S54 S35"/>
    <hyperlink ref="M140" location="'90_公式出典'!A61" display="S56 / S53 S54"/>
    <hyperlink ref="M141" location="'90_公式出典'!A61" display="S56 / S20"/>
    <hyperlink ref="M142" location="'90_公式出典'!A61" display="S56 / S54 S35"/>
    <hyperlink ref="M143" location="'90_公式出典'!A61" display="S56 / S54 S35"/>
    <hyperlink ref="M144" location="'90_公式出典'!A61" display="S56 / S54 S35"/>
    <hyperlink ref="M145" location="'90_公式出典'!A61" display="S56 / S54"/>
    <hyperlink ref="M146" location="'90_公式出典'!A61" display="S56 / S54"/>
    <hyperlink ref="M147" location="'90_公式出典'!A61" display="S56 / S54"/>
    <hyperlink ref="M148" location="'90_公式出典'!A61" display="S56 / S54"/>
    <hyperlink ref="M149" location="'90_公式出典'!A61" display="S56 / S54"/>
    <hyperlink ref="M150" location="'90_公式出典'!A61" display="S56 / S54"/>
    <hyperlink ref="M151" location="'90_公式出典'!A61" display="S56 / S54"/>
    <hyperlink ref="M152" location="'90_公式出典'!A61" display="S56 / S54"/>
    <hyperlink ref="M153" location="'90_公式出典'!A61" display="S56 / S54"/>
    <hyperlink ref="M154" location="'90_公式出典'!A61" display="S56 / S54 S35"/>
    <hyperlink ref="M155" location="'90_公式出典'!A61" display="S56 / S54 S35"/>
    <hyperlink ref="M156" location="'90_公式出典'!A61" display="S56 / S54"/>
    <hyperlink ref="M157" location="'90_公式出典'!A61" display="S56 / S54 S35"/>
    <hyperlink ref="M158" location="'90_公式出典'!A61" display="S56 / S54 S35"/>
    <hyperlink ref="M159" location="'90_公式出典'!A61" display="S56 / S54 S35"/>
    <hyperlink ref="M160" location="'90_公式出典'!A61" display="S56 / S54 S35"/>
    <hyperlink ref="M161" location="'90_公式出典'!A61" display="S56 / S54 S35"/>
    <hyperlink ref="M162" location="'90_公式出典'!A61" display="S56 / S54 S35"/>
    <hyperlink ref="M163" location="'90_公式出典'!A61" display="S56 / S54 S35"/>
    <hyperlink ref="M164" location="'90_公式出典'!A61" display="S56 / S54 S35"/>
    <hyperlink ref="M165" location="'90_公式出典'!A61" display="S56 / S54 S35"/>
    <hyperlink ref="M166" location="'90_公式出典'!A61" display="S56 / S54 S35"/>
    <hyperlink ref="M167" location="'90_公式出典'!A61" display="S56 / S54 S35"/>
    <hyperlink ref="M168" location="'90_公式出典'!A61" display="S56 / S54 S35"/>
    <hyperlink ref="M169" location="'90_公式出典'!A61" display="S56 / S54 S35"/>
    <hyperlink ref="M170" location="'90_公式出典'!A61" display="S56 / S54 S35"/>
    <hyperlink ref="M171" location="'90_公式出典'!A61" display="S56 / S54 S35"/>
    <hyperlink ref="M172" location="'90_公式出典'!A61" display="S56 / S54 S35"/>
    <hyperlink ref="M173" location="'90_公式出典'!A61" display="S56 / S54 S35"/>
    <hyperlink ref="M174" location="'90_公式出典'!A61" display="S56 / S20"/>
    <hyperlink ref="M175" location="'90_公式出典'!A61" display="S56 / S54 S35"/>
    <hyperlink ref="M176" location="'90_公式出典'!A61" display="S56 / S17"/>
    <hyperlink ref="M177" location="'90_公式出典'!A61" display="S56 / S54 S35"/>
    <hyperlink ref="M178" location="'90_公式出典'!A61" display="S56 / S54 S35"/>
    <hyperlink ref="M179" location="'90_公式出典'!A61" display="S56 / S54 S35"/>
    <hyperlink ref="M180" location="'90_公式出典'!A61" display="S56 / S54"/>
    <hyperlink ref="M181" location="'90_公式出典'!A61" display="S56 / S54 S35"/>
    <hyperlink ref="M182" location="'90_公式出典'!A61" display="S56 / S17 S38"/>
    <hyperlink ref="M183" location="'90_公式出典'!A61" display="S56 / S54 S35"/>
    <hyperlink ref="M184" location="'90_公式出典'!A61" display="S56 / S54 S35"/>
    <hyperlink ref="M185" location="'90_公式出典'!A61" display="S56 / S02 S54"/>
    <hyperlink ref="M186" location="'90_公式出典'!A61" display="S56 / S54 S35"/>
    <hyperlink ref="M187" location="'90_公式出典'!A61" display="S56 / S54 S35"/>
    <hyperlink ref="M188" location="'90_公式出典'!A61" display="S56 / S54"/>
    <hyperlink ref="M189" location="'90_公式出典'!A61" display="S56 / S54"/>
    <hyperlink ref="M190" location="'90_公式出典'!A61" display="S56 / S54 S35"/>
    <hyperlink ref="M191" location="'90_公式出典'!A61" display="S56 / S54 S35"/>
    <hyperlink ref="M192" location="'90_公式出典'!A61" display="S56 / S54 S35"/>
    <hyperlink ref="M193" location="'90_公式出典'!A61" display="S56 / S54 S35"/>
    <hyperlink ref="M194" location="'90_公式出典'!A61" display="S56 / S54"/>
    <hyperlink ref="M195" location="'90_公式出典'!A61" display="S56 / S54 S35"/>
    <hyperlink ref="M196" location="'90_公式出典'!A61" display="S56 / S54 S35"/>
    <hyperlink ref="M197" location="'90_公式出典'!A61" display="S56 / S54 S35"/>
    <hyperlink ref="M198" location="'90_公式出典'!A61" display="S56 / S54 S35"/>
    <hyperlink ref="M199" location="'90_公式出典'!A61" display="S56 / S54 S35"/>
    <hyperlink ref="M200" location="'90_公式出典'!A61" display="S56 / S20"/>
    <hyperlink ref="M201" location="'90_公式出典'!A61" display="S56 / S54 S35"/>
    <hyperlink ref="M202" location="'90_公式出典'!A61" display="S56 / S54 S35"/>
    <hyperlink ref="M203" location="'90_公式出典'!A61" display="S56 / S54 S35"/>
    <hyperlink ref="M204" location="'90_公式出典'!A61" display="S56 / S27 S53"/>
    <hyperlink ref="M205" location="'90_公式出典'!A61" display="S56 / S20 S53"/>
    <hyperlink ref="M206" location="'90_公式出典'!A61" display="S56 / S17 S38"/>
    <hyperlink ref="M207" location="'90_公式出典'!A61" display="S56 / S20 S53"/>
    <hyperlink ref="M208" location="'90_公式出典'!A61" display="S56 / S17 S38"/>
    <hyperlink ref="M209" location="'90_公式出典'!A61" display="S56 / S20 S53"/>
    <hyperlink ref="M210" location="'90_公式出典'!A61" display="S56 / S20 S53"/>
    <hyperlink ref="M211" location="'90_公式出典'!A61" display="S56 / S20 S53"/>
    <hyperlink ref="M212" location="'90_公式出典'!A61" display="S56 / S20 S53"/>
    <hyperlink ref="M213" location="'90_公式出典'!A61" display="S56 / S53"/>
    <hyperlink ref="M214" location="'90_公式出典'!A61" display="S56 / S53"/>
    <hyperlink ref="M215" location="'90_公式出典'!A61" display="S56 / S20"/>
    <hyperlink ref="M216" location="'90_公式出典'!A61" display="S56 / S20"/>
    <hyperlink ref="M217" location="'90_公式出典'!A61" display="S56 / S20"/>
    <hyperlink ref="M218" location="'90_公式出典'!A61" display="S56 / S20"/>
    <hyperlink ref="M219" location="'90_公式出典'!A61" display="S56 / S20"/>
    <hyperlink ref="M220" location="'90_公式出典'!A61" display="S56 / S20"/>
    <hyperlink ref="M221" location="'90_公式出典'!A61" display="S56 / S53"/>
    <hyperlink ref="M222" location="'90_公式出典'!A61" display="S56 / S20"/>
    <hyperlink ref="M223" location="'90_公式出典'!A61" display="S56 / S53"/>
    <hyperlink ref="M224" location="'90_公式出典'!A61" display="S56 / S20"/>
    <hyperlink ref="M225" location="'90_公式出典'!A61" display="S56 / S20"/>
    <hyperlink ref="M226" location="'90_公式出典'!A61" display="S56 / S20"/>
    <hyperlink ref="M227" location="'90_公式出典'!A61" display="S56 / S53"/>
    <hyperlink ref="M228" location="'90_公式出典'!A61" display="S56 / S20"/>
    <hyperlink ref="M229" location="'90_公式出典'!A61" display="S56 / S20 S53"/>
    <hyperlink ref="M230" location="'90_公式出典'!A61" display="S56 / S20 S53"/>
    <hyperlink ref="M231" location="'90_公式出典'!A61" display="S56 / S09 S53"/>
    <hyperlink ref="M232" location="'90_公式出典'!A61" display="S56 / S17 S38"/>
    <hyperlink ref="M233" location="'90_公式出典'!A61" display="S56 / S20 S53"/>
    <hyperlink ref="M234" location="'90_公式出典'!A61" display="S56 / S17 S38"/>
    <hyperlink ref="M235" location="'90_公式出典'!A61" display="S56 / S20 S53"/>
    <hyperlink ref="M236" location="'90_公式出典'!A61" display="S56 / S17 S08"/>
    <hyperlink ref="M237" location="'90_公式出典'!A61" display="S56 / S20 S53"/>
    <hyperlink ref="M238" location="'90_公式出典'!A61" display="S56 / S20 S53"/>
    <hyperlink ref="M239" location="'90_公式出典'!A61" display="S56 / S20 S53"/>
    <hyperlink ref="M240" location="'90_公式出典'!A61" display="S56 / S53"/>
    <hyperlink ref="M241" location="'90_公式出典'!A61" display="S56 / S17 S38"/>
    <hyperlink ref="M242" location="'90_公式出典'!A61" display="S56 / S20 S53"/>
    <hyperlink ref="M243" location="'90_公式出典'!A61" display="S56 / S53"/>
    <hyperlink ref="M244" location="'90_公式出典'!A61" display="S56 / S20 S53"/>
    <hyperlink ref="M245" location="'90_公式出典'!A61" display="S56 / S20 S53"/>
    <hyperlink ref="M246" location="'90_公式出典'!A61" display="S56 / S20 S53"/>
    <hyperlink ref="M247" location="'90_公式出典'!A61" display="S56 / S20 S53"/>
    <hyperlink ref="M248" location="'90_公式出典'!A61" display="S56 / S20 S53"/>
    <hyperlink ref="M249" location="'90_公式出典'!A61" display="S56 / S53 S07"/>
    <hyperlink ref="M250" location="'90_公式出典'!A61" display="S56 / S20 S53"/>
    <hyperlink ref="M251" location="'90_公式出典'!A61" display="S56 / S20 S53"/>
    <hyperlink ref="M252" location="'90_公式出典'!A61" display="S56 / S20 S53"/>
    <hyperlink ref="M253" location="'90_公式出典'!A61" display="S56 / S20 S53"/>
    <hyperlink ref="M254" location="'90_公式出典'!A61" display="S56 / S20 S53"/>
    <hyperlink ref="M255" location="'90_公式出典'!A61" display="S56 / S20 S53"/>
    <hyperlink ref="M256" location="'90_公式出典'!A61" display="S56 / S20 S53"/>
    <hyperlink ref="M257" location="'90_公式出典'!A61" display="S56 / S20 S53"/>
    <hyperlink ref="M258" location="'90_公式出典'!A61" display="S56 / S22 S23"/>
    <hyperlink ref="M259" location="'90_公式出典'!A61" display="S56 / S22 S23"/>
    <hyperlink ref="M260" location="'90_公式出典'!A61" display="S56 / S17 S38"/>
    <hyperlink ref="M261" location="'90_公式出典'!A61" display="S56 / S53"/>
    <hyperlink ref="M262" location="'90_公式出典'!A61" display="S56 / S53 S54"/>
    <hyperlink ref="M263" location="'90_公式出典'!A61" display="S56 / S53"/>
    <hyperlink ref="M264" location="'90_公式出典'!A61" display="S56 / S54"/>
    <hyperlink ref="M265" location="'90_公式出典'!A61" display="S56 / S53"/>
    <hyperlink ref="M266" location="'90_公式出典'!A61" display="S56 / S53"/>
    <hyperlink ref="M267" location="'90_公式出典'!A61" display="S56 / S53"/>
    <hyperlink ref="M268" location="'90_公式出典'!A61" display="S56 / S53"/>
    <hyperlink ref="M269" location="'90_公式出典'!A61" display="S56 / S53"/>
    <hyperlink ref="M270" location="'90_公式出典'!A61" display="S56 / S53"/>
    <hyperlink ref="M271" location="'90_公式出典'!A61" display="S56 / S53"/>
    <hyperlink ref="M272" location="'90_公式出典'!A61" display="S56 / S53"/>
    <hyperlink ref="M273" location="'90_公式出典'!A61" display="S56 / S20 S53"/>
    <hyperlink ref="M274" location="'90_公式出典'!A61" display="S56 / S22 S23"/>
    <hyperlink ref="M275" location="'90_公式出典'!A61" display="S56 / S22 S23"/>
    <hyperlink ref="M276" location="'90_公式出典'!A61" display="S56 / S22 S23"/>
    <hyperlink ref="M277" location="'90_公式出典'!A61" display="S56 / S45 S46"/>
    <hyperlink ref="M278" location="'90_公式出典'!A61" display="S56 / S55 S46"/>
    <hyperlink ref="M279" location="'90_公式出典'!A61" display="S56 / S55 S46"/>
    <hyperlink ref="M280" location="'90_公式出典'!A61" display="S56 / S55 S46"/>
    <hyperlink ref="M281" location="'90_公式出典'!A61" display="S56 / S55 S46"/>
    <hyperlink ref="M282" location="'90_公式出典'!A61" display="S56 / S55 S46"/>
    <hyperlink ref="M283" location="'90_公式出典'!A61" display="S56 / S55 S46"/>
    <hyperlink ref="M284" location="'90_公式出典'!A61" display="S56 / S55 S46"/>
    <hyperlink ref="M285" location="'90_公式出典'!A61" display="S56 / S55 S46"/>
    <hyperlink ref="M286" location="'90_公式出典'!A61" display="S56 / S55 S46"/>
    <hyperlink ref="M287" location="'90_公式出典'!A61" display="S56 / S55 S46"/>
    <hyperlink ref="M288" location="'90_公式出典'!A61" display="S56 / S55 S46"/>
    <hyperlink ref="M289" location="'90_公式出典'!A61" display="S56 / S55 S46"/>
    <hyperlink ref="M290" location="'90_公式出典'!A61" display="S56 / S55 S46"/>
    <hyperlink ref="M291" location="'90_公式出典'!A61" display="S56 / S55 S46"/>
    <hyperlink ref="M292" location="'90_公式出典'!A61" display="S56 / S55 S46"/>
    <hyperlink ref="M293" location="'90_公式出典'!A61" display="S56 / S55 S46"/>
    <hyperlink ref="M294" location="'90_公式出典'!A61" display="S56 / S55 S46"/>
    <hyperlink ref="M295" location="'90_公式出典'!A61" display="S56 / S55 S46"/>
    <hyperlink ref="M296" location="'90_公式出典'!A61" display="S56 / S55 S46"/>
    <hyperlink ref="M297" location="'90_公式出典'!A61" display="S56 / S55 S46"/>
    <hyperlink ref="M298" location="'90_公式出典'!A61" display="S56 / S55 S46"/>
    <hyperlink ref="M299" location="'90_公式出典'!A61" display="S56 / S55 S46"/>
    <hyperlink ref="M300" location="'90_公式出典'!A61" display="S56 / S55 S46"/>
    <hyperlink ref="M301" location="'90_公式出典'!A61" display="S56 / S55 S46"/>
    <hyperlink ref="M302" location="'90_公式出典'!A61" display="S56 / S55 S46"/>
    <hyperlink ref="M303" location="'90_公式出典'!A61" display="S56 / S55 S46"/>
    <hyperlink ref="M304" location="'90_公式出典'!A61" display="S56 / S55 S46"/>
    <hyperlink ref="M305" location="'90_公式出典'!A61" display="S56 / S55 S46"/>
    <hyperlink ref="M306" location="'90_公式出典'!A61" display="S56 / S55 S46"/>
    <hyperlink ref="M307" location="'90_公式出典'!A61" display="S56 / S55 S46"/>
    <hyperlink ref="M308" location="'90_公式出典'!A61" display="S56 / S55 S46"/>
    <hyperlink ref="M309" location="'90_公式出典'!A61" display="S56 / S55 S46"/>
    <hyperlink ref="M310" location="'90_公式出典'!A61" display="S56 / S55 S46"/>
    <hyperlink ref="M311" location="'90_公式出典'!A61" display="S56 / S55 S46"/>
    <hyperlink ref="M312" location="'90_公式出典'!A61" display="S56 / S55 S46"/>
    <hyperlink ref="M313" location="'90_公式出典'!A61" display="S56 / S55 S46"/>
    <hyperlink ref="M314" location="'90_公式出典'!A61" display="S56 / S55 S46"/>
    <hyperlink ref="M315" location="'90_公式出典'!A61" display="S56 / S55 S46"/>
    <hyperlink ref="M316" location="'90_公式出典'!A61" display="S56 / S55 S46"/>
    <hyperlink ref="M317" location="'90_公式出典'!A61" display="S56 / S55 S46"/>
    <hyperlink ref="M318" location="'90_公式出典'!A61" display="S56 / S55 S46"/>
    <hyperlink ref="M319" location="'90_公式出典'!A61" display="S56 / S55 S46"/>
    <hyperlink ref="M320" location="'90_公式出典'!A61" display="S56 / S55 S46"/>
    <hyperlink ref="M321" location="'90_公式出典'!A61" display="S56 / S55 S46"/>
    <hyperlink ref="M322" location="'90_公式出典'!A61" display="S56 / S55 S46"/>
    <hyperlink ref="M323" location="'90_公式出典'!A61" display="S56 / S55 S46"/>
    <hyperlink ref="M324" location="'90_公式出典'!A61" display="S56 / S55 S46"/>
    <hyperlink ref="M325" location="'90_公式出典'!A61" display="S56 / S55 S46"/>
    <hyperlink ref="M326" location="'90_公式出典'!A61" display="S56 / S55 S46"/>
    <hyperlink ref="M327" location="'90_公式出典'!A61" display="S56 / S55 S46"/>
    <hyperlink ref="M328" location="'90_公式出典'!A61" display="S56 / S55 S46"/>
    <hyperlink ref="M329" location="'90_公式出典'!A61" display="S56 / S55 S46"/>
    <hyperlink ref="M330" location="'90_公式出典'!A61" display="S56 / S55 S46"/>
    <hyperlink ref="M331" location="'90_公式出典'!A61" display="S56 / S55 S46"/>
    <hyperlink ref="M332" location="'90_公式出典'!A61" display="S56 / S55 S46"/>
    <hyperlink ref="M333" location="'90_公式出典'!A61" display="S56 / S55 S46"/>
    <hyperlink ref="M334" location="'90_公式出典'!A61" display="S56 / S20 S53"/>
    <hyperlink ref="M335" location="'90_公式出典'!A61" display="S56 / S20 S53"/>
    <hyperlink ref="M336" location="'90_公式出典'!A61" display="S56 / S20 S53"/>
    <hyperlink ref="M337" location="'90_公式出典'!A61" display="S56 / S17 S38"/>
    <hyperlink ref="M338" location="'90_公式出典'!A61" display="S56 / S20 S53"/>
    <hyperlink ref="M339" location="'90_公式出典'!A61" display="S56 / S20 S53"/>
    <hyperlink ref="M340" location="'90_公式出典'!A61" display="S56 / S20 S53"/>
    <hyperlink ref="M341" location="'90_公式出典'!A61" display="S56 / S53"/>
    <hyperlink ref="M342" location="'90_公式出典'!A61" display="S56 / S53"/>
    <hyperlink ref="M343" location="'90_公式出典'!A61" display="S56 / S17 S38"/>
    <hyperlink ref="M344" location="'90_公式出典'!A61" display="S56 / S04 S20"/>
    <hyperlink ref="M345" location="'90_公式出典'!A61" display="S56 / S17 S38"/>
    <hyperlink ref="M346" location="'90_公式出典'!A61" display="S56 / S53"/>
    <hyperlink ref="M347" location="'90_公式出典'!A61" display="S56 / S53"/>
    <hyperlink ref="M348" location="'90_公式出典'!A61" display="S56 / S20 S15"/>
    <hyperlink ref="M349" location="'90_公式出典'!A61" display="S56 / S20 S15"/>
    <hyperlink ref="M350" location="'90_公式出典'!A61" display="S56 / S20 S15"/>
    <hyperlink ref="M351" location="'90_公式出典'!A61" display="S56 / S20 S15"/>
    <hyperlink ref="M352" location="'90_公式出典'!A61" display="S56 / S20 S15"/>
    <hyperlink ref="M353" location="'90_公式出典'!A61" display="S56 / S20 S15"/>
    <hyperlink ref="M354" location="'90_公式出典'!A61" display="S56 / S20 S15"/>
    <hyperlink ref="M355" location="'90_公式出典'!A61" display="S56 / S20 S15"/>
    <hyperlink ref="M356" location="'90_公式出典'!A61" display="S56 / S20 S15"/>
    <hyperlink ref="M357" location="'90_公式出典'!A61" display="S56 / S20 S15"/>
    <hyperlink ref="M358" location="'90_公式出典'!A61" display="S56 / S20 S15"/>
    <hyperlink ref="M359" location="'90_公式出典'!A61" display="S56 / S20 S15"/>
    <hyperlink ref="M360" location="'90_公式出典'!A61" display="S56 / S20 S15"/>
    <hyperlink ref="M361" location="'90_公式出典'!A61" display="S56 / S20 S15"/>
    <hyperlink ref="M362" location="'90_公式出典'!A61" display="S56 / S20 S15"/>
    <hyperlink ref="M363" location="'90_公式出典'!A61" display="S56 / S20 S15"/>
    <hyperlink ref="M364" location="'90_公式出典'!A61" display="S56 / S20 S15"/>
    <hyperlink ref="M365" location="'90_公式出典'!A61" display="S56 / S20 S15"/>
    <hyperlink ref="M366" location="'90_公式出典'!A61" display="S56 / S20 S15"/>
    <hyperlink ref="M367" location="'90_公式出典'!A61" display="S56 / S22 S30"/>
    <hyperlink ref="M368" location="'90_公式出典'!A61" display="S56 / S02"/>
    <hyperlink ref="M369" location="'90_公式出典'!A61" display="S56 / S20 S53"/>
    <hyperlink ref="M370" location="'90_公式出典'!A61" display="S56 / S20 S53"/>
    <hyperlink ref="M371" location="'90_公式出典'!A61" display="S56 / S17 S38"/>
    <hyperlink ref="M372" location="'90_公式出典'!A61" display="S56 / S20 S53"/>
    <hyperlink ref="M373" location="'90_公式出典'!A61" display="S56 / S20"/>
    <hyperlink ref="M374" location="'90_公式出典'!A61" display="S56 / S20"/>
    <hyperlink ref="M375" location="'90_公式出典'!A61" display="S56 / S20"/>
    <hyperlink ref="M376" location="'90_公式出典'!A61" display="S56 / S20"/>
    <hyperlink ref="M377" location="'90_公式出典'!A61" display="S56 / S20"/>
    <hyperlink ref="M378" location="'90_公式出典'!A61" display="S56 / S20"/>
    <hyperlink ref="M379" location="'90_公式出典'!A61" display="S56 / S20 S53"/>
    <hyperlink ref="M380" location="'90_公式出典'!A61" display="S56 / S20 S53"/>
    <hyperlink ref="M381" location="'90_公式出典'!A61" display="S56 / S20 S53"/>
    <hyperlink ref="M382" location="'90_公式出典'!A61" display="S56 / S20 S53"/>
    <hyperlink ref="M383" location="'90_公式出典'!A61" display="S56 / S20 S53"/>
    <hyperlink ref="M384" location="'90_公式出典'!A61" display="S56 / S20 S53"/>
    <hyperlink ref="M385" location="'90_公式出典'!A61" display="S56 / S20 S53"/>
    <hyperlink ref="M386" location="'90_公式出典'!A61" display="S56 / S20"/>
    <hyperlink ref="M387" location="'90_公式出典'!A61" display="S56 / S20"/>
    <hyperlink ref="M388" location="'90_公式出典'!A61" display="S56 / S20"/>
    <hyperlink ref="M389" location="'90_公式出典'!A61" display="S56 / S20 S53"/>
    <hyperlink ref="M390" location="'90_公式出典'!A61" display="S56 / S17 S38"/>
    <hyperlink ref="M391" location="'90_公式出典'!A61" display="S56 / S20 S53"/>
    <hyperlink ref="M392" location="'90_公式出典'!A61" display="S56 / S53"/>
    <hyperlink ref="M393" location="'90_公式出典'!A61" display="S56 / S53"/>
    <hyperlink ref="M394" location="'90_公式出典'!A61" display="S56 / S53"/>
    <hyperlink ref="M395" location="'90_公式出典'!A61" display="S56 / S22 S23"/>
    <hyperlink ref="M396" location="'90_公式出典'!A61" display="S56 / S22 S23"/>
    <hyperlink ref="M397" location="'90_公式出典'!A61" display="S56 / S22 S23"/>
    <hyperlink ref="M398" location="'90_公式出典'!A61" display="S56 / S17 S38"/>
    <hyperlink ref="M399" location="'90_公式出典'!A61" display="S56 / S17 S38"/>
    <hyperlink ref="M400" location="'90_公式出典'!A61" display="S56 / S20 S53"/>
    <hyperlink ref="M401" location="'90_公式出典'!A61" display="S56 / S20 S15"/>
    <hyperlink ref="M402" location="'90_公式出典'!A61" display="S56 / S20 S15"/>
    <hyperlink ref="M403" location="'90_公式出典'!A61" display="S56 / S20 S53"/>
    <hyperlink ref="M404" location="'90_公式出典'!A61" display="S56 / S17 S38"/>
    <hyperlink ref="M405" location="'90_公式出典'!A61" display="S56 / S17"/>
    <hyperlink ref="M406" location="'90_公式出典'!A61" display="S56 / S17"/>
    <hyperlink ref="M407" location="'90_公式出典'!A61" display="S56 / S17 S38"/>
    <hyperlink ref="M408" location="'90_公式出典'!A61" display="S56 / S17 S38"/>
    <hyperlink ref="M409" location="'90_公式出典'!A61" display="S56 / S17 S38"/>
    <hyperlink ref="M410" location="'90_公式出典'!A61" display="S56 / S17 S38"/>
    <hyperlink ref="M411" location="'90_公式出典'!A61" display="S56 / S17 S38"/>
    <hyperlink ref="M412" location="'90_公式出典'!A61" display="S56 / S17 S38"/>
    <hyperlink ref="M413" location="'90_公式出典'!A61" display="S56 / S20 S53"/>
    <hyperlink ref="M414" location="'90_公式出典'!A61" display="S56 / S20 S53"/>
    <hyperlink ref="M415" location="'90_公式出典'!A61" display="S56 / S53"/>
    <hyperlink ref="M416" location="'90_公式出典'!A61" display="S56 / S22 S23"/>
    <hyperlink ref="M417" location="'90_公式出典'!A61" display="S56 / S22 S30"/>
    <hyperlink ref="M418" location="'90_公式出典'!A61" display="S56 / S20 S53"/>
    <hyperlink ref="M419" location="'90_公式出典'!A61" display="S56 / S17 S38"/>
    <hyperlink ref="M420" location="'90_公式出典'!A61" display="S56 / S20 S53"/>
    <hyperlink ref="M421" location="'90_公式出典'!A61" display="S56 / S53"/>
    <hyperlink ref="M422" location="'90_公式出典'!A61" display="S56 / S20 S53"/>
    <hyperlink ref="M423" location="'90_公式出典'!A61" display="S56 / S20 S53"/>
    <hyperlink ref="M424" location="'90_公式出典'!A61" display="S56 / S22 S23"/>
    <hyperlink ref="M425" location="'90_公式出典'!A61" display="S56 / S22 S23"/>
    <hyperlink ref="M426" location="'90_公式出典'!A61" display="S56 / S23"/>
    <hyperlink ref="M427" location="'90_公式出典'!A61" display="S56 / S22 S23"/>
    <hyperlink ref="M428" location="'90_公式出典'!A61" display="S56 / S23"/>
    <hyperlink ref="M429" location="'90_公式出典'!A61" display="S56 / S22 S23"/>
    <hyperlink ref="M430" location="'90_公式出典'!A61" display="S56 / S22 S23"/>
    <hyperlink ref="M431" location="'90_公式出典'!A61" display="S56 / S23"/>
    <hyperlink ref="M432" location="'90_公式出典'!A61" display="S56 / S22 S23"/>
    <hyperlink ref="M433" location="'90_公式出典'!A61" display="S56 / S07 S53"/>
    <hyperlink ref="M434" location="'90_公式出典'!A61" display="S56 / S20 S53"/>
    <hyperlink ref="M435" location="'90_公式出典'!A61" display="S56 / S20 S53"/>
  </hyperlinks>
  <pageMargins left="0.3" right="0.3" top="0.45" bottom="0.45" header="0.3" footer="0.3"/>
  <pageSetup paperSize="8" fitToWidth="2"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19.xml><?xml version="1.0" encoding="utf-8"?>
<worksheet xmlns="http://schemas.openxmlformats.org/spreadsheetml/2006/main" xmlns:r="http://schemas.openxmlformats.org/officeDocument/2006/relationships">
  <sheetPr>
    <tabColor rgb="FF777777"/>
    <pageSetUpPr fitToPage="1"/>
  </sheetPr>
  <dimension ref="A1:I435"/>
  <sheetViews>
    <sheetView showGridLines="0" zoomScale="80" zoomScaleNormal="8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9.7109375" customWidth="1"/>
    <col min="2" max="2" width="44.7109375" customWidth="1"/>
    <col min="3" max="4" width="40.7109375" customWidth="1"/>
    <col min="5" max="5" width="46.7109375" customWidth="1"/>
    <col min="6" max="6" width="68.7109375" customWidth="1"/>
    <col min="7" max="7" width="44.7109375" customWidth="1"/>
    <col min="8" max="8" width="18.7109375" customWidth="1"/>
    <col min="9" max="9" width="22.7109375" customWidth="1"/>
  </cols>
  <sheetData>
    <row r="1" spans="1:9" ht="26" customHeight="1">
      <c r="A1" s="5" t="s">
        <v>2758</v>
      </c>
      <c r="B1" s="5"/>
      <c r="C1" s="5"/>
      <c r="D1" s="5"/>
      <c r="E1" s="5"/>
      <c r="F1" s="5"/>
      <c r="G1" s="5"/>
      <c r="H1" s="5"/>
      <c r="I1" s="5"/>
    </row>
    <row r="2" spans="1:9" ht="26" customHeight="1">
      <c r="A2" s="5"/>
      <c r="B2" s="5"/>
      <c r="C2" s="5"/>
      <c r="D2" s="5"/>
      <c r="E2" s="5"/>
      <c r="F2" s="5"/>
      <c r="G2" s="5"/>
      <c r="H2" s="5"/>
      <c r="I2" s="5"/>
    </row>
    <row r="3" spans="1:9" ht="48" customHeight="1">
      <c r="A3" s="6" t="s">
        <v>2759</v>
      </c>
      <c r="B3" s="6"/>
      <c r="C3" s="6"/>
      <c r="D3" s="6"/>
      <c r="E3" s="6"/>
      <c r="F3" s="6"/>
      <c r="G3" s="6"/>
      <c r="H3" s="6"/>
      <c r="I3" s="6"/>
    </row>
    <row r="4" spans="1:9" ht="12" customHeight="1"/>
    <row r="5" spans="1:9" ht="38" customHeight="1">
      <c r="A5" s="7" t="s">
        <v>1103</v>
      </c>
      <c r="B5" s="7" t="s">
        <v>1104</v>
      </c>
      <c r="C5" s="7" t="s">
        <v>2760</v>
      </c>
      <c r="D5" s="7" t="s">
        <v>2761</v>
      </c>
      <c r="E5" s="7" t="s">
        <v>2762</v>
      </c>
      <c r="F5" s="7" t="s">
        <v>2763</v>
      </c>
      <c r="G5" s="7" t="s">
        <v>2764</v>
      </c>
      <c r="H5" s="7" t="s">
        <v>2765</v>
      </c>
      <c r="I5" s="7" t="s">
        <v>33</v>
      </c>
    </row>
    <row r="6" spans="1:9" ht="45" customHeight="1">
      <c r="A6" s="8" t="s">
        <v>1115</v>
      </c>
      <c r="B6" s="8" t="s">
        <v>1116</v>
      </c>
      <c r="C6" s="8" t="s">
        <v>2766</v>
      </c>
      <c r="D6" s="8" t="s">
        <v>2766</v>
      </c>
      <c r="E6" s="8" t="s">
        <v>2766</v>
      </c>
      <c r="F6" s="8" t="s">
        <v>2767</v>
      </c>
      <c r="G6" s="8" t="s">
        <v>1126</v>
      </c>
      <c r="H6" s="8" t="s">
        <v>2768</v>
      </c>
      <c r="I6" s="9" t="s">
        <v>2769</v>
      </c>
    </row>
    <row r="7" spans="1:9" ht="34" customHeight="1">
      <c r="A7" s="10" t="s">
        <v>1128</v>
      </c>
      <c r="B7" s="10" t="s">
        <v>1129</v>
      </c>
      <c r="C7" s="10" t="s">
        <v>2770</v>
      </c>
      <c r="D7" s="10" t="s">
        <v>2770</v>
      </c>
      <c r="E7" s="10" t="s">
        <v>2770</v>
      </c>
      <c r="F7" s="10" t="s">
        <v>2771</v>
      </c>
      <c r="G7" s="12" t="s">
        <v>1136</v>
      </c>
      <c r="H7" s="12" t="s">
        <v>2772</v>
      </c>
      <c r="I7" s="11" t="s">
        <v>2769</v>
      </c>
    </row>
    <row r="8" spans="1:9" ht="45" customHeight="1">
      <c r="A8" s="8" t="s">
        <v>1137</v>
      </c>
      <c r="B8" s="8" t="s">
        <v>1138</v>
      </c>
      <c r="C8" s="8" t="s">
        <v>2766</v>
      </c>
      <c r="D8" s="8" t="s">
        <v>2766</v>
      </c>
      <c r="E8" s="8" t="s">
        <v>2766</v>
      </c>
      <c r="F8" s="8" t="s">
        <v>2767</v>
      </c>
      <c r="G8" s="8" t="s">
        <v>1126</v>
      </c>
      <c r="H8" s="8" t="s">
        <v>2768</v>
      </c>
      <c r="I8" s="9" t="s">
        <v>2769</v>
      </c>
    </row>
    <row r="9" spans="1:9" ht="45" customHeight="1">
      <c r="A9" s="10" t="s">
        <v>1143</v>
      </c>
      <c r="B9" s="10" t="s">
        <v>1144</v>
      </c>
      <c r="C9" s="10" t="s">
        <v>2766</v>
      </c>
      <c r="D9" s="10" t="s">
        <v>2766</v>
      </c>
      <c r="E9" s="10" t="s">
        <v>2766</v>
      </c>
      <c r="F9" s="10" t="s">
        <v>2767</v>
      </c>
      <c r="G9" s="10" t="s">
        <v>1126</v>
      </c>
      <c r="H9" s="10" t="s">
        <v>2768</v>
      </c>
      <c r="I9" s="11" t="s">
        <v>2769</v>
      </c>
    </row>
    <row r="10" spans="1:9" ht="45" customHeight="1">
      <c r="A10" s="8" t="s">
        <v>1147</v>
      </c>
      <c r="B10" s="8" t="s">
        <v>1148</v>
      </c>
      <c r="C10" s="8" t="s">
        <v>2773</v>
      </c>
      <c r="D10" s="8" t="s">
        <v>2773</v>
      </c>
      <c r="E10" s="8" t="s">
        <v>2773</v>
      </c>
      <c r="F10" s="8" t="s">
        <v>2774</v>
      </c>
      <c r="G10" s="8" t="s">
        <v>1126</v>
      </c>
      <c r="H10" s="8" t="s">
        <v>2775</v>
      </c>
      <c r="I10" s="9" t="s">
        <v>1087</v>
      </c>
    </row>
    <row r="11" spans="1:9" ht="45" customHeight="1">
      <c r="A11" s="10" t="s">
        <v>1151</v>
      </c>
      <c r="B11" s="10" t="s">
        <v>1152</v>
      </c>
      <c r="C11" s="10" t="s">
        <v>2766</v>
      </c>
      <c r="D11" s="10" t="s">
        <v>2766</v>
      </c>
      <c r="E11" s="10" t="s">
        <v>2766</v>
      </c>
      <c r="F11" s="10" t="s">
        <v>2767</v>
      </c>
      <c r="G11" s="10" t="s">
        <v>1126</v>
      </c>
      <c r="H11" s="10" t="s">
        <v>2768</v>
      </c>
      <c r="I11" s="11" t="s">
        <v>2769</v>
      </c>
    </row>
    <row r="12" spans="1:9" ht="45" customHeight="1">
      <c r="A12" s="8" t="s">
        <v>1154</v>
      </c>
      <c r="B12" s="8" t="s">
        <v>1155</v>
      </c>
      <c r="C12" s="8" t="s">
        <v>2776</v>
      </c>
      <c r="D12" s="8" t="s">
        <v>2776</v>
      </c>
      <c r="E12" s="8" t="s">
        <v>2776</v>
      </c>
      <c r="F12" s="8" t="s">
        <v>2777</v>
      </c>
      <c r="G12" s="8" t="s">
        <v>1126</v>
      </c>
      <c r="H12" s="8" t="s">
        <v>2775</v>
      </c>
      <c r="I12" s="9" t="s">
        <v>864</v>
      </c>
    </row>
    <row r="13" spans="1:9" ht="45" customHeight="1">
      <c r="A13" s="10" t="s">
        <v>1158</v>
      </c>
      <c r="B13" s="10" t="s">
        <v>1159</v>
      </c>
      <c r="C13" s="10" t="s">
        <v>2766</v>
      </c>
      <c r="D13" s="10" t="s">
        <v>2766</v>
      </c>
      <c r="E13" s="10" t="s">
        <v>2766</v>
      </c>
      <c r="F13" s="10" t="s">
        <v>2767</v>
      </c>
      <c r="G13" s="10" t="s">
        <v>1161</v>
      </c>
      <c r="H13" s="10" t="s">
        <v>2768</v>
      </c>
      <c r="I13" s="11" t="s">
        <v>2769</v>
      </c>
    </row>
    <row r="14" spans="1:9" ht="45" customHeight="1">
      <c r="A14" s="8" t="s">
        <v>1162</v>
      </c>
      <c r="B14" s="8" t="s">
        <v>1163</v>
      </c>
      <c r="C14" s="8" t="s">
        <v>2766</v>
      </c>
      <c r="D14" s="8" t="s">
        <v>2766</v>
      </c>
      <c r="E14" s="8" t="s">
        <v>2766</v>
      </c>
      <c r="F14" s="8" t="s">
        <v>2767</v>
      </c>
      <c r="G14" s="8" t="s">
        <v>1126</v>
      </c>
      <c r="H14" s="8" t="s">
        <v>2768</v>
      </c>
      <c r="I14" s="9" t="s">
        <v>2769</v>
      </c>
    </row>
    <row r="15" spans="1:9" ht="45" customHeight="1">
      <c r="A15" s="10" t="s">
        <v>1165</v>
      </c>
      <c r="B15" s="10" t="s">
        <v>1166</v>
      </c>
      <c r="C15" s="10" t="s">
        <v>2766</v>
      </c>
      <c r="D15" s="10" t="s">
        <v>2766</v>
      </c>
      <c r="E15" s="10" t="s">
        <v>2766</v>
      </c>
      <c r="F15" s="10" t="s">
        <v>2778</v>
      </c>
      <c r="G15" s="10" t="s">
        <v>1126</v>
      </c>
      <c r="H15" s="10" t="s">
        <v>2768</v>
      </c>
      <c r="I15" s="11" t="s">
        <v>2779</v>
      </c>
    </row>
    <row r="16" spans="1:9" ht="45" customHeight="1">
      <c r="A16" s="8" t="s">
        <v>1171</v>
      </c>
      <c r="B16" s="8" t="s">
        <v>1172</v>
      </c>
      <c r="C16" s="8" t="s">
        <v>2766</v>
      </c>
      <c r="D16" s="8" t="s">
        <v>2766</v>
      </c>
      <c r="E16" s="8" t="s">
        <v>2766</v>
      </c>
      <c r="F16" s="8" t="s">
        <v>2767</v>
      </c>
      <c r="G16" s="8" t="s">
        <v>1126</v>
      </c>
      <c r="H16" s="8" t="s">
        <v>2768</v>
      </c>
      <c r="I16" s="9" t="s">
        <v>2769</v>
      </c>
    </row>
    <row r="17" spans="1:9" ht="45" customHeight="1">
      <c r="A17" s="10" t="s">
        <v>1176</v>
      </c>
      <c r="B17" s="10" t="s">
        <v>1177</v>
      </c>
      <c r="C17" s="10" t="s">
        <v>2766</v>
      </c>
      <c r="D17" s="10" t="s">
        <v>2766</v>
      </c>
      <c r="E17" s="10" t="s">
        <v>2766</v>
      </c>
      <c r="F17" s="10" t="s">
        <v>2767</v>
      </c>
      <c r="G17" s="10" t="s">
        <v>1126</v>
      </c>
      <c r="H17" s="10" t="s">
        <v>2768</v>
      </c>
      <c r="I17" s="11" t="s">
        <v>2769</v>
      </c>
    </row>
    <row r="18" spans="1:9" ht="45" customHeight="1">
      <c r="A18" s="8" t="s">
        <v>1182</v>
      </c>
      <c r="B18" s="8" t="s">
        <v>1183</v>
      </c>
      <c r="C18" s="8" t="s">
        <v>2766</v>
      </c>
      <c r="D18" s="8" t="s">
        <v>2766</v>
      </c>
      <c r="E18" s="8" t="s">
        <v>2766</v>
      </c>
      <c r="F18" s="8" t="s">
        <v>2767</v>
      </c>
      <c r="G18" s="8" t="s">
        <v>1126</v>
      </c>
      <c r="H18" s="8" t="s">
        <v>2768</v>
      </c>
      <c r="I18" s="9" t="s">
        <v>2769</v>
      </c>
    </row>
    <row r="19" spans="1:9" ht="45" customHeight="1">
      <c r="A19" s="10" t="s">
        <v>1185</v>
      </c>
      <c r="B19" s="10" t="s">
        <v>1186</v>
      </c>
      <c r="C19" s="10" t="s">
        <v>2766</v>
      </c>
      <c r="D19" s="10" t="s">
        <v>2766</v>
      </c>
      <c r="E19" s="10" t="s">
        <v>2766</v>
      </c>
      <c r="F19" s="10" t="s">
        <v>2767</v>
      </c>
      <c r="G19" s="10" t="s">
        <v>1126</v>
      </c>
      <c r="H19" s="10" t="s">
        <v>2768</v>
      </c>
      <c r="I19" s="11" t="s">
        <v>2769</v>
      </c>
    </row>
    <row r="20" spans="1:9" ht="45" customHeight="1">
      <c r="A20" s="8" t="s">
        <v>1189</v>
      </c>
      <c r="B20" s="8" t="s">
        <v>1190</v>
      </c>
      <c r="C20" s="8" t="s">
        <v>2766</v>
      </c>
      <c r="D20" s="8" t="s">
        <v>2766</v>
      </c>
      <c r="E20" s="8" t="s">
        <v>2766</v>
      </c>
      <c r="F20" s="8" t="s">
        <v>2780</v>
      </c>
      <c r="G20" s="8" t="s">
        <v>1126</v>
      </c>
      <c r="H20" s="8" t="s">
        <v>2768</v>
      </c>
      <c r="I20" s="9" t="s">
        <v>2781</v>
      </c>
    </row>
    <row r="21" spans="1:9" ht="45" customHeight="1">
      <c r="A21" s="10" t="s">
        <v>1193</v>
      </c>
      <c r="B21" s="10" t="s">
        <v>1194</v>
      </c>
      <c r="C21" s="10" t="s">
        <v>2766</v>
      </c>
      <c r="D21" s="10" t="s">
        <v>2766</v>
      </c>
      <c r="E21" s="10" t="s">
        <v>2766</v>
      </c>
      <c r="F21" s="10" t="s">
        <v>2782</v>
      </c>
      <c r="G21" s="10" t="s">
        <v>1126</v>
      </c>
      <c r="H21" s="10" t="s">
        <v>2768</v>
      </c>
      <c r="I21" s="11" t="s">
        <v>1087</v>
      </c>
    </row>
    <row r="22" spans="1:9" ht="45" customHeight="1">
      <c r="A22" s="8" t="s">
        <v>1197</v>
      </c>
      <c r="B22" s="8" t="s">
        <v>1198</v>
      </c>
      <c r="C22" s="8" t="s">
        <v>2766</v>
      </c>
      <c r="D22" s="8" t="s">
        <v>2766</v>
      </c>
      <c r="E22" s="8" t="s">
        <v>2766</v>
      </c>
      <c r="F22" s="8" t="s">
        <v>2782</v>
      </c>
      <c r="G22" s="8" t="s">
        <v>1126</v>
      </c>
      <c r="H22" s="8" t="s">
        <v>2768</v>
      </c>
      <c r="I22" s="9" t="s">
        <v>1087</v>
      </c>
    </row>
    <row r="23" spans="1:9" ht="45" customHeight="1">
      <c r="A23" s="10" t="s">
        <v>1202</v>
      </c>
      <c r="B23" s="10" t="s">
        <v>1203</v>
      </c>
      <c r="C23" s="10" t="s">
        <v>2783</v>
      </c>
      <c r="D23" s="10" t="s">
        <v>2783</v>
      </c>
      <c r="E23" s="10" t="s">
        <v>2783</v>
      </c>
      <c r="F23" s="10" t="s">
        <v>2784</v>
      </c>
      <c r="G23" s="10" t="s">
        <v>1126</v>
      </c>
      <c r="H23" s="10" t="s">
        <v>2775</v>
      </c>
      <c r="I23" s="11" t="s">
        <v>1087</v>
      </c>
    </row>
    <row r="24" spans="1:9" ht="45" customHeight="1">
      <c r="A24" s="8" t="s">
        <v>1206</v>
      </c>
      <c r="B24" s="8" t="s">
        <v>1207</v>
      </c>
      <c r="C24" s="8" t="s">
        <v>2785</v>
      </c>
      <c r="D24" s="8" t="s">
        <v>2785</v>
      </c>
      <c r="E24" s="8" t="s">
        <v>2785</v>
      </c>
      <c r="F24" s="8" t="s">
        <v>2786</v>
      </c>
      <c r="G24" s="8" t="s">
        <v>1209</v>
      </c>
      <c r="H24" s="8" t="s">
        <v>2775</v>
      </c>
      <c r="I24" s="9" t="s">
        <v>2787</v>
      </c>
    </row>
    <row r="25" spans="1:9" ht="45" customHeight="1">
      <c r="A25" s="10" t="s">
        <v>1211</v>
      </c>
      <c r="B25" s="10" t="s">
        <v>1212</v>
      </c>
      <c r="C25" s="10" t="s">
        <v>1179</v>
      </c>
      <c r="D25" s="10" t="s">
        <v>1179</v>
      </c>
      <c r="E25" s="10" t="s">
        <v>1179</v>
      </c>
      <c r="F25" s="10" t="s">
        <v>2788</v>
      </c>
      <c r="G25" s="10" t="s">
        <v>1126</v>
      </c>
      <c r="H25" s="10" t="s">
        <v>2775</v>
      </c>
      <c r="I25" s="11" t="s">
        <v>1087</v>
      </c>
    </row>
    <row r="26" spans="1:9" ht="45" customHeight="1">
      <c r="A26" s="8" t="s">
        <v>1215</v>
      </c>
      <c r="B26" s="8" t="s">
        <v>1216</v>
      </c>
      <c r="C26" s="8" t="s">
        <v>2789</v>
      </c>
      <c r="D26" s="8" t="s">
        <v>2789</v>
      </c>
      <c r="E26" s="8" t="s">
        <v>2789</v>
      </c>
      <c r="F26" s="8" t="s">
        <v>2790</v>
      </c>
      <c r="G26" s="8" t="s">
        <v>1126</v>
      </c>
      <c r="H26" s="8" t="s">
        <v>2775</v>
      </c>
      <c r="I26" s="9" t="s">
        <v>188</v>
      </c>
    </row>
    <row r="27" spans="1:9" ht="45" customHeight="1">
      <c r="A27" s="10" t="s">
        <v>1220</v>
      </c>
      <c r="B27" s="10" t="s">
        <v>1221</v>
      </c>
      <c r="C27" s="10" t="s">
        <v>2766</v>
      </c>
      <c r="D27" s="10" t="s">
        <v>2766</v>
      </c>
      <c r="E27" s="10" t="s">
        <v>2766</v>
      </c>
      <c r="F27" s="10" t="s">
        <v>2767</v>
      </c>
      <c r="G27" s="10" t="s">
        <v>1126</v>
      </c>
      <c r="H27" s="10" t="s">
        <v>2768</v>
      </c>
      <c r="I27" s="11" t="s">
        <v>2769</v>
      </c>
    </row>
    <row r="28" spans="1:9" ht="45" customHeight="1">
      <c r="A28" s="8" t="s">
        <v>1223</v>
      </c>
      <c r="B28" s="8" t="s">
        <v>644</v>
      </c>
      <c r="C28" s="12" t="s">
        <v>2791</v>
      </c>
      <c r="D28" s="12" t="s">
        <v>2791</v>
      </c>
      <c r="E28" s="12" t="s">
        <v>2791</v>
      </c>
      <c r="F28" s="8" t="s">
        <v>2792</v>
      </c>
      <c r="G28" s="12" t="s">
        <v>1227</v>
      </c>
      <c r="H28" s="12" t="s">
        <v>2793</v>
      </c>
      <c r="I28" s="9" t="s">
        <v>58</v>
      </c>
    </row>
    <row r="29" spans="1:9" ht="45" customHeight="1">
      <c r="A29" s="10" t="s">
        <v>1229</v>
      </c>
      <c r="B29" s="10" t="s">
        <v>1230</v>
      </c>
      <c r="C29" s="10" t="s">
        <v>2766</v>
      </c>
      <c r="D29" s="10" t="s">
        <v>2766</v>
      </c>
      <c r="E29" s="10" t="s">
        <v>2766</v>
      </c>
      <c r="F29" s="10" t="s">
        <v>2767</v>
      </c>
      <c r="G29" s="10" t="s">
        <v>1126</v>
      </c>
      <c r="H29" s="10" t="s">
        <v>2768</v>
      </c>
      <c r="I29" s="11" t="s">
        <v>2769</v>
      </c>
    </row>
    <row r="30" spans="1:9" ht="45" customHeight="1">
      <c r="A30" s="8" t="s">
        <v>1232</v>
      </c>
      <c r="B30" s="8" t="s">
        <v>1233</v>
      </c>
      <c r="C30" s="8" t="s">
        <v>1235</v>
      </c>
      <c r="D30" s="8" t="s">
        <v>1235</v>
      </c>
      <c r="E30" s="8" t="s">
        <v>1235</v>
      </c>
      <c r="F30" s="8" t="s">
        <v>2794</v>
      </c>
      <c r="G30" s="8" t="s">
        <v>1126</v>
      </c>
      <c r="H30" s="8" t="s">
        <v>2775</v>
      </c>
      <c r="I30" s="9" t="s">
        <v>840</v>
      </c>
    </row>
    <row r="31" spans="1:9" ht="45" customHeight="1">
      <c r="A31" s="10" t="s">
        <v>1239</v>
      </c>
      <c r="B31" s="10" t="s">
        <v>1240</v>
      </c>
      <c r="C31" s="10" t="s">
        <v>2795</v>
      </c>
      <c r="D31" s="10" t="s">
        <v>2796</v>
      </c>
      <c r="E31" s="10" t="s">
        <v>2797</v>
      </c>
      <c r="F31" s="10" t="s">
        <v>2798</v>
      </c>
      <c r="G31" s="10" t="s">
        <v>1126</v>
      </c>
      <c r="H31" s="10" t="s">
        <v>2775</v>
      </c>
      <c r="I31" s="11" t="s">
        <v>127</v>
      </c>
    </row>
    <row r="32" spans="1:9" ht="45" customHeight="1">
      <c r="A32" s="8" t="s">
        <v>1245</v>
      </c>
      <c r="B32" s="8" t="s">
        <v>1246</v>
      </c>
      <c r="C32" s="8" t="s">
        <v>2766</v>
      </c>
      <c r="D32" s="8" t="s">
        <v>2766</v>
      </c>
      <c r="E32" s="8" t="s">
        <v>2766</v>
      </c>
      <c r="F32" s="8" t="s">
        <v>2767</v>
      </c>
      <c r="G32" s="8" t="s">
        <v>1126</v>
      </c>
      <c r="H32" s="8" t="s">
        <v>2768</v>
      </c>
      <c r="I32" s="9" t="s">
        <v>2769</v>
      </c>
    </row>
    <row r="33" spans="1:9" ht="45" customHeight="1">
      <c r="A33" s="10" t="s">
        <v>1249</v>
      </c>
      <c r="B33" s="10" t="s">
        <v>1250</v>
      </c>
      <c r="C33" s="10" t="s">
        <v>2766</v>
      </c>
      <c r="D33" s="10" t="s">
        <v>2766</v>
      </c>
      <c r="E33" s="10" t="s">
        <v>2766</v>
      </c>
      <c r="F33" s="10" t="s">
        <v>2767</v>
      </c>
      <c r="G33" s="10" t="s">
        <v>1126</v>
      </c>
      <c r="H33" s="10" t="s">
        <v>2768</v>
      </c>
      <c r="I33" s="11" t="s">
        <v>2769</v>
      </c>
    </row>
    <row r="34" spans="1:9" ht="45" customHeight="1">
      <c r="A34" s="8" t="s">
        <v>1252</v>
      </c>
      <c r="B34" s="8" t="s">
        <v>1253</v>
      </c>
      <c r="C34" s="8" t="s">
        <v>2766</v>
      </c>
      <c r="D34" s="8" t="s">
        <v>2766</v>
      </c>
      <c r="E34" s="8" t="s">
        <v>2766</v>
      </c>
      <c r="F34" s="8" t="s">
        <v>2767</v>
      </c>
      <c r="G34" s="8" t="s">
        <v>1126</v>
      </c>
      <c r="H34" s="8" t="s">
        <v>2768</v>
      </c>
      <c r="I34" s="9" t="s">
        <v>2769</v>
      </c>
    </row>
    <row r="35" spans="1:9" ht="45" customHeight="1">
      <c r="A35" s="10" t="s">
        <v>1255</v>
      </c>
      <c r="B35" s="10" t="s">
        <v>1256</v>
      </c>
      <c r="C35" s="10" t="s">
        <v>2766</v>
      </c>
      <c r="D35" s="10" t="s">
        <v>2766</v>
      </c>
      <c r="E35" s="10" t="s">
        <v>2766</v>
      </c>
      <c r="F35" s="10" t="s">
        <v>2782</v>
      </c>
      <c r="G35" s="10" t="s">
        <v>1126</v>
      </c>
      <c r="H35" s="10" t="s">
        <v>2768</v>
      </c>
      <c r="I35" s="11" t="s">
        <v>1087</v>
      </c>
    </row>
    <row r="36" spans="1:9" ht="45" customHeight="1">
      <c r="A36" s="8" t="s">
        <v>1258</v>
      </c>
      <c r="B36" s="8" t="s">
        <v>1259</v>
      </c>
      <c r="C36" s="8" t="s">
        <v>2766</v>
      </c>
      <c r="D36" s="8" t="s">
        <v>2766</v>
      </c>
      <c r="E36" s="8" t="s">
        <v>2766</v>
      </c>
      <c r="F36" s="8" t="s">
        <v>2782</v>
      </c>
      <c r="G36" s="8" t="s">
        <v>1126</v>
      </c>
      <c r="H36" s="8" t="s">
        <v>2768</v>
      </c>
      <c r="I36" s="9" t="s">
        <v>1087</v>
      </c>
    </row>
    <row r="37" spans="1:9" ht="45" customHeight="1">
      <c r="A37" s="10" t="s">
        <v>1261</v>
      </c>
      <c r="B37" s="10" t="s">
        <v>1262</v>
      </c>
      <c r="C37" s="10" t="s">
        <v>2766</v>
      </c>
      <c r="D37" s="10" t="s">
        <v>2766</v>
      </c>
      <c r="E37" s="10" t="s">
        <v>2766</v>
      </c>
      <c r="F37" s="10" t="s">
        <v>2782</v>
      </c>
      <c r="G37" s="10" t="s">
        <v>1126</v>
      </c>
      <c r="H37" s="10" t="s">
        <v>2768</v>
      </c>
      <c r="I37" s="11" t="s">
        <v>1087</v>
      </c>
    </row>
    <row r="38" spans="1:9" ht="45" customHeight="1">
      <c r="A38" s="8" t="s">
        <v>1264</v>
      </c>
      <c r="B38" s="8" t="s">
        <v>1265</v>
      </c>
      <c r="C38" s="8" t="s">
        <v>2766</v>
      </c>
      <c r="D38" s="8" t="s">
        <v>2766</v>
      </c>
      <c r="E38" s="8" t="s">
        <v>2766</v>
      </c>
      <c r="F38" s="8" t="s">
        <v>2782</v>
      </c>
      <c r="G38" s="8" t="s">
        <v>1126</v>
      </c>
      <c r="H38" s="8" t="s">
        <v>2768</v>
      </c>
      <c r="I38" s="9" t="s">
        <v>1087</v>
      </c>
    </row>
    <row r="39" spans="1:9" ht="45" customHeight="1">
      <c r="A39" s="10" t="s">
        <v>1267</v>
      </c>
      <c r="B39" s="10" t="s">
        <v>1268</v>
      </c>
      <c r="C39" s="10" t="s">
        <v>2766</v>
      </c>
      <c r="D39" s="10" t="s">
        <v>2766</v>
      </c>
      <c r="E39" s="10" t="s">
        <v>2766</v>
      </c>
      <c r="F39" s="10" t="s">
        <v>2782</v>
      </c>
      <c r="G39" s="10" t="s">
        <v>1126</v>
      </c>
      <c r="H39" s="10" t="s">
        <v>2768</v>
      </c>
      <c r="I39" s="11" t="s">
        <v>1087</v>
      </c>
    </row>
    <row r="40" spans="1:9" ht="45" customHeight="1">
      <c r="A40" s="8" t="s">
        <v>1270</v>
      </c>
      <c r="B40" s="8" t="s">
        <v>1271</v>
      </c>
      <c r="C40" s="8" t="s">
        <v>2766</v>
      </c>
      <c r="D40" s="8" t="s">
        <v>2766</v>
      </c>
      <c r="E40" s="8" t="s">
        <v>2766</v>
      </c>
      <c r="F40" s="8" t="s">
        <v>2782</v>
      </c>
      <c r="G40" s="8" t="s">
        <v>1126</v>
      </c>
      <c r="H40" s="8" t="s">
        <v>2768</v>
      </c>
      <c r="I40" s="9" t="s">
        <v>1087</v>
      </c>
    </row>
    <row r="41" spans="1:9" ht="45" customHeight="1">
      <c r="A41" s="10" t="s">
        <v>1273</v>
      </c>
      <c r="B41" s="10" t="s">
        <v>1274</v>
      </c>
      <c r="C41" s="10" t="s">
        <v>2766</v>
      </c>
      <c r="D41" s="10" t="s">
        <v>2766</v>
      </c>
      <c r="E41" s="10" t="s">
        <v>2766</v>
      </c>
      <c r="F41" s="10" t="s">
        <v>2767</v>
      </c>
      <c r="G41" s="10" t="s">
        <v>1161</v>
      </c>
      <c r="H41" s="10" t="s">
        <v>2768</v>
      </c>
      <c r="I41" s="11" t="s">
        <v>2769</v>
      </c>
    </row>
    <row r="42" spans="1:9" ht="34" customHeight="1">
      <c r="A42" s="8" t="s">
        <v>1277</v>
      </c>
      <c r="B42" s="8" t="s">
        <v>1278</v>
      </c>
      <c r="C42" s="8" t="s">
        <v>2770</v>
      </c>
      <c r="D42" s="8" t="s">
        <v>2770</v>
      </c>
      <c r="E42" s="8" t="s">
        <v>2770</v>
      </c>
      <c r="F42" s="8" t="s">
        <v>2771</v>
      </c>
      <c r="G42" s="12" t="s">
        <v>1136</v>
      </c>
      <c r="H42" s="12" t="s">
        <v>2772</v>
      </c>
      <c r="I42" s="9" t="s">
        <v>2769</v>
      </c>
    </row>
    <row r="43" spans="1:9" ht="45" customHeight="1">
      <c r="A43" s="10" t="s">
        <v>1282</v>
      </c>
      <c r="B43" s="10" t="s">
        <v>1283</v>
      </c>
      <c r="C43" s="10" t="s">
        <v>2766</v>
      </c>
      <c r="D43" s="10" t="s">
        <v>2766</v>
      </c>
      <c r="E43" s="10" t="s">
        <v>2766</v>
      </c>
      <c r="F43" s="10" t="s">
        <v>2799</v>
      </c>
      <c r="G43" s="10" t="s">
        <v>1161</v>
      </c>
      <c r="H43" s="10" t="s">
        <v>2768</v>
      </c>
      <c r="I43" s="11" t="s">
        <v>575</v>
      </c>
    </row>
    <row r="44" spans="1:9" ht="45" customHeight="1">
      <c r="A44" s="8" t="s">
        <v>1287</v>
      </c>
      <c r="B44" s="8" t="s">
        <v>1288</v>
      </c>
      <c r="C44" s="8" t="s">
        <v>2766</v>
      </c>
      <c r="D44" s="8" t="s">
        <v>2766</v>
      </c>
      <c r="E44" s="8" t="s">
        <v>2766</v>
      </c>
      <c r="F44" s="8" t="s">
        <v>2799</v>
      </c>
      <c r="G44" s="8" t="s">
        <v>1126</v>
      </c>
      <c r="H44" s="8" t="s">
        <v>2768</v>
      </c>
      <c r="I44" s="9" t="s">
        <v>575</v>
      </c>
    </row>
    <row r="45" spans="1:9" ht="45" customHeight="1">
      <c r="A45" s="10" t="s">
        <v>1293</v>
      </c>
      <c r="B45" s="10" t="s">
        <v>1294</v>
      </c>
      <c r="C45" s="10" t="s">
        <v>2766</v>
      </c>
      <c r="D45" s="10" t="s">
        <v>2766</v>
      </c>
      <c r="E45" s="10" t="s">
        <v>2766</v>
      </c>
      <c r="F45" s="10" t="s">
        <v>2799</v>
      </c>
      <c r="G45" s="10" t="s">
        <v>1126</v>
      </c>
      <c r="H45" s="10" t="s">
        <v>2768</v>
      </c>
      <c r="I45" s="11" t="s">
        <v>575</v>
      </c>
    </row>
    <row r="46" spans="1:9" ht="45" customHeight="1">
      <c r="A46" s="8" t="s">
        <v>1298</v>
      </c>
      <c r="B46" s="8" t="s">
        <v>1299</v>
      </c>
      <c r="C46" s="8" t="s">
        <v>2766</v>
      </c>
      <c r="D46" s="8" t="s">
        <v>2766</v>
      </c>
      <c r="E46" s="8" t="s">
        <v>2766</v>
      </c>
      <c r="F46" s="8" t="s">
        <v>2799</v>
      </c>
      <c r="G46" s="8" t="s">
        <v>1161</v>
      </c>
      <c r="H46" s="8" t="s">
        <v>2768</v>
      </c>
      <c r="I46" s="9" t="s">
        <v>575</v>
      </c>
    </row>
    <row r="47" spans="1:9" ht="45" customHeight="1">
      <c r="A47" s="10" t="s">
        <v>1302</v>
      </c>
      <c r="B47" s="10" t="s">
        <v>1303</v>
      </c>
      <c r="C47" s="10" t="s">
        <v>2766</v>
      </c>
      <c r="D47" s="10" t="s">
        <v>2766</v>
      </c>
      <c r="E47" s="10" t="s">
        <v>2766</v>
      </c>
      <c r="F47" s="10" t="s">
        <v>2799</v>
      </c>
      <c r="G47" s="10" t="s">
        <v>1126</v>
      </c>
      <c r="H47" s="10" t="s">
        <v>2768</v>
      </c>
      <c r="I47" s="11" t="s">
        <v>575</v>
      </c>
    </row>
    <row r="48" spans="1:9" ht="45" customHeight="1">
      <c r="A48" s="8" t="s">
        <v>1307</v>
      </c>
      <c r="B48" s="8" t="s">
        <v>1308</v>
      </c>
      <c r="C48" s="8" t="s">
        <v>1179</v>
      </c>
      <c r="D48" s="8" t="s">
        <v>1179</v>
      </c>
      <c r="E48" s="8" t="s">
        <v>1179</v>
      </c>
      <c r="F48" s="8" t="s">
        <v>2800</v>
      </c>
      <c r="G48" s="8" t="s">
        <v>1161</v>
      </c>
      <c r="H48" s="8" t="s">
        <v>2775</v>
      </c>
      <c r="I48" s="9" t="s">
        <v>2801</v>
      </c>
    </row>
    <row r="49" spans="1:9" ht="45" customHeight="1">
      <c r="A49" s="10" t="s">
        <v>1313</v>
      </c>
      <c r="B49" s="10" t="s">
        <v>1314</v>
      </c>
      <c r="C49" s="10" t="s">
        <v>2766</v>
      </c>
      <c r="D49" s="10" t="s">
        <v>2766</v>
      </c>
      <c r="E49" s="10" t="s">
        <v>2766</v>
      </c>
      <c r="F49" s="10" t="s">
        <v>2799</v>
      </c>
      <c r="G49" s="10" t="s">
        <v>1126</v>
      </c>
      <c r="H49" s="10" t="s">
        <v>2768</v>
      </c>
      <c r="I49" s="11" t="s">
        <v>575</v>
      </c>
    </row>
    <row r="50" spans="1:9" ht="45" customHeight="1">
      <c r="A50" s="8" t="s">
        <v>1318</v>
      </c>
      <c r="B50" s="8" t="s">
        <v>1319</v>
      </c>
      <c r="C50" s="8" t="s">
        <v>2766</v>
      </c>
      <c r="D50" s="8" t="s">
        <v>2766</v>
      </c>
      <c r="E50" s="8" t="s">
        <v>2766</v>
      </c>
      <c r="F50" s="8" t="s">
        <v>2799</v>
      </c>
      <c r="G50" s="8" t="s">
        <v>1126</v>
      </c>
      <c r="H50" s="8" t="s">
        <v>2768</v>
      </c>
      <c r="I50" s="9" t="s">
        <v>575</v>
      </c>
    </row>
    <row r="51" spans="1:9" ht="45" customHeight="1">
      <c r="A51" s="10" t="s">
        <v>1322</v>
      </c>
      <c r="B51" s="10" t="s">
        <v>1323</v>
      </c>
      <c r="C51" s="10" t="s">
        <v>2766</v>
      </c>
      <c r="D51" s="10" t="s">
        <v>2766</v>
      </c>
      <c r="E51" s="10" t="s">
        <v>2766</v>
      </c>
      <c r="F51" s="10" t="s">
        <v>2799</v>
      </c>
      <c r="G51" s="10" t="s">
        <v>1161</v>
      </c>
      <c r="H51" s="10" t="s">
        <v>2768</v>
      </c>
      <c r="I51" s="11" t="s">
        <v>575</v>
      </c>
    </row>
    <row r="52" spans="1:9" ht="45" customHeight="1">
      <c r="A52" s="8" t="s">
        <v>1325</v>
      </c>
      <c r="B52" s="8" t="s">
        <v>1326</v>
      </c>
      <c r="C52" s="8" t="s">
        <v>2766</v>
      </c>
      <c r="D52" s="8" t="s">
        <v>2766</v>
      </c>
      <c r="E52" s="8" t="s">
        <v>2766</v>
      </c>
      <c r="F52" s="8" t="s">
        <v>2799</v>
      </c>
      <c r="G52" s="8" t="s">
        <v>1126</v>
      </c>
      <c r="H52" s="8" t="s">
        <v>2768</v>
      </c>
      <c r="I52" s="9" t="s">
        <v>575</v>
      </c>
    </row>
    <row r="53" spans="1:9" ht="45" customHeight="1">
      <c r="A53" s="10" t="s">
        <v>1328</v>
      </c>
      <c r="B53" s="10" t="s">
        <v>1329</v>
      </c>
      <c r="C53" s="10" t="s">
        <v>2766</v>
      </c>
      <c r="D53" s="10" t="s">
        <v>2766</v>
      </c>
      <c r="E53" s="10" t="s">
        <v>2766</v>
      </c>
      <c r="F53" s="10" t="s">
        <v>2799</v>
      </c>
      <c r="G53" s="10" t="s">
        <v>1126</v>
      </c>
      <c r="H53" s="10" t="s">
        <v>2768</v>
      </c>
      <c r="I53" s="11" t="s">
        <v>575</v>
      </c>
    </row>
    <row r="54" spans="1:9" ht="45" customHeight="1">
      <c r="A54" s="8" t="s">
        <v>1331</v>
      </c>
      <c r="B54" s="8" t="s">
        <v>1332</v>
      </c>
      <c r="C54" s="8" t="s">
        <v>2766</v>
      </c>
      <c r="D54" s="8" t="s">
        <v>2766</v>
      </c>
      <c r="E54" s="8" t="s">
        <v>2766</v>
      </c>
      <c r="F54" s="8" t="s">
        <v>2799</v>
      </c>
      <c r="G54" s="8" t="s">
        <v>1161</v>
      </c>
      <c r="H54" s="8" t="s">
        <v>2768</v>
      </c>
      <c r="I54" s="9" t="s">
        <v>575</v>
      </c>
    </row>
    <row r="55" spans="1:9" ht="45" customHeight="1">
      <c r="A55" s="10" t="s">
        <v>1334</v>
      </c>
      <c r="B55" s="10" t="s">
        <v>1335</v>
      </c>
      <c r="C55" s="10" t="s">
        <v>2766</v>
      </c>
      <c r="D55" s="10" t="s">
        <v>2766</v>
      </c>
      <c r="E55" s="10" t="s">
        <v>2766</v>
      </c>
      <c r="F55" s="10" t="s">
        <v>2799</v>
      </c>
      <c r="G55" s="10" t="s">
        <v>1126</v>
      </c>
      <c r="H55" s="10" t="s">
        <v>2768</v>
      </c>
      <c r="I55" s="11" t="s">
        <v>575</v>
      </c>
    </row>
    <row r="56" spans="1:9" ht="45" customHeight="1">
      <c r="A56" s="8" t="s">
        <v>1339</v>
      </c>
      <c r="B56" s="8" t="s">
        <v>1340</v>
      </c>
      <c r="C56" s="8" t="s">
        <v>2766</v>
      </c>
      <c r="D56" s="8" t="s">
        <v>2766</v>
      </c>
      <c r="E56" s="8" t="s">
        <v>2766</v>
      </c>
      <c r="F56" s="8" t="s">
        <v>2799</v>
      </c>
      <c r="G56" s="8" t="s">
        <v>1126</v>
      </c>
      <c r="H56" s="8" t="s">
        <v>2768</v>
      </c>
      <c r="I56" s="9" t="s">
        <v>575</v>
      </c>
    </row>
    <row r="57" spans="1:9" ht="45" customHeight="1">
      <c r="A57" s="10" t="s">
        <v>1344</v>
      </c>
      <c r="B57" s="10" t="s">
        <v>1345</v>
      </c>
      <c r="C57" s="10" t="s">
        <v>2766</v>
      </c>
      <c r="D57" s="10" t="s">
        <v>2766</v>
      </c>
      <c r="E57" s="10" t="s">
        <v>2766</v>
      </c>
      <c r="F57" s="10" t="s">
        <v>2799</v>
      </c>
      <c r="G57" s="10" t="s">
        <v>1126</v>
      </c>
      <c r="H57" s="10" t="s">
        <v>2768</v>
      </c>
      <c r="I57" s="11" t="s">
        <v>575</v>
      </c>
    </row>
    <row r="58" spans="1:9" ht="45" customHeight="1">
      <c r="A58" s="8" t="s">
        <v>1347</v>
      </c>
      <c r="B58" s="8" t="s">
        <v>1348</v>
      </c>
      <c r="C58" s="8" t="s">
        <v>2766</v>
      </c>
      <c r="D58" s="8" t="s">
        <v>2766</v>
      </c>
      <c r="E58" s="8" t="s">
        <v>2766</v>
      </c>
      <c r="F58" s="8" t="s">
        <v>2799</v>
      </c>
      <c r="G58" s="8" t="s">
        <v>1126</v>
      </c>
      <c r="H58" s="8" t="s">
        <v>2768</v>
      </c>
      <c r="I58" s="9" t="s">
        <v>575</v>
      </c>
    </row>
    <row r="59" spans="1:9" ht="45" customHeight="1">
      <c r="A59" s="10" t="s">
        <v>1352</v>
      </c>
      <c r="B59" s="10" t="s">
        <v>1353</v>
      </c>
      <c r="C59" s="10" t="s">
        <v>2766</v>
      </c>
      <c r="D59" s="10" t="s">
        <v>2766</v>
      </c>
      <c r="E59" s="10" t="s">
        <v>2766</v>
      </c>
      <c r="F59" s="10" t="s">
        <v>2799</v>
      </c>
      <c r="G59" s="10" t="s">
        <v>1126</v>
      </c>
      <c r="H59" s="10" t="s">
        <v>2768</v>
      </c>
      <c r="I59" s="11" t="s">
        <v>575</v>
      </c>
    </row>
    <row r="60" spans="1:9" ht="45" customHeight="1">
      <c r="A60" s="8" t="s">
        <v>1355</v>
      </c>
      <c r="B60" s="8" t="s">
        <v>1356</v>
      </c>
      <c r="C60" s="8" t="s">
        <v>2766</v>
      </c>
      <c r="D60" s="8" t="s">
        <v>2766</v>
      </c>
      <c r="E60" s="8" t="s">
        <v>2766</v>
      </c>
      <c r="F60" s="8" t="s">
        <v>2799</v>
      </c>
      <c r="G60" s="8" t="s">
        <v>1126</v>
      </c>
      <c r="H60" s="8" t="s">
        <v>2768</v>
      </c>
      <c r="I60" s="9" t="s">
        <v>575</v>
      </c>
    </row>
    <row r="61" spans="1:9" ht="45" customHeight="1">
      <c r="A61" s="10" t="s">
        <v>1358</v>
      </c>
      <c r="B61" s="10" t="s">
        <v>1359</v>
      </c>
      <c r="C61" s="10" t="s">
        <v>2766</v>
      </c>
      <c r="D61" s="10" t="s">
        <v>2766</v>
      </c>
      <c r="E61" s="10" t="s">
        <v>2766</v>
      </c>
      <c r="F61" s="10" t="s">
        <v>2799</v>
      </c>
      <c r="G61" s="10" t="s">
        <v>1126</v>
      </c>
      <c r="H61" s="10" t="s">
        <v>2768</v>
      </c>
      <c r="I61" s="11" t="s">
        <v>575</v>
      </c>
    </row>
    <row r="62" spans="1:9" ht="45" customHeight="1">
      <c r="A62" s="8" t="s">
        <v>1363</v>
      </c>
      <c r="B62" s="8" t="s">
        <v>1364</v>
      </c>
      <c r="C62" s="8" t="s">
        <v>2766</v>
      </c>
      <c r="D62" s="8" t="s">
        <v>2766</v>
      </c>
      <c r="E62" s="8" t="s">
        <v>2766</v>
      </c>
      <c r="F62" s="8" t="s">
        <v>2799</v>
      </c>
      <c r="G62" s="8" t="s">
        <v>1126</v>
      </c>
      <c r="H62" s="8" t="s">
        <v>2768</v>
      </c>
      <c r="I62" s="9" t="s">
        <v>575</v>
      </c>
    </row>
    <row r="63" spans="1:9" ht="45" customHeight="1">
      <c r="A63" s="10" t="s">
        <v>1368</v>
      </c>
      <c r="B63" s="10" t="s">
        <v>1369</v>
      </c>
      <c r="C63" s="10" t="s">
        <v>2766</v>
      </c>
      <c r="D63" s="10" t="s">
        <v>2766</v>
      </c>
      <c r="E63" s="10" t="s">
        <v>2766</v>
      </c>
      <c r="F63" s="10" t="s">
        <v>2802</v>
      </c>
      <c r="G63" s="10" t="s">
        <v>1126</v>
      </c>
      <c r="H63" s="10" t="s">
        <v>2768</v>
      </c>
      <c r="I63" s="11" t="s">
        <v>2769</v>
      </c>
    </row>
    <row r="64" spans="1:9" ht="45" customHeight="1">
      <c r="A64" s="8" t="s">
        <v>1373</v>
      </c>
      <c r="B64" s="8" t="s">
        <v>1374</v>
      </c>
      <c r="C64" s="8" t="s">
        <v>2803</v>
      </c>
      <c r="D64" s="8" t="s">
        <v>2803</v>
      </c>
      <c r="E64" s="8" t="s">
        <v>2803</v>
      </c>
      <c r="F64" s="8" t="s">
        <v>2804</v>
      </c>
      <c r="G64" s="8" t="s">
        <v>1126</v>
      </c>
      <c r="H64" s="8" t="s">
        <v>2775</v>
      </c>
      <c r="I64" s="9" t="s">
        <v>750</v>
      </c>
    </row>
    <row r="65" spans="1:9" ht="45" customHeight="1">
      <c r="A65" s="10" t="s">
        <v>1379</v>
      </c>
      <c r="B65" s="10" t="s">
        <v>1380</v>
      </c>
      <c r="C65" s="10" t="s">
        <v>2803</v>
      </c>
      <c r="D65" s="10" t="s">
        <v>2803</v>
      </c>
      <c r="E65" s="10" t="s">
        <v>2803</v>
      </c>
      <c r="F65" s="10" t="s">
        <v>2805</v>
      </c>
      <c r="G65" s="10" t="s">
        <v>1126</v>
      </c>
      <c r="H65" s="10" t="s">
        <v>2775</v>
      </c>
      <c r="I65" s="11" t="s">
        <v>750</v>
      </c>
    </row>
    <row r="66" spans="1:9" ht="45" customHeight="1">
      <c r="A66" s="8" t="s">
        <v>1383</v>
      </c>
      <c r="B66" s="8" t="s">
        <v>1384</v>
      </c>
      <c r="C66" s="8" t="s">
        <v>2806</v>
      </c>
      <c r="D66" s="8" t="s">
        <v>2806</v>
      </c>
      <c r="E66" s="8" t="s">
        <v>2806</v>
      </c>
      <c r="F66" s="8" t="s">
        <v>2807</v>
      </c>
      <c r="G66" s="8" t="s">
        <v>1126</v>
      </c>
      <c r="H66" s="8" t="s">
        <v>2775</v>
      </c>
      <c r="I66" s="9" t="s">
        <v>605</v>
      </c>
    </row>
    <row r="67" spans="1:9" ht="45" customHeight="1">
      <c r="A67" s="10" t="s">
        <v>1387</v>
      </c>
      <c r="B67" s="10" t="s">
        <v>1388</v>
      </c>
      <c r="C67" s="10" t="s">
        <v>2766</v>
      </c>
      <c r="D67" s="10" t="s">
        <v>2766</v>
      </c>
      <c r="E67" s="10" t="s">
        <v>2766</v>
      </c>
      <c r="F67" s="10" t="s">
        <v>2767</v>
      </c>
      <c r="G67" s="10" t="s">
        <v>1126</v>
      </c>
      <c r="H67" s="10" t="s">
        <v>2768</v>
      </c>
      <c r="I67" s="11" t="s">
        <v>2769</v>
      </c>
    </row>
    <row r="68" spans="1:9" ht="45" customHeight="1">
      <c r="A68" s="8" t="s">
        <v>1391</v>
      </c>
      <c r="B68" s="8" t="s">
        <v>1392</v>
      </c>
      <c r="C68" s="8" t="s">
        <v>2803</v>
      </c>
      <c r="D68" s="8" t="s">
        <v>2803</v>
      </c>
      <c r="E68" s="8" t="s">
        <v>2803</v>
      </c>
      <c r="F68" s="8" t="s">
        <v>2808</v>
      </c>
      <c r="G68" s="8" t="s">
        <v>1126</v>
      </c>
      <c r="H68" s="8" t="s">
        <v>2775</v>
      </c>
      <c r="I68" s="9" t="s">
        <v>750</v>
      </c>
    </row>
    <row r="69" spans="1:9" ht="45" customHeight="1">
      <c r="A69" s="10" t="s">
        <v>1394</v>
      </c>
      <c r="B69" s="10" t="s">
        <v>1395</v>
      </c>
      <c r="C69" s="10" t="s">
        <v>2809</v>
      </c>
      <c r="D69" s="10" t="s">
        <v>2809</v>
      </c>
      <c r="E69" s="10" t="s">
        <v>2809</v>
      </c>
      <c r="F69" s="10" t="s">
        <v>2810</v>
      </c>
      <c r="G69" s="10" t="s">
        <v>1126</v>
      </c>
      <c r="H69" s="10" t="s">
        <v>2775</v>
      </c>
      <c r="I69" s="11" t="s">
        <v>605</v>
      </c>
    </row>
    <row r="70" spans="1:9" ht="45" customHeight="1">
      <c r="A70" s="8" t="s">
        <v>1397</v>
      </c>
      <c r="B70" s="8" t="s">
        <v>1398</v>
      </c>
      <c r="C70" s="8" t="s">
        <v>2766</v>
      </c>
      <c r="D70" s="8" t="s">
        <v>2766</v>
      </c>
      <c r="E70" s="8" t="s">
        <v>2766</v>
      </c>
      <c r="F70" s="8" t="s">
        <v>2767</v>
      </c>
      <c r="G70" s="8" t="s">
        <v>1126</v>
      </c>
      <c r="H70" s="8" t="s">
        <v>2768</v>
      </c>
      <c r="I70" s="9" t="s">
        <v>2769</v>
      </c>
    </row>
    <row r="71" spans="1:9" ht="45" customHeight="1">
      <c r="A71" s="10" t="s">
        <v>1400</v>
      </c>
      <c r="B71" s="10" t="s">
        <v>1401</v>
      </c>
      <c r="C71" s="10" t="s">
        <v>2811</v>
      </c>
      <c r="D71" s="10" t="s">
        <v>2811</v>
      </c>
      <c r="E71" s="10" t="s">
        <v>2811</v>
      </c>
      <c r="F71" s="10" t="s">
        <v>2812</v>
      </c>
      <c r="G71" s="10" t="s">
        <v>1126</v>
      </c>
      <c r="H71" s="10" t="s">
        <v>2775</v>
      </c>
      <c r="I71" s="11" t="s">
        <v>615</v>
      </c>
    </row>
    <row r="72" spans="1:9" ht="45" customHeight="1">
      <c r="A72" s="8" t="s">
        <v>1405</v>
      </c>
      <c r="B72" s="8" t="s">
        <v>1406</v>
      </c>
      <c r="C72" s="8" t="s">
        <v>2813</v>
      </c>
      <c r="D72" s="8" t="s">
        <v>2813</v>
      </c>
      <c r="E72" s="8" t="s">
        <v>2813</v>
      </c>
      <c r="F72" s="8" t="s">
        <v>2814</v>
      </c>
      <c r="G72" s="8" t="s">
        <v>1126</v>
      </c>
      <c r="H72" s="8" t="s">
        <v>2775</v>
      </c>
      <c r="I72" s="9" t="s">
        <v>605</v>
      </c>
    </row>
    <row r="73" spans="1:9" ht="45" customHeight="1">
      <c r="A73" s="10" t="s">
        <v>1409</v>
      </c>
      <c r="B73" s="10" t="s">
        <v>1410</v>
      </c>
      <c r="C73" s="10" t="s">
        <v>2766</v>
      </c>
      <c r="D73" s="10" t="s">
        <v>2766</v>
      </c>
      <c r="E73" s="10" t="s">
        <v>2766</v>
      </c>
      <c r="F73" s="10" t="s">
        <v>2767</v>
      </c>
      <c r="G73" s="10" t="s">
        <v>1126</v>
      </c>
      <c r="H73" s="10" t="s">
        <v>2768</v>
      </c>
      <c r="I73" s="11" t="s">
        <v>2769</v>
      </c>
    </row>
    <row r="74" spans="1:9" ht="45" customHeight="1">
      <c r="A74" s="8" t="s">
        <v>1414</v>
      </c>
      <c r="B74" s="8" t="s">
        <v>1415</v>
      </c>
      <c r="C74" s="8" t="s">
        <v>2766</v>
      </c>
      <c r="D74" s="8" t="s">
        <v>2766</v>
      </c>
      <c r="E74" s="8" t="s">
        <v>2766</v>
      </c>
      <c r="F74" s="8" t="s">
        <v>2767</v>
      </c>
      <c r="G74" s="8" t="s">
        <v>1126</v>
      </c>
      <c r="H74" s="8" t="s">
        <v>2768</v>
      </c>
      <c r="I74" s="9" t="s">
        <v>2769</v>
      </c>
    </row>
    <row r="75" spans="1:9" ht="45" customHeight="1">
      <c r="A75" s="10" t="s">
        <v>1418</v>
      </c>
      <c r="B75" s="10" t="s">
        <v>601</v>
      </c>
      <c r="C75" s="10" t="s">
        <v>603</v>
      </c>
      <c r="D75" s="10" t="s">
        <v>603</v>
      </c>
      <c r="E75" s="10" t="s">
        <v>603</v>
      </c>
      <c r="F75" s="10" t="s">
        <v>2815</v>
      </c>
      <c r="G75" s="10" t="s">
        <v>1126</v>
      </c>
      <c r="H75" s="10" t="s">
        <v>2775</v>
      </c>
      <c r="I75" s="11" t="s">
        <v>605</v>
      </c>
    </row>
    <row r="76" spans="1:9" ht="34" customHeight="1">
      <c r="A76" s="8" t="s">
        <v>1422</v>
      </c>
      <c r="B76" s="8" t="s">
        <v>1423</v>
      </c>
      <c r="C76" s="8" t="s">
        <v>2770</v>
      </c>
      <c r="D76" s="8" t="s">
        <v>2770</v>
      </c>
      <c r="E76" s="8" t="s">
        <v>2770</v>
      </c>
      <c r="F76" s="8" t="s">
        <v>2771</v>
      </c>
      <c r="G76" s="12" t="s">
        <v>1136</v>
      </c>
      <c r="H76" s="12" t="s">
        <v>2772</v>
      </c>
      <c r="I76" s="9" t="s">
        <v>2769</v>
      </c>
    </row>
    <row r="77" spans="1:9" ht="45" customHeight="1">
      <c r="A77" s="10" t="s">
        <v>1425</v>
      </c>
      <c r="B77" s="10" t="s">
        <v>1426</v>
      </c>
      <c r="C77" s="10" t="s">
        <v>2766</v>
      </c>
      <c r="D77" s="10" t="s">
        <v>2766</v>
      </c>
      <c r="E77" s="10" t="s">
        <v>2766</v>
      </c>
      <c r="F77" s="10" t="s">
        <v>2816</v>
      </c>
      <c r="G77" s="10" t="s">
        <v>1126</v>
      </c>
      <c r="H77" s="10" t="s">
        <v>2768</v>
      </c>
      <c r="I77" s="11" t="s">
        <v>605</v>
      </c>
    </row>
    <row r="78" spans="1:9" ht="34" customHeight="1">
      <c r="A78" s="8" t="s">
        <v>1430</v>
      </c>
      <c r="B78" s="8" t="s">
        <v>1431</v>
      </c>
      <c r="C78" s="8" t="s">
        <v>2770</v>
      </c>
      <c r="D78" s="8" t="s">
        <v>2770</v>
      </c>
      <c r="E78" s="8" t="s">
        <v>2770</v>
      </c>
      <c r="F78" s="8" t="s">
        <v>2771</v>
      </c>
      <c r="G78" s="12" t="s">
        <v>1136</v>
      </c>
      <c r="H78" s="12" t="s">
        <v>2772</v>
      </c>
      <c r="I78" s="9" t="s">
        <v>2769</v>
      </c>
    </row>
    <row r="79" spans="1:9" ht="45" customHeight="1">
      <c r="A79" s="10" t="s">
        <v>1434</v>
      </c>
      <c r="B79" s="10" t="s">
        <v>1435</v>
      </c>
      <c r="C79" s="10" t="s">
        <v>2817</v>
      </c>
      <c r="D79" s="10" t="s">
        <v>2817</v>
      </c>
      <c r="E79" s="10" t="s">
        <v>2817</v>
      </c>
      <c r="F79" s="10" t="s">
        <v>2818</v>
      </c>
      <c r="G79" s="10" t="s">
        <v>1126</v>
      </c>
      <c r="H79" s="10" t="s">
        <v>2775</v>
      </c>
      <c r="I79" s="11" t="s">
        <v>2819</v>
      </c>
    </row>
    <row r="80" spans="1:9" ht="34" customHeight="1">
      <c r="A80" s="8" t="s">
        <v>1439</v>
      </c>
      <c r="B80" s="8" t="s">
        <v>1440</v>
      </c>
      <c r="C80" s="8" t="s">
        <v>2770</v>
      </c>
      <c r="D80" s="8" t="s">
        <v>2770</v>
      </c>
      <c r="E80" s="8" t="s">
        <v>2770</v>
      </c>
      <c r="F80" s="8" t="s">
        <v>2771</v>
      </c>
      <c r="G80" s="12" t="s">
        <v>1136</v>
      </c>
      <c r="H80" s="12" t="s">
        <v>2772</v>
      </c>
      <c r="I80" s="9" t="s">
        <v>2769</v>
      </c>
    </row>
    <row r="81" spans="1:9" ht="34" customHeight="1">
      <c r="A81" s="10" t="s">
        <v>1445</v>
      </c>
      <c r="B81" s="10" t="s">
        <v>1446</v>
      </c>
      <c r="C81" s="10" t="s">
        <v>2770</v>
      </c>
      <c r="D81" s="10" t="s">
        <v>2770</v>
      </c>
      <c r="E81" s="10" t="s">
        <v>2770</v>
      </c>
      <c r="F81" s="10" t="s">
        <v>2771</v>
      </c>
      <c r="G81" s="12" t="s">
        <v>1136</v>
      </c>
      <c r="H81" s="12" t="s">
        <v>2772</v>
      </c>
      <c r="I81" s="11" t="s">
        <v>2769</v>
      </c>
    </row>
    <row r="82" spans="1:9" ht="45" customHeight="1">
      <c r="A82" s="8" t="s">
        <v>1448</v>
      </c>
      <c r="B82" s="8" t="s">
        <v>1449</v>
      </c>
      <c r="C82" s="8" t="s">
        <v>2766</v>
      </c>
      <c r="D82" s="8" t="s">
        <v>2766</v>
      </c>
      <c r="E82" s="8" t="s">
        <v>2766</v>
      </c>
      <c r="F82" s="8" t="s">
        <v>2767</v>
      </c>
      <c r="G82" s="8" t="s">
        <v>1161</v>
      </c>
      <c r="H82" s="8" t="s">
        <v>2768</v>
      </c>
      <c r="I82" s="9" t="s">
        <v>2769</v>
      </c>
    </row>
    <row r="83" spans="1:9" ht="45" customHeight="1">
      <c r="A83" s="10" t="s">
        <v>1452</v>
      </c>
      <c r="B83" s="10" t="s">
        <v>1453</v>
      </c>
      <c r="C83" s="10" t="s">
        <v>2766</v>
      </c>
      <c r="D83" s="10" t="s">
        <v>2766</v>
      </c>
      <c r="E83" s="10" t="s">
        <v>2766</v>
      </c>
      <c r="F83" s="10" t="s">
        <v>2767</v>
      </c>
      <c r="G83" s="10" t="s">
        <v>1126</v>
      </c>
      <c r="H83" s="10" t="s">
        <v>2768</v>
      </c>
      <c r="I83" s="11" t="s">
        <v>2769</v>
      </c>
    </row>
    <row r="84" spans="1:9" ht="45" customHeight="1">
      <c r="A84" s="8" t="s">
        <v>1456</v>
      </c>
      <c r="B84" s="8" t="s">
        <v>1457</v>
      </c>
      <c r="C84" s="8" t="s">
        <v>2766</v>
      </c>
      <c r="D84" s="8" t="s">
        <v>2766</v>
      </c>
      <c r="E84" s="8" t="s">
        <v>2766</v>
      </c>
      <c r="F84" s="8" t="s">
        <v>2802</v>
      </c>
      <c r="G84" s="8" t="s">
        <v>1126</v>
      </c>
      <c r="H84" s="8" t="s">
        <v>2768</v>
      </c>
      <c r="I84" s="9" t="s">
        <v>2769</v>
      </c>
    </row>
    <row r="85" spans="1:9" ht="45" customHeight="1">
      <c r="A85" s="10" t="s">
        <v>1461</v>
      </c>
      <c r="B85" s="10" t="s">
        <v>1462</v>
      </c>
      <c r="C85" s="10" t="s">
        <v>2766</v>
      </c>
      <c r="D85" s="10" t="s">
        <v>2766</v>
      </c>
      <c r="E85" s="10" t="s">
        <v>2766</v>
      </c>
      <c r="F85" s="10" t="s">
        <v>2802</v>
      </c>
      <c r="G85" s="10" t="s">
        <v>1126</v>
      </c>
      <c r="H85" s="10" t="s">
        <v>2768</v>
      </c>
      <c r="I85" s="11" t="s">
        <v>2769</v>
      </c>
    </row>
    <row r="86" spans="1:9" ht="45" customHeight="1">
      <c r="A86" s="8" t="s">
        <v>1466</v>
      </c>
      <c r="B86" s="8" t="s">
        <v>1467</v>
      </c>
      <c r="C86" s="8" t="s">
        <v>2766</v>
      </c>
      <c r="D86" s="8" t="s">
        <v>2766</v>
      </c>
      <c r="E86" s="8" t="s">
        <v>2766</v>
      </c>
      <c r="F86" s="8" t="s">
        <v>2802</v>
      </c>
      <c r="G86" s="8" t="s">
        <v>1126</v>
      </c>
      <c r="H86" s="8" t="s">
        <v>2768</v>
      </c>
      <c r="I86" s="9" t="s">
        <v>2769</v>
      </c>
    </row>
    <row r="87" spans="1:9" ht="45" customHeight="1">
      <c r="A87" s="10" t="s">
        <v>1469</v>
      </c>
      <c r="B87" s="10" t="s">
        <v>1470</v>
      </c>
      <c r="C87" s="10" t="s">
        <v>2766</v>
      </c>
      <c r="D87" s="10" t="s">
        <v>2766</v>
      </c>
      <c r="E87" s="10" t="s">
        <v>2766</v>
      </c>
      <c r="F87" s="10" t="s">
        <v>2767</v>
      </c>
      <c r="G87" s="10" t="s">
        <v>1126</v>
      </c>
      <c r="H87" s="10" t="s">
        <v>2768</v>
      </c>
      <c r="I87" s="11" t="s">
        <v>2769</v>
      </c>
    </row>
    <row r="88" spans="1:9" ht="45" customHeight="1">
      <c r="A88" s="8" t="s">
        <v>1473</v>
      </c>
      <c r="B88" s="8" t="s">
        <v>1474</v>
      </c>
      <c r="C88" s="8" t="s">
        <v>2766</v>
      </c>
      <c r="D88" s="8" t="s">
        <v>2766</v>
      </c>
      <c r="E88" s="8" t="s">
        <v>2766</v>
      </c>
      <c r="F88" s="8" t="s">
        <v>2767</v>
      </c>
      <c r="G88" s="8" t="s">
        <v>1161</v>
      </c>
      <c r="H88" s="8" t="s">
        <v>2768</v>
      </c>
      <c r="I88" s="9" t="s">
        <v>2769</v>
      </c>
    </row>
    <row r="89" spans="1:9" ht="45" customHeight="1">
      <c r="A89" s="10" t="s">
        <v>1476</v>
      </c>
      <c r="B89" s="10" t="s">
        <v>1477</v>
      </c>
      <c r="C89" s="10" t="s">
        <v>2766</v>
      </c>
      <c r="D89" s="10" t="s">
        <v>2766</v>
      </c>
      <c r="E89" s="10" t="s">
        <v>2766</v>
      </c>
      <c r="F89" s="10" t="s">
        <v>2767</v>
      </c>
      <c r="G89" s="10" t="s">
        <v>1126</v>
      </c>
      <c r="H89" s="10" t="s">
        <v>2768</v>
      </c>
      <c r="I89" s="11" t="s">
        <v>2769</v>
      </c>
    </row>
    <row r="90" spans="1:9" ht="45" customHeight="1">
      <c r="A90" s="8" t="s">
        <v>1481</v>
      </c>
      <c r="B90" s="8" t="s">
        <v>1482</v>
      </c>
      <c r="C90" s="8" t="s">
        <v>2766</v>
      </c>
      <c r="D90" s="8" t="s">
        <v>2766</v>
      </c>
      <c r="E90" s="8" t="s">
        <v>2766</v>
      </c>
      <c r="F90" s="8" t="s">
        <v>2767</v>
      </c>
      <c r="G90" s="8" t="s">
        <v>1126</v>
      </c>
      <c r="H90" s="8" t="s">
        <v>2768</v>
      </c>
      <c r="I90" s="9" t="s">
        <v>2769</v>
      </c>
    </row>
    <row r="91" spans="1:9" ht="45" customHeight="1">
      <c r="A91" s="10" t="s">
        <v>1484</v>
      </c>
      <c r="B91" s="10" t="s">
        <v>1485</v>
      </c>
      <c r="C91" s="10" t="s">
        <v>2766</v>
      </c>
      <c r="D91" s="10" t="s">
        <v>2766</v>
      </c>
      <c r="E91" s="10" t="s">
        <v>2766</v>
      </c>
      <c r="F91" s="10" t="s">
        <v>2767</v>
      </c>
      <c r="G91" s="10" t="s">
        <v>1161</v>
      </c>
      <c r="H91" s="10" t="s">
        <v>2768</v>
      </c>
      <c r="I91" s="11" t="s">
        <v>2769</v>
      </c>
    </row>
    <row r="92" spans="1:9" ht="45" customHeight="1">
      <c r="A92" s="8" t="s">
        <v>1488</v>
      </c>
      <c r="B92" s="8" t="s">
        <v>1489</v>
      </c>
      <c r="C92" s="8" t="s">
        <v>2766</v>
      </c>
      <c r="D92" s="8" t="s">
        <v>2766</v>
      </c>
      <c r="E92" s="8" t="s">
        <v>2766</v>
      </c>
      <c r="F92" s="8" t="s">
        <v>2816</v>
      </c>
      <c r="G92" s="8" t="s">
        <v>1126</v>
      </c>
      <c r="H92" s="8" t="s">
        <v>2768</v>
      </c>
      <c r="I92" s="9" t="s">
        <v>605</v>
      </c>
    </row>
    <row r="93" spans="1:9" ht="45" customHeight="1">
      <c r="A93" s="10" t="s">
        <v>1492</v>
      </c>
      <c r="B93" s="10" t="s">
        <v>1493</v>
      </c>
      <c r="C93" s="10" t="s">
        <v>1179</v>
      </c>
      <c r="D93" s="10" t="s">
        <v>1179</v>
      </c>
      <c r="E93" s="10" t="s">
        <v>1179</v>
      </c>
      <c r="F93" s="10" t="s">
        <v>2820</v>
      </c>
      <c r="G93" s="10" t="s">
        <v>1126</v>
      </c>
      <c r="H93" s="10" t="s">
        <v>2775</v>
      </c>
      <c r="I93" s="11" t="s">
        <v>605</v>
      </c>
    </row>
    <row r="94" spans="1:9" ht="45" customHeight="1">
      <c r="A94" s="8" t="s">
        <v>1495</v>
      </c>
      <c r="B94" s="8" t="s">
        <v>1496</v>
      </c>
      <c r="C94" s="8" t="s">
        <v>2766</v>
      </c>
      <c r="D94" s="8" t="s">
        <v>2766</v>
      </c>
      <c r="E94" s="8" t="s">
        <v>2766</v>
      </c>
      <c r="F94" s="8" t="s">
        <v>2767</v>
      </c>
      <c r="G94" s="8" t="s">
        <v>1126</v>
      </c>
      <c r="H94" s="8" t="s">
        <v>2768</v>
      </c>
      <c r="I94" s="9" t="s">
        <v>2769</v>
      </c>
    </row>
    <row r="95" spans="1:9" ht="45" customHeight="1">
      <c r="A95" s="10" t="s">
        <v>1500</v>
      </c>
      <c r="B95" s="10" t="s">
        <v>1501</v>
      </c>
      <c r="C95" s="10" t="s">
        <v>2766</v>
      </c>
      <c r="D95" s="10" t="s">
        <v>2766</v>
      </c>
      <c r="E95" s="10" t="s">
        <v>2766</v>
      </c>
      <c r="F95" s="10" t="s">
        <v>2767</v>
      </c>
      <c r="G95" s="10" t="s">
        <v>1161</v>
      </c>
      <c r="H95" s="10" t="s">
        <v>2768</v>
      </c>
      <c r="I95" s="11" t="s">
        <v>2769</v>
      </c>
    </row>
    <row r="96" spans="1:9" ht="34" customHeight="1">
      <c r="A96" s="8" t="s">
        <v>1503</v>
      </c>
      <c r="B96" s="8" t="s">
        <v>1504</v>
      </c>
      <c r="C96" s="8" t="s">
        <v>2770</v>
      </c>
      <c r="D96" s="8" t="s">
        <v>2770</v>
      </c>
      <c r="E96" s="8" t="s">
        <v>2770</v>
      </c>
      <c r="F96" s="8" t="s">
        <v>2771</v>
      </c>
      <c r="G96" s="12" t="s">
        <v>1136</v>
      </c>
      <c r="H96" s="12" t="s">
        <v>2772</v>
      </c>
      <c r="I96" s="9" t="s">
        <v>2769</v>
      </c>
    </row>
    <row r="97" spans="1:9" ht="45" customHeight="1">
      <c r="A97" s="10" t="s">
        <v>1506</v>
      </c>
      <c r="B97" s="10" t="s">
        <v>1507</v>
      </c>
      <c r="C97" s="10" t="s">
        <v>2766</v>
      </c>
      <c r="D97" s="10" t="s">
        <v>2766</v>
      </c>
      <c r="E97" s="10" t="s">
        <v>2766</v>
      </c>
      <c r="F97" s="10" t="s">
        <v>2767</v>
      </c>
      <c r="G97" s="10" t="s">
        <v>1126</v>
      </c>
      <c r="H97" s="10" t="s">
        <v>2768</v>
      </c>
      <c r="I97" s="11" t="s">
        <v>2769</v>
      </c>
    </row>
    <row r="98" spans="1:9" ht="34" customHeight="1">
      <c r="A98" s="8" t="s">
        <v>1510</v>
      </c>
      <c r="B98" s="8" t="s">
        <v>1511</v>
      </c>
      <c r="C98" s="8" t="s">
        <v>2770</v>
      </c>
      <c r="D98" s="8" t="s">
        <v>2770</v>
      </c>
      <c r="E98" s="8" t="s">
        <v>2770</v>
      </c>
      <c r="F98" s="8" t="s">
        <v>2771</v>
      </c>
      <c r="G98" s="12" t="s">
        <v>1136</v>
      </c>
      <c r="H98" s="12" t="s">
        <v>2772</v>
      </c>
      <c r="I98" s="9" t="s">
        <v>2769</v>
      </c>
    </row>
    <row r="99" spans="1:9" ht="45" customHeight="1">
      <c r="A99" s="10" t="s">
        <v>1514</v>
      </c>
      <c r="B99" s="10" t="s">
        <v>1515</v>
      </c>
      <c r="C99" s="10" t="s">
        <v>2766</v>
      </c>
      <c r="D99" s="10" t="s">
        <v>2766</v>
      </c>
      <c r="E99" s="10" t="s">
        <v>2766</v>
      </c>
      <c r="F99" s="10" t="s">
        <v>2802</v>
      </c>
      <c r="G99" s="10" t="s">
        <v>1161</v>
      </c>
      <c r="H99" s="10" t="s">
        <v>2768</v>
      </c>
      <c r="I99" s="11" t="s">
        <v>2769</v>
      </c>
    </row>
    <row r="100" spans="1:9" ht="45" customHeight="1">
      <c r="A100" s="8" t="s">
        <v>1519</v>
      </c>
      <c r="B100" s="8" t="s">
        <v>1520</v>
      </c>
      <c r="C100" s="8" t="s">
        <v>2766</v>
      </c>
      <c r="D100" s="8" t="s">
        <v>2766</v>
      </c>
      <c r="E100" s="8" t="s">
        <v>2766</v>
      </c>
      <c r="F100" s="8" t="s">
        <v>2802</v>
      </c>
      <c r="G100" s="8" t="s">
        <v>1161</v>
      </c>
      <c r="H100" s="8" t="s">
        <v>2768</v>
      </c>
      <c r="I100" s="9" t="s">
        <v>2769</v>
      </c>
    </row>
    <row r="101" spans="1:9" ht="45" customHeight="1">
      <c r="A101" s="10" t="s">
        <v>1523</v>
      </c>
      <c r="B101" s="10" t="s">
        <v>1524</v>
      </c>
      <c r="C101" s="10" t="s">
        <v>2766</v>
      </c>
      <c r="D101" s="10" t="s">
        <v>2766</v>
      </c>
      <c r="E101" s="10" t="s">
        <v>2766</v>
      </c>
      <c r="F101" s="10" t="s">
        <v>2802</v>
      </c>
      <c r="G101" s="10" t="s">
        <v>1161</v>
      </c>
      <c r="H101" s="10" t="s">
        <v>2768</v>
      </c>
      <c r="I101" s="11" t="s">
        <v>2769</v>
      </c>
    </row>
    <row r="102" spans="1:9" ht="45" customHeight="1">
      <c r="A102" s="8" t="s">
        <v>1528</v>
      </c>
      <c r="B102" s="8" t="s">
        <v>1529</v>
      </c>
      <c r="C102" s="8" t="s">
        <v>2766</v>
      </c>
      <c r="D102" s="8" t="s">
        <v>2766</v>
      </c>
      <c r="E102" s="8" t="s">
        <v>2766</v>
      </c>
      <c r="F102" s="8" t="s">
        <v>2802</v>
      </c>
      <c r="G102" s="8" t="s">
        <v>1161</v>
      </c>
      <c r="H102" s="8" t="s">
        <v>2768</v>
      </c>
      <c r="I102" s="9" t="s">
        <v>2769</v>
      </c>
    </row>
    <row r="103" spans="1:9" ht="45" customHeight="1">
      <c r="A103" s="10" t="s">
        <v>1532</v>
      </c>
      <c r="B103" s="10" t="s">
        <v>1533</v>
      </c>
      <c r="C103" s="10" t="s">
        <v>1118</v>
      </c>
      <c r="D103" s="10" t="s">
        <v>1118</v>
      </c>
      <c r="E103" s="10" t="s">
        <v>1118</v>
      </c>
      <c r="F103" s="10" t="s">
        <v>2821</v>
      </c>
      <c r="G103" s="10" t="s">
        <v>1126</v>
      </c>
      <c r="H103" s="10" t="s">
        <v>2775</v>
      </c>
      <c r="I103" s="11" t="s">
        <v>1087</v>
      </c>
    </row>
    <row r="104" spans="1:9" ht="34" customHeight="1">
      <c r="A104" s="8" t="s">
        <v>1535</v>
      </c>
      <c r="B104" s="8" t="s">
        <v>1536</v>
      </c>
      <c r="C104" s="8" t="s">
        <v>2770</v>
      </c>
      <c r="D104" s="8" t="s">
        <v>2770</v>
      </c>
      <c r="E104" s="8" t="s">
        <v>2770</v>
      </c>
      <c r="F104" s="8" t="s">
        <v>2771</v>
      </c>
      <c r="G104" s="12" t="s">
        <v>1136</v>
      </c>
      <c r="H104" s="12" t="s">
        <v>2772</v>
      </c>
      <c r="I104" s="9" t="s">
        <v>1087</v>
      </c>
    </row>
    <row r="105" spans="1:9" ht="45" customHeight="1">
      <c r="A105" s="10" t="s">
        <v>1540</v>
      </c>
      <c r="B105" s="10" t="s">
        <v>1541</v>
      </c>
      <c r="C105" s="10" t="s">
        <v>2822</v>
      </c>
      <c r="D105" s="10" t="s">
        <v>2822</v>
      </c>
      <c r="E105" s="10" t="s">
        <v>2822</v>
      </c>
      <c r="F105" s="10" t="s">
        <v>2823</v>
      </c>
      <c r="G105" s="10" t="s">
        <v>1126</v>
      </c>
      <c r="H105" s="10" t="s">
        <v>2775</v>
      </c>
      <c r="I105" s="11" t="s">
        <v>864</v>
      </c>
    </row>
    <row r="106" spans="1:9" ht="45" customHeight="1">
      <c r="A106" s="8" t="s">
        <v>1545</v>
      </c>
      <c r="B106" s="8" t="s">
        <v>1546</v>
      </c>
      <c r="C106" s="8" t="s">
        <v>2766</v>
      </c>
      <c r="D106" s="8" t="s">
        <v>2766</v>
      </c>
      <c r="E106" s="8" t="s">
        <v>2766</v>
      </c>
      <c r="F106" s="8" t="s">
        <v>2767</v>
      </c>
      <c r="G106" s="8" t="s">
        <v>1126</v>
      </c>
      <c r="H106" s="8" t="s">
        <v>2768</v>
      </c>
      <c r="I106" s="9" t="s">
        <v>2769</v>
      </c>
    </row>
    <row r="107" spans="1:9" ht="45" customHeight="1">
      <c r="A107" s="10" t="s">
        <v>1550</v>
      </c>
      <c r="B107" s="10" t="s">
        <v>1551</v>
      </c>
      <c r="C107" s="10" t="s">
        <v>2766</v>
      </c>
      <c r="D107" s="10" t="s">
        <v>2766</v>
      </c>
      <c r="E107" s="10" t="s">
        <v>2766</v>
      </c>
      <c r="F107" s="10" t="s">
        <v>2799</v>
      </c>
      <c r="G107" s="10" t="s">
        <v>1126</v>
      </c>
      <c r="H107" s="10" t="s">
        <v>2768</v>
      </c>
      <c r="I107" s="11" t="s">
        <v>575</v>
      </c>
    </row>
    <row r="108" spans="1:9" ht="45" customHeight="1">
      <c r="A108" s="8" t="s">
        <v>1553</v>
      </c>
      <c r="B108" s="8" t="s">
        <v>1554</v>
      </c>
      <c r="C108" s="8" t="s">
        <v>2766</v>
      </c>
      <c r="D108" s="8" t="s">
        <v>2766</v>
      </c>
      <c r="E108" s="8" t="s">
        <v>2766</v>
      </c>
      <c r="F108" s="8" t="s">
        <v>2799</v>
      </c>
      <c r="G108" s="8" t="s">
        <v>1161</v>
      </c>
      <c r="H108" s="8" t="s">
        <v>2768</v>
      </c>
      <c r="I108" s="9" t="s">
        <v>575</v>
      </c>
    </row>
    <row r="109" spans="1:9" ht="34" customHeight="1">
      <c r="A109" s="10" t="s">
        <v>1558</v>
      </c>
      <c r="B109" s="10" t="s">
        <v>1559</v>
      </c>
      <c r="C109" s="10" t="s">
        <v>2770</v>
      </c>
      <c r="D109" s="10" t="s">
        <v>2770</v>
      </c>
      <c r="E109" s="10" t="s">
        <v>2770</v>
      </c>
      <c r="F109" s="10" t="s">
        <v>2771</v>
      </c>
      <c r="G109" s="12" t="s">
        <v>1136</v>
      </c>
      <c r="H109" s="12" t="s">
        <v>2772</v>
      </c>
      <c r="I109" s="11" t="s">
        <v>575</v>
      </c>
    </row>
    <row r="110" spans="1:9" ht="45" customHeight="1">
      <c r="A110" s="8" t="s">
        <v>1561</v>
      </c>
      <c r="B110" s="8" t="s">
        <v>1562</v>
      </c>
      <c r="C110" s="8" t="s">
        <v>2766</v>
      </c>
      <c r="D110" s="8" t="s">
        <v>2766</v>
      </c>
      <c r="E110" s="8" t="s">
        <v>2766</v>
      </c>
      <c r="F110" s="8" t="s">
        <v>2816</v>
      </c>
      <c r="G110" s="8" t="s">
        <v>1126</v>
      </c>
      <c r="H110" s="8" t="s">
        <v>2768</v>
      </c>
      <c r="I110" s="9" t="s">
        <v>605</v>
      </c>
    </row>
    <row r="111" spans="1:9" ht="45" customHeight="1">
      <c r="A111" s="10" t="s">
        <v>1566</v>
      </c>
      <c r="B111" s="10" t="s">
        <v>1567</v>
      </c>
      <c r="C111" s="10" t="s">
        <v>2766</v>
      </c>
      <c r="D111" s="10" t="s">
        <v>2766</v>
      </c>
      <c r="E111" s="10" t="s">
        <v>2766</v>
      </c>
      <c r="F111" s="10" t="s">
        <v>2780</v>
      </c>
      <c r="G111" s="10" t="s">
        <v>1126</v>
      </c>
      <c r="H111" s="10" t="s">
        <v>2768</v>
      </c>
      <c r="I111" s="11" t="s">
        <v>2781</v>
      </c>
    </row>
    <row r="112" spans="1:9" ht="45" customHeight="1">
      <c r="A112" s="8" t="s">
        <v>1570</v>
      </c>
      <c r="B112" s="8" t="s">
        <v>1571</v>
      </c>
      <c r="C112" s="8" t="s">
        <v>2766</v>
      </c>
      <c r="D112" s="8" t="s">
        <v>2766</v>
      </c>
      <c r="E112" s="8" t="s">
        <v>2766</v>
      </c>
      <c r="F112" s="8" t="s">
        <v>2767</v>
      </c>
      <c r="G112" s="8" t="s">
        <v>1126</v>
      </c>
      <c r="H112" s="8" t="s">
        <v>2768</v>
      </c>
      <c r="I112" s="9" t="s">
        <v>2769</v>
      </c>
    </row>
    <row r="113" spans="1:9" ht="45" customHeight="1">
      <c r="A113" s="10" t="s">
        <v>1574</v>
      </c>
      <c r="B113" s="10" t="s">
        <v>1575</v>
      </c>
      <c r="C113" s="10" t="s">
        <v>2824</v>
      </c>
      <c r="D113" s="10" t="s">
        <v>2824</v>
      </c>
      <c r="E113" s="10" t="s">
        <v>2824</v>
      </c>
      <c r="F113" s="10" t="s">
        <v>2825</v>
      </c>
      <c r="G113" s="10" t="s">
        <v>1126</v>
      </c>
      <c r="H113" s="10" t="s">
        <v>2775</v>
      </c>
      <c r="I113" s="11" t="s">
        <v>419</v>
      </c>
    </row>
    <row r="114" spans="1:9" ht="45" customHeight="1">
      <c r="A114" s="8" t="s">
        <v>1578</v>
      </c>
      <c r="B114" s="8" t="s">
        <v>1579</v>
      </c>
      <c r="C114" s="8" t="s">
        <v>2766</v>
      </c>
      <c r="D114" s="8" t="s">
        <v>2766</v>
      </c>
      <c r="E114" s="8" t="s">
        <v>2766</v>
      </c>
      <c r="F114" s="8" t="s">
        <v>2826</v>
      </c>
      <c r="G114" s="8" t="s">
        <v>1126</v>
      </c>
      <c r="H114" s="8" t="s">
        <v>2768</v>
      </c>
      <c r="I114" s="9" t="s">
        <v>2827</v>
      </c>
    </row>
    <row r="115" spans="1:9" ht="45" customHeight="1">
      <c r="A115" s="10" t="s">
        <v>1582</v>
      </c>
      <c r="B115" s="10" t="s">
        <v>1583</v>
      </c>
      <c r="C115" s="10" t="s">
        <v>2766</v>
      </c>
      <c r="D115" s="10" t="s">
        <v>2766</v>
      </c>
      <c r="E115" s="10" t="s">
        <v>2766</v>
      </c>
      <c r="F115" s="10" t="s">
        <v>2826</v>
      </c>
      <c r="G115" s="10" t="s">
        <v>1126</v>
      </c>
      <c r="H115" s="10" t="s">
        <v>2768</v>
      </c>
      <c r="I115" s="11" t="s">
        <v>2827</v>
      </c>
    </row>
    <row r="116" spans="1:9" ht="45" customHeight="1">
      <c r="A116" s="8" t="s">
        <v>1585</v>
      </c>
      <c r="B116" s="8" t="s">
        <v>1586</v>
      </c>
      <c r="C116" s="8" t="s">
        <v>2766</v>
      </c>
      <c r="D116" s="8" t="s">
        <v>2766</v>
      </c>
      <c r="E116" s="8" t="s">
        <v>2766</v>
      </c>
      <c r="F116" s="8" t="s">
        <v>2826</v>
      </c>
      <c r="G116" s="8" t="s">
        <v>1161</v>
      </c>
      <c r="H116" s="8" t="s">
        <v>2768</v>
      </c>
      <c r="I116" s="9" t="s">
        <v>2827</v>
      </c>
    </row>
    <row r="117" spans="1:9" ht="45" customHeight="1">
      <c r="A117" s="10" t="s">
        <v>1590</v>
      </c>
      <c r="B117" s="10" t="s">
        <v>1591</v>
      </c>
      <c r="C117" s="10" t="s">
        <v>2766</v>
      </c>
      <c r="D117" s="10" t="s">
        <v>2766</v>
      </c>
      <c r="E117" s="10" t="s">
        <v>2766</v>
      </c>
      <c r="F117" s="10" t="s">
        <v>2826</v>
      </c>
      <c r="G117" s="10" t="s">
        <v>1126</v>
      </c>
      <c r="H117" s="10" t="s">
        <v>2768</v>
      </c>
      <c r="I117" s="11" t="s">
        <v>2827</v>
      </c>
    </row>
    <row r="118" spans="1:9" ht="45" customHeight="1">
      <c r="A118" s="8" t="s">
        <v>1594</v>
      </c>
      <c r="B118" s="8" t="s">
        <v>1595</v>
      </c>
      <c r="C118" s="8" t="s">
        <v>2766</v>
      </c>
      <c r="D118" s="8" t="s">
        <v>2766</v>
      </c>
      <c r="E118" s="8" t="s">
        <v>2766</v>
      </c>
      <c r="F118" s="8" t="s">
        <v>2826</v>
      </c>
      <c r="G118" s="8" t="s">
        <v>1126</v>
      </c>
      <c r="H118" s="8" t="s">
        <v>2768</v>
      </c>
      <c r="I118" s="9" t="s">
        <v>2827</v>
      </c>
    </row>
    <row r="119" spans="1:9" ht="45" customHeight="1">
      <c r="A119" s="10" t="s">
        <v>1597</v>
      </c>
      <c r="B119" s="10" t="s">
        <v>1598</v>
      </c>
      <c r="C119" s="10" t="s">
        <v>2766</v>
      </c>
      <c r="D119" s="10" t="s">
        <v>2766</v>
      </c>
      <c r="E119" s="10" t="s">
        <v>2766</v>
      </c>
      <c r="F119" s="10" t="s">
        <v>2826</v>
      </c>
      <c r="G119" s="10" t="s">
        <v>1126</v>
      </c>
      <c r="H119" s="10" t="s">
        <v>2768</v>
      </c>
      <c r="I119" s="11" t="s">
        <v>2827</v>
      </c>
    </row>
    <row r="120" spans="1:9" ht="45" customHeight="1">
      <c r="A120" s="8" t="s">
        <v>1601</v>
      </c>
      <c r="B120" s="8" t="s">
        <v>1602</v>
      </c>
      <c r="C120" s="8" t="s">
        <v>2766</v>
      </c>
      <c r="D120" s="8" t="s">
        <v>2766</v>
      </c>
      <c r="E120" s="8" t="s">
        <v>2766</v>
      </c>
      <c r="F120" s="8" t="s">
        <v>2826</v>
      </c>
      <c r="G120" s="8" t="s">
        <v>1126</v>
      </c>
      <c r="H120" s="8" t="s">
        <v>2768</v>
      </c>
      <c r="I120" s="9" t="s">
        <v>2827</v>
      </c>
    </row>
    <row r="121" spans="1:9" ht="45" customHeight="1">
      <c r="A121" s="10" t="s">
        <v>1606</v>
      </c>
      <c r="B121" s="10" t="s">
        <v>1607</v>
      </c>
      <c r="C121" s="10" t="s">
        <v>2766</v>
      </c>
      <c r="D121" s="10" t="s">
        <v>2766</v>
      </c>
      <c r="E121" s="10" t="s">
        <v>2766</v>
      </c>
      <c r="F121" s="10" t="s">
        <v>2826</v>
      </c>
      <c r="G121" s="10" t="s">
        <v>1161</v>
      </c>
      <c r="H121" s="10" t="s">
        <v>2768</v>
      </c>
      <c r="I121" s="11" t="s">
        <v>2827</v>
      </c>
    </row>
    <row r="122" spans="1:9" ht="34" customHeight="1">
      <c r="A122" s="8" t="s">
        <v>1610</v>
      </c>
      <c r="B122" s="8" t="s">
        <v>1611</v>
      </c>
      <c r="C122" s="8" t="s">
        <v>2770</v>
      </c>
      <c r="D122" s="8" t="s">
        <v>2770</v>
      </c>
      <c r="E122" s="8" t="s">
        <v>2770</v>
      </c>
      <c r="F122" s="8" t="s">
        <v>2771</v>
      </c>
      <c r="G122" s="12" t="s">
        <v>1136</v>
      </c>
      <c r="H122" s="12" t="s">
        <v>2772</v>
      </c>
      <c r="I122" s="9" t="s">
        <v>2781</v>
      </c>
    </row>
    <row r="123" spans="1:9" ht="34" customHeight="1">
      <c r="A123" s="10" t="s">
        <v>1613</v>
      </c>
      <c r="B123" s="10" t="s">
        <v>1614</v>
      </c>
      <c r="C123" s="10" t="s">
        <v>2770</v>
      </c>
      <c r="D123" s="10" t="s">
        <v>2770</v>
      </c>
      <c r="E123" s="10" t="s">
        <v>2770</v>
      </c>
      <c r="F123" s="10" t="s">
        <v>2771</v>
      </c>
      <c r="G123" s="12" t="s">
        <v>1136</v>
      </c>
      <c r="H123" s="12" t="s">
        <v>2772</v>
      </c>
      <c r="I123" s="11" t="s">
        <v>2781</v>
      </c>
    </row>
    <row r="124" spans="1:9" ht="34" customHeight="1">
      <c r="A124" s="8" t="s">
        <v>1616</v>
      </c>
      <c r="B124" s="8" t="s">
        <v>1617</v>
      </c>
      <c r="C124" s="8" t="s">
        <v>2770</v>
      </c>
      <c r="D124" s="8" t="s">
        <v>2770</v>
      </c>
      <c r="E124" s="8" t="s">
        <v>2770</v>
      </c>
      <c r="F124" s="8" t="s">
        <v>2771</v>
      </c>
      <c r="G124" s="12" t="s">
        <v>1136</v>
      </c>
      <c r="H124" s="12" t="s">
        <v>2772</v>
      </c>
      <c r="I124" s="9" t="s">
        <v>2781</v>
      </c>
    </row>
    <row r="125" spans="1:9" ht="34" customHeight="1">
      <c r="A125" s="10" t="s">
        <v>1620</v>
      </c>
      <c r="B125" s="10" t="s">
        <v>1621</v>
      </c>
      <c r="C125" s="10" t="s">
        <v>2770</v>
      </c>
      <c r="D125" s="10" t="s">
        <v>2770</v>
      </c>
      <c r="E125" s="10" t="s">
        <v>2770</v>
      </c>
      <c r="F125" s="10" t="s">
        <v>2771</v>
      </c>
      <c r="G125" s="12" t="s">
        <v>1136</v>
      </c>
      <c r="H125" s="12" t="s">
        <v>2772</v>
      </c>
      <c r="I125" s="11" t="s">
        <v>2781</v>
      </c>
    </row>
    <row r="126" spans="1:9" ht="34" customHeight="1">
      <c r="A126" s="8" t="s">
        <v>1623</v>
      </c>
      <c r="B126" s="8" t="s">
        <v>1624</v>
      </c>
      <c r="C126" s="8" t="s">
        <v>2770</v>
      </c>
      <c r="D126" s="8" t="s">
        <v>2770</v>
      </c>
      <c r="E126" s="8" t="s">
        <v>2770</v>
      </c>
      <c r="F126" s="8" t="s">
        <v>2771</v>
      </c>
      <c r="G126" s="12" t="s">
        <v>1136</v>
      </c>
      <c r="H126" s="12" t="s">
        <v>2772</v>
      </c>
      <c r="I126" s="9" t="s">
        <v>2781</v>
      </c>
    </row>
    <row r="127" spans="1:9" ht="34" customHeight="1">
      <c r="A127" s="10" t="s">
        <v>1626</v>
      </c>
      <c r="B127" s="10" t="s">
        <v>1627</v>
      </c>
      <c r="C127" s="10" t="s">
        <v>2770</v>
      </c>
      <c r="D127" s="10" t="s">
        <v>2770</v>
      </c>
      <c r="E127" s="10" t="s">
        <v>2770</v>
      </c>
      <c r="F127" s="10" t="s">
        <v>2771</v>
      </c>
      <c r="G127" s="12" t="s">
        <v>1136</v>
      </c>
      <c r="H127" s="12" t="s">
        <v>2772</v>
      </c>
      <c r="I127" s="11" t="s">
        <v>2781</v>
      </c>
    </row>
    <row r="128" spans="1:9" ht="34" customHeight="1">
      <c r="A128" s="8" t="s">
        <v>1629</v>
      </c>
      <c r="B128" s="8" t="s">
        <v>1630</v>
      </c>
      <c r="C128" s="8" t="s">
        <v>2828</v>
      </c>
      <c r="D128" s="8" t="s">
        <v>2828</v>
      </c>
      <c r="E128" s="8" t="s">
        <v>2828</v>
      </c>
      <c r="F128" s="8" t="s">
        <v>2829</v>
      </c>
      <c r="G128" s="8" t="s">
        <v>1635</v>
      </c>
      <c r="H128" s="8" t="s">
        <v>2830</v>
      </c>
      <c r="I128" s="9" t="s">
        <v>556</v>
      </c>
    </row>
    <row r="129" spans="1:9" ht="34" customHeight="1">
      <c r="A129" s="10" t="s">
        <v>1637</v>
      </c>
      <c r="B129" s="10" t="s">
        <v>1638</v>
      </c>
      <c r="C129" s="10" t="s">
        <v>2770</v>
      </c>
      <c r="D129" s="10" t="s">
        <v>2770</v>
      </c>
      <c r="E129" s="10" t="s">
        <v>2770</v>
      </c>
      <c r="F129" s="10" t="s">
        <v>2771</v>
      </c>
      <c r="G129" s="12" t="s">
        <v>1136</v>
      </c>
      <c r="H129" s="12" t="s">
        <v>2772</v>
      </c>
      <c r="I129" s="11" t="s">
        <v>2781</v>
      </c>
    </row>
    <row r="130" spans="1:9" ht="34" customHeight="1">
      <c r="A130" s="8" t="s">
        <v>1642</v>
      </c>
      <c r="B130" s="8" t="s">
        <v>1643</v>
      </c>
      <c r="C130" s="8" t="s">
        <v>2770</v>
      </c>
      <c r="D130" s="8" t="s">
        <v>2770</v>
      </c>
      <c r="E130" s="8" t="s">
        <v>2770</v>
      </c>
      <c r="F130" s="8" t="s">
        <v>2771</v>
      </c>
      <c r="G130" s="12" t="s">
        <v>1136</v>
      </c>
      <c r="H130" s="12" t="s">
        <v>2772</v>
      </c>
      <c r="I130" s="9" t="s">
        <v>2827</v>
      </c>
    </row>
    <row r="131" spans="1:9" ht="45" customHeight="1">
      <c r="A131" s="10" t="s">
        <v>1648</v>
      </c>
      <c r="B131" s="10" t="s">
        <v>1649</v>
      </c>
      <c r="C131" s="10" t="s">
        <v>2766</v>
      </c>
      <c r="D131" s="10" t="s">
        <v>2766</v>
      </c>
      <c r="E131" s="10" t="s">
        <v>2766</v>
      </c>
      <c r="F131" s="10" t="s">
        <v>2826</v>
      </c>
      <c r="G131" s="10" t="s">
        <v>1161</v>
      </c>
      <c r="H131" s="10" t="s">
        <v>2768</v>
      </c>
      <c r="I131" s="11" t="s">
        <v>2827</v>
      </c>
    </row>
    <row r="132" spans="1:9" ht="45" customHeight="1">
      <c r="A132" s="8" t="s">
        <v>1651</v>
      </c>
      <c r="B132" s="8" t="s">
        <v>1652</v>
      </c>
      <c r="C132" s="8" t="s">
        <v>2766</v>
      </c>
      <c r="D132" s="8" t="s">
        <v>2766</v>
      </c>
      <c r="E132" s="8" t="s">
        <v>2766</v>
      </c>
      <c r="F132" s="8" t="s">
        <v>2826</v>
      </c>
      <c r="G132" s="8" t="s">
        <v>1126</v>
      </c>
      <c r="H132" s="8" t="s">
        <v>2768</v>
      </c>
      <c r="I132" s="9" t="s">
        <v>2827</v>
      </c>
    </row>
    <row r="133" spans="1:9" ht="34" customHeight="1">
      <c r="A133" s="10" t="s">
        <v>1656</v>
      </c>
      <c r="B133" s="10" t="s">
        <v>1657</v>
      </c>
      <c r="C133" s="10" t="s">
        <v>2770</v>
      </c>
      <c r="D133" s="10" t="s">
        <v>2770</v>
      </c>
      <c r="E133" s="10" t="s">
        <v>2770</v>
      </c>
      <c r="F133" s="10" t="s">
        <v>2771</v>
      </c>
      <c r="G133" s="12" t="s">
        <v>1136</v>
      </c>
      <c r="H133" s="12" t="s">
        <v>2772</v>
      </c>
      <c r="I133" s="11" t="s">
        <v>2827</v>
      </c>
    </row>
    <row r="134" spans="1:9" ht="45" customHeight="1">
      <c r="A134" s="8" t="s">
        <v>1659</v>
      </c>
      <c r="B134" s="8" t="s">
        <v>1660</v>
      </c>
      <c r="C134" s="8" t="s">
        <v>1662</v>
      </c>
      <c r="D134" s="8" t="s">
        <v>1662</v>
      </c>
      <c r="E134" s="8" t="s">
        <v>1662</v>
      </c>
      <c r="F134" s="8" t="s">
        <v>2831</v>
      </c>
      <c r="G134" s="8" t="s">
        <v>1126</v>
      </c>
      <c r="H134" s="8" t="s">
        <v>2775</v>
      </c>
      <c r="I134" s="9" t="s">
        <v>621</v>
      </c>
    </row>
    <row r="135" spans="1:9" ht="45" customHeight="1">
      <c r="A135" s="10" t="s">
        <v>1664</v>
      </c>
      <c r="B135" s="10" t="s">
        <v>1665</v>
      </c>
      <c r="C135" s="10" t="s">
        <v>2832</v>
      </c>
      <c r="D135" s="10" t="s">
        <v>2832</v>
      </c>
      <c r="E135" s="10" t="s">
        <v>2832</v>
      </c>
      <c r="F135" s="10" t="s">
        <v>2833</v>
      </c>
      <c r="G135" s="10" t="s">
        <v>1126</v>
      </c>
      <c r="H135" s="10" t="s">
        <v>2775</v>
      </c>
      <c r="I135" s="11" t="s">
        <v>621</v>
      </c>
    </row>
    <row r="136" spans="1:9" ht="34" customHeight="1">
      <c r="A136" s="8" t="s">
        <v>1669</v>
      </c>
      <c r="B136" s="8" t="s">
        <v>1670</v>
      </c>
      <c r="C136" s="8" t="s">
        <v>2770</v>
      </c>
      <c r="D136" s="8" t="s">
        <v>2770</v>
      </c>
      <c r="E136" s="8" t="s">
        <v>2770</v>
      </c>
      <c r="F136" s="8" t="s">
        <v>2771</v>
      </c>
      <c r="G136" s="12" t="s">
        <v>1136</v>
      </c>
      <c r="H136" s="12" t="s">
        <v>2772</v>
      </c>
      <c r="I136" s="9" t="s">
        <v>2827</v>
      </c>
    </row>
    <row r="137" spans="1:9" ht="34" customHeight="1">
      <c r="A137" s="10" t="s">
        <v>1672</v>
      </c>
      <c r="B137" s="10" t="s">
        <v>1673</v>
      </c>
      <c r="C137" s="10" t="s">
        <v>1285</v>
      </c>
      <c r="D137" s="10" t="s">
        <v>1285</v>
      </c>
      <c r="E137" s="10" t="s">
        <v>1285</v>
      </c>
      <c r="F137" s="10" t="s">
        <v>2834</v>
      </c>
      <c r="G137" s="10" t="s">
        <v>1161</v>
      </c>
      <c r="H137" s="10" t="s">
        <v>2775</v>
      </c>
      <c r="I137" s="11" t="s">
        <v>904</v>
      </c>
    </row>
    <row r="138" spans="1:9" ht="45" customHeight="1">
      <c r="A138" s="8" t="s">
        <v>1676</v>
      </c>
      <c r="B138" s="8" t="s">
        <v>1677</v>
      </c>
      <c r="C138" s="8" t="s">
        <v>2766</v>
      </c>
      <c r="D138" s="8" t="s">
        <v>2766</v>
      </c>
      <c r="E138" s="8" t="s">
        <v>2766</v>
      </c>
      <c r="F138" s="8" t="s">
        <v>2826</v>
      </c>
      <c r="G138" s="8" t="s">
        <v>1126</v>
      </c>
      <c r="H138" s="8" t="s">
        <v>2768</v>
      </c>
      <c r="I138" s="9" t="s">
        <v>2827</v>
      </c>
    </row>
    <row r="139" spans="1:9" ht="34" customHeight="1">
      <c r="A139" s="10" t="s">
        <v>1680</v>
      </c>
      <c r="B139" s="10" t="s">
        <v>1681</v>
      </c>
      <c r="C139" s="10" t="s">
        <v>2770</v>
      </c>
      <c r="D139" s="10" t="s">
        <v>2770</v>
      </c>
      <c r="E139" s="10" t="s">
        <v>2770</v>
      </c>
      <c r="F139" s="10" t="s">
        <v>2771</v>
      </c>
      <c r="G139" s="12" t="s">
        <v>1136</v>
      </c>
      <c r="H139" s="12" t="s">
        <v>2772</v>
      </c>
      <c r="I139" s="11" t="s">
        <v>2827</v>
      </c>
    </row>
    <row r="140" spans="1:9" ht="34" customHeight="1">
      <c r="A140" s="8" t="s">
        <v>1684</v>
      </c>
      <c r="B140" s="8" t="s">
        <v>1685</v>
      </c>
      <c r="C140" s="8" t="s">
        <v>2770</v>
      </c>
      <c r="D140" s="8" t="s">
        <v>2770</v>
      </c>
      <c r="E140" s="8" t="s">
        <v>2770</v>
      </c>
      <c r="F140" s="8" t="s">
        <v>2771</v>
      </c>
      <c r="G140" s="12" t="s">
        <v>1136</v>
      </c>
      <c r="H140" s="12" t="s">
        <v>2772</v>
      </c>
      <c r="I140" s="9" t="s">
        <v>2779</v>
      </c>
    </row>
    <row r="141" spans="1:9" ht="45" customHeight="1">
      <c r="A141" s="10" t="s">
        <v>1689</v>
      </c>
      <c r="B141" s="10" t="s">
        <v>1690</v>
      </c>
      <c r="C141" s="10" t="s">
        <v>1285</v>
      </c>
      <c r="D141" s="10" t="s">
        <v>1285</v>
      </c>
      <c r="E141" s="10" t="s">
        <v>1285</v>
      </c>
      <c r="F141" s="10" t="s">
        <v>2835</v>
      </c>
      <c r="G141" s="10" t="s">
        <v>1126</v>
      </c>
      <c r="H141" s="10" t="s">
        <v>2775</v>
      </c>
      <c r="I141" s="11" t="s">
        <v>1087</v>
      </c>
    </row>
    <row r="142" spans="1:9" ht="34" customHeight="1">
      <c r="A142" s="8" t="s">
        <v>1692</v>
      </c>
      <c r="B142" s="8" t="s">
        <v>1693</v>
      </c>
      <c r="C142" s="8" t="s">
        <v>2770</v>
      </c>
      <c r="D142" s="8" t="s">
        <v>2770</v>
      </c>
      <c r="E142" s="8" t="s">
        <v>2770</v>
      </c>
      <c r="F142" s="8" t="s">
        <v>2771</v>
      </c>
      <c r="G142" s="12" t="s">
        <v>1136</v>
      </c>
      <c r="H142" s="12" t="s">
        <v>2772</v>
      </c>
      <c r="I142" s="9" t="s">
        <v>2827</v>
      </c>
    </row>
    <row r="143" spans="1:9" ht="34" customHeight="1">
      <c r="A143" s="10" t="s">
        <v>1697</v>
      </c>
      <c r="B143" s="10" t="s">
        <v>1698</v>
      </c>
      <c r="C143" s="10" t="s">
        <v>2770</v>
      </c>
      <c r="D143" s="10" t="s">
        <v>2770</v>
      </c>
      <c r="E143" s="10" t="s">
        <v>2770</v>
      </c>
      <c r="F143" s="10" t="s">
        <v>2771</v>
      </c>
      <c r="G143" s="12" t="s">
        <v>1136</v>
      </c>
      <c r="H143" s="12" t="s">
        <v>2772</v>
      </c>
      <c r="I143" s="11" t="s">
        <v>2827</v>
      </c>
    </row>
    <row r="144" spans="1:9" ht="34" customHeight="1">
      <c r="A144" s="8" t="s">
        <v>1700</v>
      </c>
      <c r="B144" s="8" t="s">
        <v>1701</v>
      </c>
      <c r="C144" s="8" t="s">
        <v>2770</v>
      </c>
      <c r="D144" s="8" t="s">
        <v>2770</v>
      </c>
      <c r="E144" s="8" t="s">
        <v>2770</v>
      </c>
      <c r="F144" s="8" t="s">
        <v>2771</v>
      </c>
      <c r="G144" s="12" t="s">
        <v>1136</v>
      </c>
      <c r="H144" s="12" t="s">
        <v>2772</v>
      </c>
      <c r="I144" s="9" t="s">
        <v>2827</v>
      </c>
    </row>
    <row r="145" spans="1:9" ht="45" customHeight="1">
      <c r="A145" s="10" t="s">
        <v>1703</v>
      </c>
      <c r="B145" s="10" t="s">
        <v>1704</v>
      </c>
      <c r="C145" s="10" t="s">
        <v>2766</v>
      </c>
      <c r="D145" s="10" t="s">
        <v>2766</v>
      </c>
      <c r="E145" s="10" t="s">
        <v>2766</v>
      </c>
      <c r="F145" s="10" t="s">
        <v>2836</v>
      </c>
      <c r="G145" s="10" t="s">
        <v>1126</v>
      </c>
      <c r="H145" s="10" t="s">
        <v>2768</v>
      </c>
      <c r="I145" s="11" t="s">
        <v>621</v>
      </c>
    </row>
    <row r="146" spans="1:9" ht="45" customHeight="1">
      <c r="A146" s="8" t="s">
        <v>1706</v>
      </c>
      <c r="B146" s="8" t="s">
        <v>1707</v>
      </c>
      <c r="C146" s="8" t="s">
        <v>2766</v>
      </c>
      <c r="D146" s="8" t="s">
        <v>2766</v>
      </c>
      <c r="E146" s="8" t="s">
        <v>2766</v>
      </c>
      <c r="F146" s="8" t="s">
        <v>2836</v>
      </c>
      <c r="G146" s="8" t="s">
        <v>1161</v>
      </c>
      <c r="H146" s="8" t="s">
        <v>2768</v>
      </c>
      <c r="I146" s="9" t="s">
        <v>621</v>
      </c>
    </row>
    <row r="147" spans="1:9" ht="45" customHeight="1">
      <c r="A147" s="10" t="s">
        <v>1710</v>
      </c>
      <c r="B147" s="10" t="s">
        <v>1711</v>
      </c>
      <c r="C147" s="10" t="s">
        <v>2766</v>
      </c>
      <c r="D147" s="10" t="s">
        <v>2766</v>
      </c>
      <c r="E147" s="10" t="s">
        <v>2766</v>
      </c>
      <c r="F147" s="10" t="s">
        <v>2836</v>
      </c>
      <c r="G147" s="10" t="s">
        <v>1126</v>
      </c>
      <c r="H147" s="10" t="s">
        <v>2768</v>
      </c>
      <c r="I147" s="11" t="s">
        <v>621</v>
      </c>
    </row>
    <row r="148" spans="1:9" ht="45" customHeight="1">
      <c r="A148" s="8" t="s">
        <v>1713</v>
      </c>
      <c r="B148" s="8" t="s">
        <v>1714</v>
      </c>
      <c r="C148" s="8" t="s">
        <v>2766</v>
      </c>
      <c r="D148" s="8" t="s">
        <v>2766</v>
      </c>
      <c r="E148" s="8" t="s">
        <v>2766</v>
      </c>
      <c r="F148" s="8" t="s">
        <v>2836</v>
      </c>
      <c r="G148" s="8" t="s">
        <v>1161</v>
      </c>
      <c r="H148" s="8" t="s">
        <v>2768</v>
      </c>
      <c r="I148" s="9" t="s">
        <v>621</v>
      </c>
    </row>
    <row r="149" spans="1:9" ht="45" customHeight="1">
      <c r="A149" s="10" t="s">
        <v>1717</v>
      </c>
      <c r="B149" s="10" t="s">
        <v>1718</v>
      </c>
      <c r="C149" s="10" t="s">
        <v>2766</v>
      </c>
      <c r="D149" s="10" t="s">
        <v>2766</v>
      </c>
      <c r="E149" s="10" t="s">
        <v>2766</v>
      </c>
      <c r="F149" s="10" t="s">
        <v>2836</v>
      </c>
      <c r="G149" s="10" t="s">
        <v>1161</v>
      </c>
      <c r="H149" s="10" t="s">
        <v>2768</v>
      </c>
      <c r="I149" s="11" t="s">
        <v>621</v>
      </c>
    </row>
    <row r="150" spans="1:9" ht="45" customHeight="1">
      <c r="A150" s="8" t="s">
        <v>1721</v>
      </c>
      <c r="B150" s="8" t="s">
        <v>1722</v>
      </c>
      <c r="C150" s="8" t="s">
        <v>2766</v>
      </c>
      <c r="D150" s="8" t="s">
        <v>2766</v>
      </c>
      <c r="E150" s="8" t="s">
        <v>2766</v>
      </c>
      <c r="F150" s="8" t="s">
        <v>2836</v>
      </c>
      <c r="G150" s="8" t="s">
        <v>1126</v>
      </c>
      <c r="H150" s="8" t="s">
        <v>2768</v>
      </c>
      <c r="I150" s="9" t="s">
        <v>621</v>
      </c>
    </row>
    <row r="151" spans="1:9" ht="45" customHeight="1">
      <c r="A151" s="10" t="s">
        <v>1725</v>
      </c>
      <c r="B151" s="10" t="s">
        <v>1726</v>
      </c>
      <c r="C151" s="10" t="s">
        <v>2766</v>
      </c>
      <c r="D151" s="10" t="s">
        <v>2766</v>
      </c>
      <c r="E151" s="10" t="s">
        <v>2766</v>
      </c>
      <c r="F151" s="10" t="s">
        <v>2836</v>
      </c>
      <c r="G151" s="10" t="s">
        <v>1126</v>
      </c>
      <c r="H151" s="10" t="s">
        <v>2768</v>
      </c>
      <c r="I151" s="11" t="s">
        <v>621</v>
      </c>
    </row>
    <row r="152" spans="1:9" ht="45" customHeight="1">
      <c r="A152" s="8" t="s">
        <v>1729</v>
      </c>
      <c r="B152" s="8" t="s">
        <v>1730</v>
      </c>
      <c r="C152" s="8" t="s">
        <v>2766</v>
      </c>
      <c r="D152" s="8" t="s">
        <v>2766</v>
      </c>
      <c r="E152" s="8" t="s">
        <v>2766</v>
      </c>
      <c r="F152" s="8" t="s">
        <v>2836</v>
      </c>
      <c r="G152" s="8" t="s">
        <v>1161</v>
      </c>
      <c r="H152" s="8" t="s">
        <v>2768</v>
      </c>
      <c r="I152" s="9" t="s">
        <v>621</v>
      </c>
    </row>
    <row r="153" spans="1:9" ht="45" customHeight="1">
      <c r="A153" s="10" t="s">
        <v>1733</v>
      </c>
      <c r="B153" s="10" t="s">
        <v>1734</v>
      </c>
      <c r="C153" s="10" t="s">
        <v>2766</v>
      </c>
      <c r="D153" s="10" t="s">
        <v>2766</v>
      </c>
      <c r="E153" s="10" t="s">
        <v>2766</v>
      </c>
      <c r="F153" s="10" t="s">
        <v>2836</v>
      </c>
      <c r="G153" s="10" t="s">
        <v>1126</v>
      </c>
      <c r="H153" s="10" t="s">
        <v>2768</v>
      </c>
      <c r="I153" s="11" t="s">
        <v>621</v>
      </c>
    </row>
    <row r="154" spans="1:9" ht="34" customHeight="1">
      <c r="A154" s="8" t="s">
        <v>1736</v>
      </c>
      <c r="B154" s="8" t="s">
        <v>1737</v>
      </c>
      <c r="C154" s="8" t="s">
        <v>2770</v>
      </c>
      <c r="D154" s="8" t="s">
        <v>2770</v>
      </c>
      <c r="E154" s="8" t="s">
        <v>2770</v>
      </c>
      <c r="F154" s="8" t="s">
        <v>2771</v>
      </c>
      <c r="G154" s="12" t="s">
        <v>1136</v>
      </c>
      <c r="H154" s="12" t="s">
        <v>2772</v>
      </c>
      <c r="I154" s="9" t="s">
        <v>2827</v>
      </c>
    </row>
    <row r="155" spans="1:9" ht="34" customHeight="1">
      <c r="A155" s="10" t="s">
        <v>1741</v>
      </c>
      <c r="B155" s="10" t="s">
        <v>1742</v>
      </c>
      <c r="C155" s="10" t="s">
        <v>2770</v>
      </c>
      <c r="D155" s="10" t="s">
        <v>2770</v>
      </c>
      <c r="E155" s="10" t="s">
        <v>2770</v>
      </c>
      <c r="F155" s="10" t="s">
        <v>2771</v>
      </c>
      <c r="G155" s="12" t="s">
        <v>1136</v>
      </c>
      <c r="H155" s="12" t="s">
        <v>2772</v>
      </c>
      <c r="I155" s="11" t="s">
        <v>2827</v>
      </c>
    </row>
    <row r="156" spans="1:9" ht="45" customHeight="1">
      <c r="A156" s="8" t="s">
        <v>1746</v>
      </c>
      <c r="B156" s="8" t="s">
        <v>616</v>
      </c>
      <c r="C156" s="8" t="s">
        <v>618</v>
      </c>
      <c r="D156" s="8" t="s">
        <v>619</v>
      </c>
      <c r="E156" s="8" t="s">
        <v>618</v>
      </c>
      <c r="F156" s="8" t="s">
        <v>2837</v>
      </c>
      <c r="G156" s="8" t="s">
        <v>1126</v>
      </c>
      <c r="H156" s="8" t="s">
        <v>2775</v>
      </c>
      <c r="I156" s="9" t="s">
        <v>621</v>
      </c>
    </row>
    <row r="157" spans="1:9" ht="34" customHeight="1">
      <c r="A157" s="10" t="s">
        <v>1750</v>
      </c>
      <c r="B157" s="10" t="s">
        <v>1751</v>
      </c>
      <c r="C157" s="10" t="s">
        <v>2770</v>
      </c>
      <c r="D157" s="10" t="s">
        <v>2770</v>
      </c>
      <c r="E157" s="10" t="s">
        <v>2770</v>
      </c>
      <c r="F157" s="10" t="s">
        <v>2771</v>
      </c>
      <c r="G157" s="12" t="s">
        <v>1136</v>
      </c>
      <c r="H157" s="12" t="s">
        <v>2772</v>
      </c>
      <c r="I157" s="11" t="s">
        <v>2827</v>
      </c>
    </row>
    <row r="158" spans="1:9" ht="45" customHeight="1">
      <c r="A158" s="8" t="s">
        <v>1753</v>
      </c>
      <c r="B158" s="8" t="s">
        <v>1754</v>
      </c>
      <c r="C158" s="8" t="s">
        <v>2766</v>
      </c>
      <c r="D158" s="8" t="s">
        <v>2766</v>
      </c>
      <c r="E158" s="8" t="s">
        <v>2766</v>
      </c>
      <c r="F158" s="8" t="s">
        <v>2826</v>
      </c>
      <c r="G158" s="8" t="s">
        <v>1126</v>
      </c>
      <c r="H158" s="8" t="s">
        <v>2768</v>
      </c>
      <c r="I158" s="9" t="s">
        <v>2827</v>
      </c>
    </row>
    <row r="159" spans="1:9" ht="45" customHeight="1">
      <c r="A159" s="10" t="s">
        <v>1756</v>
      </c>
      <c r="B159" s="10" t="s">
        <v>1757</v>
      </c>
      <c r="C159" s="10" t="s">
        <v>2766</v>
      </c>
      <c r="D159" s="10" t="s">
        <v>2766</v>
      </c>
      <c r="E159" s="10" t="s">
        <v>2766</v>
      </c>
      <c r="F159" s="10" t="s">
        <v>2826</v>
      </c>
      <c r="G159" s="10" t="s">
        <v>1126</v>
      </c>
      <c r="H159" s="10" t="s">
        <v>2768</v>
      </c>
      <c r="I159" s="11" t="s">
        <v>2827</v>
      </c>
    </row>
    <row r="160" spans="1:9" ht="45" customHeight="1">
      <c r="A160" s="8" t="s">
        <v>1761</v>
      </c>
      <c r="B160" s="8" t="s">
        <v>1762</v>
      </c>
      <c r="C160" s="8" t="s">
        <v>2766</v>
      </c>
      <c r="D160" s="8" t="s">
        <v>2766</v>
      </c>
      <c r="E160" s="8" t="s">
        <v>2766</v>
      </c>
      <c r="F160" s="8" t="s">
        <v>2826</v>
      </c>
      <c r="G160" s="8" t="s">
        <v>1126</v>
      </c>
      <c r="H160" s="8" t="s">
        <v>2768</v>
      </c>
      <c r="I160" s="9" t="s">
        <v>2827</v>
      </c>
    </row>
    <row r="161" spans="1:9" ht="45" customHeight="1">
      <c r="A161" s="10" t="s">
        <v>1764</v>
      </c>
      <c r="B161" s="10" t="s">
        <v>1765</v>
      </c>
      <c r="C161" s="10" t="s">
        <v>2766</v>
      </c>
      <c r="D161" s="10" t="s">
        <v>2766</v>
      </c>
      <c r="E161" s="10" t="s">
        <v>2766</v>
      </c>
      <c r="F161" s="10" t="s">
        <v>2826</v>
      </c>
      <c r="G161" s="10" t="s">
        <v>1126</v>
      </c>
      <c r="H161" s="10" t="s">
        <v>2768</v>
      </c>
      <c r="I161" s="11" t="s">
        <v>2827</v>
      </c>
    </row>
    <row r="162" spans="1:9" ht="45" customHeight="1">
      <c r="A162" s="8" t="s">
        <v>1767</v>
      </c>
      <c r="B162" s="8" t="s">
        <v>1768</v>
      </c>
      <c r="C162" s="8" t="s">
        <v>2766</v>
      </c>
      <c r="D162" s="8" t="s">
        <v>2766</v>
      </c>
      <c r="E162" s="8" t="s">
        <v>2766</v>
      </c>
      <c r="F162" s="8" t="s">
        <v>2826</v>
      </c>
      <c r="G162" s="8" t="s">
        <v>1126</v>
      </c>
      <c r="H162" s="8" t="s">
        <v>2768</v>
      </c>
      <c r="I162" s="9" t="s">
        <v>2827</v>
      </c>
    </row>
    <row r="163" spans="1:9" ht="45" customHeight="1">
      <c r="A163" s="10" t="s">
        <v>1770</v>
      </c>
      <c r="B163" s="10" t="s">
        <v>1771</v>
      </c>
      <c r="C163" s="10" t="s">
        <v>2766</v>
      </c>
      <c r="D163" s="10" t="s">
        <v>2766</v>
      </c>
      <c r="E163" s="10" t="s">
        <v>2766</v>
      </c>
      <c r="F163" s="10" t="s">
        <v>2826</v>
      </c>
      <c r="G163" s="10" t="s">
        <v>1126</v>
      </c>
      <c r="H163" s="10" t="s">
        <v>2768</v>
      </c>
      <c r="I163" s="11" t="s">
        <v>2827</v>
      </c>
    </row>
    <row r="164" spans="1:9" ht="45" customHeight="1">
      <c r="A164" s="8" t="s">
        <v>1773</v>
      </c>
      <c r="B164" s="8" t="s">
        <v>1774</v>
      </c>
      <c r="C164" s="8" t="s">
        <v>2766</v>
      </c>
      <c r="D164" s="8" t="s">
        <v>2766</v>
      </c>
      <c r="E164" s="8" t="s">
        <v>2766</v>
      </c>
      <c r="F164" s="8" t="s">
        <v>2826</v>
      </c>
      <c r="G164" s="8" t="s">
        <v>1126</v>
      </c>
      <c r="H164" s="8" t="s">
        <v>2768</v>
      </c>
      <c r="I164" s="9" t="s">
        <v>2827</v>
      </c>
    </row>
    <row r="165" spans="1:9" ht="45" customHeight="1">
      <c r="A165" s="10" t="s">
        <v>1776</v>
      </c>
      <c r="B165" s="10" t="s">
        <v>1777</v>
      </c>
      <c r="C165" s="10" t="s">
        <v>2766</v>
      </c>
      <c r="D165" s="10" t="s">
        <v>2766</v>
      </c>
      <c r="E165" s="10" t="s">
        <v>2766</v>
      </c>
      <c r="F165" s="10" t="s">
        <v>2826</v>
      </c>
      <c r="G165" s="10" t="s">
        <v>1126</v>
      </c>
      <c r="H165" s="10" t="s">
        <v>2768</v>
      </c>
      <c r="I165" s="11" t="s">
        <v>2827</v>
      </c>
    </row>
    <row r="166" spans="1:9" ht="45" customHeight="1">
      <c r="A166" s="8" t="s">
        <v>1779</v>
      </c>
      <c r="B166" s="8" t="s">
        <v>1780</v>
      </c>
      <c r="C166" s="8" t="s">
        <v>2766</v>
      </c>
      <c r="D166" s="8" t="s">
        <v>2766</v>
      </c>
      <c r="E166" s="8" t="s">
        <v>2766</v>
      </c>
      <c r="F166" s="8" t="s">
        <v>2826</v>
      </c>
      <c r="G166" s="8" t="s">
        <v>1126</v>
      </c>
      <c r="H166" s="8" t="s">
        <v>2768</v>
      </c>
      <c r="I166" s="9" t="s">
        <v>2827</v>
      </c>
    </row>
    <row r="167" spans="1:9" ht="45" customHeight="1">
      <c r="A167" s="10" t="s">
        <v>1784</v>
      </c>
      <c r="B167" s="10" t="s">
        <v>1785</v>
      </c>
      <c r="C167" s="10" t="s">
        <v>2766</v>
      </c>
      <c r="D167" s="10" t="s">
        <v>2766</v>
      </c>
      <c r="E167" s="10" t="s">
        <v>2766</v>
      </c>
      <c r="F167" s="10" t="s">
        <v>2826</v>
      </c>
      <c r="G167" s="10" t="s">
        <v>1126</v>
      </c>
      <c r="H167" s="10" t="s">
        <v>2768</v>
      </c>
      <c r="I167" s="11" t="s">
        <v>2827</v>
      </c>
    </row>
    <row r="168" spans="1:9" ht="45" customHeight="1">
      <c r="A168" s="8" t="s">
        <v>1787</v>
      </c>
      <c r="B168" s="8" t="s">
        <v>1788</v>
      </c>
      <c r="C168" s="8" t="s">
        <v>2766</v>
      </c>
      <c r="D168" s="8" t="s">
        <v>2766</v>
      </c>
      <c r="E168" s="8" t="s">
        <v>2766</v>
      </c>
      <c r="F168" s="8" t="s">
        <v>2826</v>
      </c>
      <c r="G168" s="8" t="s">
        <v>1126</v>
      </c>
      <c r="H168" s="8" t="s">
        <v>2768</v>
      </c>
      <c r="I168" s="9" t="s">
        <v>2827</v>
      </c>
    </row>
    <row r="169" spans="1:9" ht="45" customHeight="1">
      <c r="A169" s="10" t="s">
        <v>1791</v>
      </c>
      <c r="B169" s="10" t="s">
        <v>1792</v>
      </c>
      <c r="C169" s="10" t="s">
        <v>2766</v>
      </c>
      <c r="D169" s="10" t="s">
        <v>2766</v>
      </c>
      <c r="E169" s="10" t="s">
        <v>2766</v>
      </c>
      <c r="F169" s="10" t="s">
        <v>2826</v>
      </c>
      <c r="G169" s="10" t="s">
        <v>1161</v>
      </c>
      <c r="H169" s="10" t="s">
        <v>2768</v>
      </c>
      <c r="I169" s="11" t="s">
        <v>2827</v>
      </c>
    </row>
    <row r="170" spans="1:9" ht="45" customHeight="1">
      <c r="A170" s="8" t="s">
        <v>1795</v>
      </c>
      <c r="B170" s="8" t="s">
        <v>1796</v>
      </c>
      <c r="C170" s="8" t="s">
        <v>2766</v>
      </c>
      <c r="D170" s="8" t="s">
        <v>2766</v>
      </c>
      <c r="E170" s="8" t="s">
        <v>2766</v>
      </c>
      <c r="F170" s="8" t="s">
        <v>2826</v>
      </c>
      <c r="G170" s="8" t="s">
        <v>1126</v>
      </c>
      <c r="H170" s="8" t="s">
        <v>2768</v>
      </c>
      <c r="I170" s="9" t="s">
        <v>2827</v>
      </c>
    </row>
    <row r="171" spans="1:9" ht="45" customHeight="1">
      <c r="A171" s="10" t="s">
        <v>1798</v>
      </c>
      <c r="B171" s="10" t="s">
        <v>1799</v>
      </c>
      <c r="C171" s="10" t="s">
        <v>2766</v>
      </c>
      <c r="D171" s="10" t="s">
        <v>2766</v>
      </c>
      <c r="E171" s="10" t="s">
        <v>2766</v>
      </c>
      <c r="F171" s="10" t="s">
        <v>2826</v>
      </c>
      <c r="G171" s="10" t="s">
        <v>1161</v>
      </c>
      <c r="H171" s="10" t="s">
        <v>2768</v>
      </c>
      <c r="I171" s="11" t="s">
        <v>2827</v>
      </c>
    </row>
    <row r="172" spans="1:9" ht="34" customHeight="1">
      <c r="A172" s="8" t="s">
        <v>1803</v>
      </c>
      <c r="B172" s="8" t="s">
        <v>1804</v>
      </c>
      <c r="C172" s="8" t="s">
        <v>2770</v>
      </c>
      <c r="D172" s="8" t="s">
        <v>2770</v>
      </c>
      <c r="E172" s="8" t="s">
        <v>2770</v>
      </c>
      <c r="F172" s="8" t="s">
        <v>2771</v>
      </c>
      <c r="G172" s="12" t="s">
        <v>1136</v>
      </c>
      <c r="H172" s="12" t="s">
        <v>2772</v>
      </c>
      <c r="I172" s="9" t="s">
        <v>2827</v>
      </c>
    </row>
    <row r="173" spans="1:9" ht="45" customHeight="1">
      <c r="A173" s="10" t="s">
        <v>1807</v>
      </c>
      <c r="B173" s="10" t="s">
        <v>1808</v>
      </c>
      <c r="C173" s="10" t="s">
        <v>2766</v>
      </c>
      <c r="D173" s="10" t="s">
        <v>2766</v>
      </c>
      <c r="E173" s="10" t="s">
        <v>2766</v>
      </c>
      <c r="F173" s="10" t="s">
        <v>2826</v>
      </c>
      <c r="G173" s="10" t="s">
        <v>1126</v>
      </c>
      <c r="H173" s="10" t="s">
        <v>2768</v>
      </c>
      <c r="I173" s="11" t="s">
        <v>2827</v>
      </c>
    </row>
    <row r="174" spans="1:9" ht="45" customHeight="1">
      <c r="A174" s="8" t="s">
        <v>1813</v>
      </c>
      <c r="B174" s="8" t="s">
        <v>1814</v>
      </c>
      <c r="C174" s="8" t="s">
        <v>1285</v>
      </c>
      <c r="D174" s="8" t="s">
        <v>1285</v>
      </c>
      <c r="E174" s="8" t="s">
        <v>1285</v>
      </c>
      <c r="F174" s="8" t="s">
        <v>2838</v>
      </c>
      <c r="G174" s="8" t="s">
        <v>1126</v>
      </c>
      <c r="H174" s="8" t="s">
        <v>2775</v>
      </c>
      <c r="I174" s="9" t="s">
        <v>1087</v>
      </c>
    </row>
    <row r="175" spans="1:9" ht="45" customHeight="1">
      <c r="A175" s="10" t="s">
        <v>1816</v>
      </c>
      <c r="B175" s="10" t="s">
        <v>1817</v>
      </c>
      <c r="C175" s="10" t="s">
        <v>2766</v>
      </c>
      <c r="D175" s="10" t="s">
        <v>2766</v>
      </c>
      <c r="E175" s="10" t="s">
        <v>2766</v>
      </c>
      <c r="F175" s="10" t="s">
        <v>2826</v>
      </c>
      <c r="G175" s="10" t="s">
        <v>1126</v>
      </c>
      <c r="H175" s="10" t="s">
        <v>2768</v>
      </c>
      <c r="I175" s="11" t="s">
        <v>2827</v>
      </c>
    </row>
    <row r="176" spans="1:9" ht="34" customHeight="1">
      <c r="A176" s="8" t="s">
        <v>1820</v>
      </c>
      <c r="B176" s="8" t="s">
        <v>1821</v>
      </c>
      <c r="C176" s="8" t="s">
        <v>2828</v>
      </c>
      <c r="D176" s="8" t="s">
        <v>2828</v>
      </c>
      <c r="E176" s="8" t="s">
        <v>2828</v>
      </c>
      <c r="F176" s="8" t="s">
        <v>2829</v>
      </c>
      <c r="G176" s="8" t="s">
        <v>1635</v>
      </c>
      <c r="H176" s="8" t="s">
        <v>2830</v>
      </c>
      <c r="I176" s="9" t="s">
        <v>556</v>
      </c>
    </row>
    <row r="177" spans="1:9" ht="34" customHeight="1">
      <c r="A177" s="10" t="s">
        <v>1824</v>
      </c>
      <c r="B177" s="10" t="s">
        <v>1825</v>
      </c>
      <c r="C177" s="10" t="s">
        <v>2770</v>
      </c>
      <c r="D177" s="10" t="s">
        <v>2770</v>
      </c>
      <c r="E177" s="10" t="s">
        <v>2770</v>
      </c>
      <c r="F177" s="10" t="s">
        <v>2771</v>
      </c>
      <c r="G177" s="12" t="s">
        <v>1136</v>
      </c>
      <c r="H177" s="12" t="s">
        <v>2772</v>
      </c>
      <c r="I177" s="11" t="s">
        <v>2827</v>
      </c>
    </row>
    <row r="178" spans="1:9" ht="34" customHeight="1">
      <c r="A178" s="8" t="s">
        <v>1828</v>
      </c>
      <c r="B178" s="8" t="s">
        <v>1829</v>
      </c>
      <c r="C178" s="8" t="s">
        <v>2770</v>
      </c>
      <c r="D178" s="8" t="s">
        <v>2770</v>
      </c>
      <c r="E178" s="8" t="s">
        <v>2770</v>
      </c>
      <c r="F178" s="8" t="s">
        <v>2771</v>
      </c>
      <c r="G178" s="12" t="s">
        <v>1136</v>
      </c>
      <c r="H178" s="12" t="s">
        <v>2772</v>
      </c>
      <c r="I178" s="9" t="s">
        <v>2827</v>
      </c>
    </row>
    <row r="179" spans="1:9" ht="45" customHeight="1">
      <c r="A179" s="10" t="s">
        <v>1831</v>
      </c>
      <c r="B179" s="10" t="s">
        <v>1832</v>
      </c>
      <c r="C179" s="10" t="s">
        <v>2766</v>
      </c>
      <c r="D179" s="10" t="s">
        <v>2766</v>
      </c>
      <c r="E179" s="10" t="s">
        <v>2766</v>
      </c>
      <c r="F179" s="10" t="s">
        <v>2826</v>
      </c>
      <c r="G179" s="10" t="s">
        <v>1126</v>
      </c>
      <c r="H179" s="10" t="s">
        <v>2768</v>
      </c>
      <c r="I179" s="11" t="s">
        <v>2827</v>
      </c>
    </row>
    <row r="180" spans="1:9" ht="45" customHeight="1">
      <c r="A180" s="8" t="s">
        <v>1834</v>
      </c>
      <c r="B180" s="8" t="s">
        <v>631</v>
      </c>
      <c r="C180" s="8" t="s">
        <v>633</v>
      </c>
      <c r="D180" s="8" t="s">
        <v>633</v>
      </c>
      <c r="E180" s="8" t="s">
        <v>633</v>
      </c>
      <c r="F180" s="8" t="s">
        <v>2839</v>
      </c>
      <c r="G180" s="8" t="s">
        <v>1161</v>
      </c>
      <c r="H180" s="8" t="s">
        <v>2775</v>
      </c>
      <c r="I180" s="9" t="s">
        <v>621</v>
      </c>
    </row>
    <row r="181" spans="1:9" ht="45" customHeight="1">
      <c r="A181" s="10" t="s">
        <v>1836</v>
      </c>
      <c r="B181" s="10" t="s">
        <v>1837</v>
      </c>
      <c r="C181" s="10" t="s">
        <v>2766</v>
      </c>
      <c r="D181" s="10" t="s">
        <v>2766</v>
      </c>
      <c r="E181" s="10" t="s">
        <v>2766</v>
      </c>
      <c r="F181" s="10" t="s">
        <v>2826</v>
      </c>
      <c r="G181" s="10" t="s">
        <v>1126</v>
      </c>
      <c r="H181" s="10" t="s">
        <v>2768</v>
      </c>
      <c r="I181" s="11" t="s">
        <v>2827</v>
      </c>
    </row>
    <row r="182" spans="1:9" ht="45" customHeight="1">
      <c r="A182" s="8" t="s">
        <v>1841</v>
      </c>
      <c r="B182" s="8" t="s">
        <v>1842</v>
      </c>
      <c r="C182" s="8" t="s">
        <v>2766</v>
      </c>
      <c r="D182" s="8" t="s">
        <v>2766</v>
      </c>
      <c r="E182" s="8" t="s">
        <v>2766</v>
      </c>
      <c r="F182" s="8" t="s">
        <v>2780</v>
      </c>
      <c r="G182" s="8" t="s">
        <v>1161</v>
      </c>
      <c r="H182" s="8" t="s">
        <v>2768</v>
      </c>
      <c r="I182" s="9" t="s">
        <v>2781</v>
      </c>
    </row>
    <row r="183" spans="1:9" ht="45" customHeight="1">
      <c r="A183" s="10" t="s">
        <v>1846</v>
      </c>
      <c r="B183" s="10" t="s">
        <v>1847</v>
      </c>
      <c r="C183" s="10" t="s">
        <v>2766</v>
      </c>
      <c r="D183" s="10" t="s">
        <v>2766</v>
      </c>
      <c r="E183" s="10" t="s">
        <v>2766</v>
      </c>
      <c r="F183" s="10" t="s">
        <v>2826</v>
      </c>
      <c r="G183" s="10" t="s">
        <v>1126</v>
      </c>
      <c r="H183" s="10" t="s">
        <v>2768</v>
      </c>
      <c r="I183" s="11" t="s">
        <v>2827</v>
      </c>
    </row>
    <row r="184" spans="1:9" ht="45" customHeight="1">
      <c r="A184" s="8" t="s">
        <v>1850</v>
      </c>
      <c r="B184" s="8" t="s">
        <v>1851</v>
      </c>
      <c r="C184" s="8" t="s">
        <v>2766</v>
      </c>
      <c r="D184" s="8" t="s">
        <v>2766</v>
      </c>
      <c r="E184" s="8" t="s">
        <v>2766</v>
      </c>
      <c r="F184" s="8" t="s">
        <v>2826</v>
      </c>
      <c r="G184" s="8" t="s">
        <v>1126</v>
      </c>
      <c r="H184" s="8" t="s">
        <v>2768</v>
      </c>
      <c r="I184" s="9" t="s">
        <v>2827</v>
      </c>
    </row>
    <row r="185" spans="1:9" ht="45" customHeight="1">
      <c r="A185" s="10" t="s">
        <v>1854</v>
      </c>
      <c r="B185" s="10" t="s">
        <v>1855</v>
      </c>
      <c r="C185" s="10" t="s">
        <v>1662</v>
      </c>
      <c r="D185" s="10" t="s">
        <v>1662</v>
      </c>
      <c r="E185" s="10" t="s">
        <v>1662</v>
      </c>
      <c r="F185" s="10" t="s">
        <v>2840</v>
      </c>
      <c r="G185" s="10" t="s">
        <v>1126</v>
      </c>
      <c r="H185" s="10" t="s">
        <v>2775</v>
      </c>
      <c r="I185" s="11" t="s">
        <v>2841</v>
      </c>
    </row>
    <row r="186" spans="1:9" ht="45" customHeight="1">
      <c r="A186" s="8" t="s">
        <v>1858</v>
      </c>
      <c r="B186" s="8" t="s">
        <v>1859</v>
      </c>
      <c r="C186" s="8" t="s">
        <v>2766</v>
      </c>
      <c r="D186" s="8" t="s">
        <v>2766</v>
      </c>
      <c r="E186" s="8" t="s">
        <v>2766</v>
      </c>
      <c r="F186" s="8" t="s">
        <v>2826</v>
      </c>
      <c r="G186" s="8" t="s">
        <v>1126</v>
      </c>
      <c r="H186" s="8" t="s">
        <v>2768</v>
      </c>
      <c r="I186" s="9" t="s">
        <v>2827</v>
      </c>
    </row>
    <row r="187" spans="1:9" ht="45" customHeight="1">
      <c r="A187" s="10" t="s">
        <v>1861</v>
      </c>
      <c r="B187" s="10" t="s">
        <v>1862</v>
      </c>
      <c r="C187" s="10" t="s">
        <v>2766</v>
      </c>
      <c r="D187" s="10" t="s">
        <v>2766</v>
      </c>
      <c r="E187" s="10" t="s">
        <v>2766</v>
      </c>
      <c r="F187" s="10" t="s">
        <v>2826</v>
      </c>
      <c r="G187" s="10" t="s">
        <v>1126</v>
      </c>
      <c r="H187" s="10" t="s">
        <v>2768</v>
      </c>
      <c r="I187" s="11" t="s">
        <v>2827</v>
      </c>
    </row>
    <row r="188" spans="1:9" ht="45" customHeight="1">
      <c r="A188" s="8" t="s">
        <v>1866</v>
      </c>
      <c r="B188" s="8" t="s">
        <v>1867</v>
      </c>
      <c r="C188" s="8" t="s">
        <v>1179</v>
      </c>
      <c r="D188" s="8" t="s">
        <v>1179</v>
      </c>
      <c r="E188" s="8" t="s">
        <v>1179</v>
      </c>
      <c r="F188" s="8" t="s">
        <v>2842</v>
      </c>
      <c r="G188" s="8" t="s">
        <v>1126</v>
      </c>
      <c r="H188" s="8" t="s">
        <v>2775</v>
      </c>
      <c r="I188" s="9" t="s">
        <v>621</v>
      </c>
    </row>
    <row r="189" spans="1:9" ht="45" customHeight="1">
      <c r="A189" s="10" t="s">
        <v>1869</v>
      </c>
      <c r="B189" s="10" t="s">
        <v>1870</v>
      </c>
      <c r="C189" s="10" t="s">
        <v>1662</v>
      </c>
      <c r="D189" s="10" t="s">
        <v>1662</v>
      </c>
      <c r="E189" s="10" t="s">
        <v>1662</v>
      </c>
      <c r="F189" s="10" t="s">
        <v>2843</v>
      </c>
      <c r="G189" s="10" t="s">
        <v>1126</v>
      </c>
      <c r="H189" s="10" t="s">
        <v>2775</v>
      </c>
      <c r="I189" s="11" t="s">
        <v>621</v>
      </c>
    </row>
    <row r="190" spans="1:9" ht="45" customHeight="1">
      <c r="A190" s="8" t="s">
        <v>1873</v>
      </c>
      <c r="B190" s="8" t="s">
        <v>1874</v>
      </c>
      <c r="C190" s="8" t="s">
        <v>2766</v>
      </c>
      <c r="D190" s="8" t="s">
        <v>2766</v>
      </c>
      <c r="E190" s="8" t="s">
        <v>2766</v>
      </c>
      <c r="F190" s="8" t="s">
        <v>2826</v>
      </c>
      <c r="G190" s="8" t="s">
        <v>1126</v>
      </c>
      <c r="H190" s="8" t="s">
        <v>2768</v>
      </c>
      <c r="I190" s="9" t="s">
        <v>2827</v>
      </c>
    </row>
    <row r="191" spans="1:9" ht="45" customHeight="1">
      <c r="A191" s="10" t="s">
        <v>1876</v>
      </c>
      <c r="B191" s="10" t="s">
        <v>1877</v>
      </c>
      <c r="C191" s="10" t="s">
        <v>2766</v>
      </c>
      <c r="D191" s="10" t="s">
        <v>2766</v>
      </c>
      <c r="E191" s="10" t="s">
        <v>2766</v>
      </c>
      <c r="F191" s="10" t="s">
        <v>2826</v>
      </c>
      <c r="G191" s="10" t="s">
        <v>1126</v>
      </c>
      <c r="H191" s="10" t="s">
        <v>2768</v>
      </c>
      <c r="I191" s="11" t="s">
        <v>2827</v>
      </c>
    </row>
    <row r="192" spans="1:9" ht="45" customHeight="1">
      <c r="A192" s="8" t="s">
        <v>1879</v>
      </c>
      <c r="B192" s="8" t="s">
        <v>1880</v>
      </c>
      <c r="C192" s="8" t="s">
        <v>2766</v>
      </c>
      <c r="D192" s="8" t="s">
        <v>2766</v>
      </c>
      <c r="E192" s="8" t="s">
        <v>2766</v>
      </c>
      <c r="F192" s="8" t="s">
        <v>2826</v>
      </c>
      <c r="G192" s="8" t="s">
        <v>1126</v>
      </c>
      <c r="H192" s="8" t="s">
        <v>2768</v>
      </c>
      <c r="I192" s="9" t="s">
        <v>2827</v>
      </c>
    </row>
    <row r="193" spans="1:9" ht="45" customHeight="1">
      <c r="A193" s="10" t="s">
        <v>1882</v>
      </c>
      <c r="B193" s="10" t="s">
        <v>1883</v>
      </c>
      <c r="C193" s="10" t="s">
        <v>2766</v>
      </c>
      <c r="D193" s="10" t="s">
        <v>2766</v>
      </c>
      <c r="E193" s="10" t="s">
        <v>2766</v>
      </c>
      <c r="F193" s="10" t="s">
        <v>2826</v>
      </c>
      <c r="G193" s="10" t="s">
        <v>1126</v>
      </c>
      <c r="H193" s="10" t="s">
        <v>2768</v>
      </c>
      <c r="I193" s="11" t="s">
        <v>2827</v>
      </c>
    </row>
    <row r="194" spans="1:9" ht="45" customHeight="1">
      <c r="A194" s="8" t="s">
        <v>1885</v>
      </c>
      <c r="B194" s="8" t="s">
        <v>1886</v>
      </c>
      <c r="C194" s="8" t="s">
        <v>1662</v>
      </c>
      <c r="D194" s="8" t="s">
        <v>1662</v>
      </c>
      <c r="E194" s="8" t="s">
        <v>1662</v>
      </c>
      <c r="F194" s="8" t="s">
        <v>2844</v>
      </c>
      <c r="G194" s="8" t="s">
        <v>1126</v>
      </c>
      <c r="H194" s="8" t="s">
        <v>2775</v>
      </c>
      <c r="I194" s="9" t="s">
        <v>621</v>
      </c>
    </row>
    <row r="195" spans="1:9" ht="45" customHeight="1">
      <c r="A195" s="10" t="s">
        <v>1888</v>
      </c>
      <c r="B195" s="10" t="s">
        <v>1889</v>
      </c>
      <c r="C195" s="10" t="s">
        <v>2766</v>
      </c>
      <c r="D195" s="10" t="s">
        <v>2766</v>
      </c>
      <c r="E195" s="10" t="s">
        <v>2766</v>
      </c>
      <c r="F195" s="10" t="s">
        <v>2826</v>
      </c>
      <c r="G195" s="10" t="s">
        <v>1161</v>
      </c>
      <c r="H195" s="10" t="s">
        <v>2768</v>
      </c>
      <c r="I195" s="11" t="s">
        <v>2827</v>
      </c>
    </row>
    <row r="196" spans="1:9" ht="45" customHeight="1">
      <c r="A196" s="8" t="s">
        <v>1892</v>
      </c>
      <c r="B196" s="8" t="s">
        <v>1893</v>
      </c>
      <c r="C196" s="8" t="s">
        <v>2766</v>
      </c>
      <c r="D196" s="8" t="s">
        <v>2766</v>
      </c>
      <c r="E196" s="8" t="s">
        <v>2766</v>
      </c>
      <c r="F196" s="8" t="s">
        <v>2826</v>
      </c>
      <c r="G196" s="8" t="s">
        <v>1126</v>
      </c>
      <c r="H196" s="8" t="s">
        <v>2768</v>
      </c>
      <c r="I196" s="9" t="s">
        <v>2827</v>
      </c>
    </row>
    <row r="197" spans="1:9" ht="45" customHeight="1">
      <c r="A197" s="10" t="s">
        <v>1897</v>
      </c>
      <c r="B197" s="10" t="s">
        <v>1898</v>
      </c>
      <c r="C197" s="10" t="s">
        <v>2766</v>
      </c>
      <c r="D197" s="10" t="s">
        <v>2766</v>
      </c>
      <c r="E197" s="10" t="s">
        <v>2766</v>
      </c>
      <c r="F197" s="10" t="s">
        <v>2826</v>
      </c>
      <c r="G197" s="10" t="s">
        <v>1126</v>
      </c>
      <c r="H197" s="10" t="s">
        <v>2768</v>
      </c>
      <c r="I197" s="11" t="s">
        <v>2827</v>
      </c>
    </row>
    <row r="198" spans="1:9" ht="34" customHeight="1">
      <c r="A198" s="8" t="s">
        <v>1900</v>
      </c>
      <c r="B198" s="8" t="s">
        <v>1901</v>
      </c>
      <c r="C198" s="8" t="s">
        <v>2770</v>
      </c>
      <c r="D198" s="8" t="s">
        <v>2770</v>
      </c>
      <c r="E198" s="8" t="s">
        <v>2770</v>
      </c>
      <c r="F198" s="8" t="s">
        <v>2771</v>
      </c>
      <c r="G198" s="12" t="s">
        <v>1136</v>
      </c>
      <c r="H198" s="12" t="s">
        <v>2772</v>
      </c>
      <c r="I198" s="9" t="s">
        <v>2827</v>
      </c>
    </row>
    <row r="199" spans="1:9" ht="45" customHeight="1">
      <c r="A199" s="10" t="s">
        <v>1903</v>
      </c>
      <c r="B199" s="10" t="s">
        <v>1904</v>
      </c>
      <c r="C199" s="10" t="s">
        <v>2766</v>
      </c>
      <c r="D199" s="10" t="s">
        <v>2766</v>
      </c>
      <c r="E199" s="10" t="s">
        <v>2766</v>
      </c>
      <c r="F199" s="10" t="s">
        <v>2826</v>
      </c>
      <c r="G199" s="10" t="s">
        <v>1126</v>
      </c>
      <c r="H199" s="10" t="s">
        <v>2768</v>
      </c>
      <c r="I199" s="11" t="s">
        <v>2827</v>
      </c>
    </row>
    <row r="200" spans="1:9" ht="45" customHeight="1">
      <c r="A200" s="8" t="s">
        <v>1906</v>
      </c>
      <c r="B200" s="8" t="s">
        <v>1907</v>
      </c>
      <c r="C200" s="8" t="s">
        <v>1118</v>
      </c>
      <c r="D200" s="8" t="s">
        <v>1118</v>
      </c>
      <c r="E200" s="8" t="s">
        <v>1118</v>
      </c>
      <c r="F200" s="8" t="s">
        <v>2845</v>
      </c>
      <c r="G200" s="8" t="s">
        <v>1126</v>
      </c>
      <c r="H200" s="8" t="s">
        <v>2775</v>
      </c>
      <c r="I200" s="9" t="s">
        <v>1087</v>
      </c>
    </row>
    <row r="201" spans="1:9" ht="34" customHeight="1">
      <c r="A201" s="10" t="s">
        <v>1909</v>
      </c>
      <c r="B201" s="10" t="s">
        <v>1910</v>
      </c>
      <c r="C201" s="10" t="s">
        <v>2770</v>
      </c>
      <c r="D201" s="10" t="s">
        <v>2770</v>
      </c>
      <c r="E201" s="10" t="s">
        <v>2770</v>
      </c>
      <c r="F201" s="10" t="s">
        <v>2771</v>
      </c>
      <c r="G201" s="12" t="s">
        <v>1136</v>
      </c>
      <c r="H201" s="12" t="s">
        <v>2772</v>
      </c>
      <c r="I201" s="11" t="s">
        <v>2827</v>
      </c>
    </row>
    <row r="202" spans="1:9" ht="34" customHeight="1">
      <c r="A202" s="8" t="s">
        <v>1912</v>
      </c>
      <c r="B202" s="8" t="s">
        <v>1913</v>
      </c>
      <c r="C202" s="8" t="s">
        <v>2770</v>
      </c>
      <c r="D202" s="8" t="s">
        <v>2770</v>
      </c>
      <c r="E202" s="8" t="s">
        <v>2770</v>
      </c>
      <c r="F202" s="8" t="s">
        <v>2771</v>
      </c>
      <c r="G202" s="12" t="s">
        <v>1136</v>
      </c>
      <c r="H202" s="12" t="s">
        <v>2772</v>
      </c>
      <c r="I202" s="9" t="s">
        <v>2827</v>
      </c>
    </row>
    <row r="203" spans="1:9" ht="34" customHeight="1">
      <c r="A203" s="10" t="s">
        <v>1915</v>
      </c>
      <c r="B203" s="10" t="s">
        <v>1916</v>
      </c>
      <c r="C203" s="10" t="s">
        <v>2770</v>
      </c>
      <c r="D203" s="10" t="s">
        <v>2770</v>
      </c>
      <c r="E203" s="10" t="s">
        <v>2770</v>
      </c>
      <c r="F203" s="10" t="s">
        <v>2771</v>
      </c>
      <c r="G203" s="12" t="s">
        <v>1136</v>
      </c>
      <c r="H203" s="12" t="s">
        <v>2772</v>
      </c>
      <c r="I203" s="11" t="s">
        <v>2827</v>
      </c>
    </row>
    <row r="204" spans="1:9" ht="45" customHeight="1">
      <c r="A204" s="8" t="s">
        <v>1918</v>
      </c>
      <c r="B204" s="8" t="s">
        <v>613</v>
      </c>
      <c r="C204" s="8" t="s">
        <v>608</v>
      </c>
      <c r="D204" s="8" t="s">
        <v>609</v>
      </c>
      <c r="E204" s="8" t="s">
        <v>2846</v>
      </c>
      <c r="F204" s="8" t="s">
        <v>2847</v>
      </c>
      <c r="G204" s="8" t="s">
        <v>1126</v>
      </c>
      <c r="H204" s="8" t="s">
        <v>2775</v>
      </c>
      <c r="I204" s="9" t="s">
        <v>615</v>
      </c>
    </row>
    <row r="205" spans="1:9" ht="45" customHeight="1">
      <c r="A205" s="10" t="s">
        <v>1921</v>
      </c>
      <c r="B205" s="10" t="s">
        <v>1922</v>
      </c>
      <c r="C205" s="10" t="s">
        <v>2766</v>
      </c>
      <c r="D205" s="10" t="s">
        <v>2766</v>
      </c>
      <c r="E205" s="10" t="s">
        <v>2766</v>
      </c>
      <c r="F205" s="10" t="s">
        <v>2767</v>
      </c>
      <c r="G205" s="10" t="s">
        <v>1126</v>
      </c>
      <c r="H205" s="10" t="s">
        <v>2768</v>
      </c>
      <c r="I205" s="11" t="s">
        <v>2769</v>
      </c>
    </row>
    <row r="206" spans="1:9" ht="45" customHeight="1">
      <c r="A206" s="8" t="s">
        <v>1927</v>
      </c>
      <c r="B206" s="8" t="s">
        <v>1928</v>
      </c>
      <c r="C206" s="8" t="s">
        <v>2766</v>
      </c>
      <c r="D206" s="8" t="s">
        <v>2766</v>
      </c>
      <c r="E206" s="8" t="s">
        <v>2766</v>
      </c>
      <c r="F206" s="8" t="s">
        <v>2780</v>
      </c>
      <c r="G206" s="8" t="s">
        <v>1126</v>
      </c>
      <c r="H206" s="8" t="s">
        <v>2768</v>
      </c>
      <c r="I206" s="9" t="s">
        <v>2781</v>
      </c>
    </row>
    <row r="207" spans="1:9" ht="45" customHeight="1">
      <c r="A207" s="10" t="s">
        <v>1932</v>
      </c>
      <c r="B207" s="10" t="s">
        <v>1933</v>
      </c>
      <c r="C207" s="10" t="s">
        <v>2766</v>
      </c>
      <c r="D207" s="10" t="s">
        <v>2766</v>
      </c>
      <c r="E207" s="10" t="s">
        <v>2766</v>
      </c>
      <c r="F207" s="10" t="s">
        <v>2767</v>
      </c>
      <c r="G207" s="10" t="s">
        <v>1126</v>
      </c>
      <c r="H207" s="10" t="s">
        <v>2768</v>
      </c>
      <c r="I207" s="11" t="s">
        <v>2769</v>
      </c>
    </row>
    <row r="208" spans="1:9" ht="45" customHeight="1">
      <c r="A208" s="8" t="s">
        <v>1935</v>
      </c>
      <c r="B208" s="8" t="s">
        <v>1936</v>
      </c>
      <c r="C208" s="8" t="s">
        <v>2766</v>
      </c>
      <c r="D208" s="8" t="s">
        <v>2766</v>
      </c>
      <c r="E208" s="8" t="s">
        <v>2766</v>
      </c>
      <c r="F208" s="8" t="s">
        <v>2780</v>
      </c>
      <c r="G208" s="8" t="s">
        <v>1126</v>
      </c>
      <c r="H208" s="8" t="s">
        <v>2768</v>
      </c>
      <c r="I208" s="9" t="s">
        <v>2781</v>
      </c>
    </row>
    <row r="209" spans="1:9" ht="45" customHeight="1">
      <c r="A209" s="10" t="s">
        <v>1940</v>
      </c>
      <c r="B209" s="10" t="s">
        <v>1941</v>
      </c>
      <c r="C209" s="10" t="s">
        <v>2766</v>
      </c>
      <c r="D209" s="10" t="s">
        <v>2766</v>
      </c>
      <c r="E209" s="10" t="s">
        <v>2766</v>
      </c>
      <c r="F209" s="10" t="s">
        <v>2802</v>
      </c>
      <c r="G209" s="10" t="s">
        <v>1126</v>
      </c>
      <c r="H209" s="10" t="s">
        <v>2768</v>
      </c>
      <c r="I209" s="11" t="s">
        <v>2769</v>
      </c>
    </row>
    <row r="210" spans="1:9" ht="45" customHeight="1">
      <c r="A210" s="8" t="s">
        <v>1944</v>
      </c>
      <c r="B210" s="8" t="s">
        <v>1945</v>
      </c>
      <c r="C210" s="8" t="s">
        <v>2766</v>
      </c>
      <c r="D210" s="8" t="s">
        <v>2766</v>
      </c>
      <c r="E210" s="8" t="s">
        <v>2766</v>
      </c>
      <c r="F210" s="8" t="s">
        <v>2802</v>
      </c>
      <c r="G210" s="8" t="s">
        <v>1126</v>
      </c>
      <c r="H210" s="8" t="s">
        <v>2768</v>
      </c>
      <c r="I210" s="9" t="s">
        <v>2769</v>
      </c>
    </row>
    <row r="211" spans="1:9" ht="45" customHeight="1">
      <c r="A211" s="10" t="s">
        <v>1948</v>
      </c>
      <c r="B211" s="10" t="s">
        <v>1949</v>
      </c>
      <c r="C211" s="10" t="s">
        <v>2766</v>
      </c>
      <c r="D211" s="10" t="s">
        <v>2766</v>
      </c>
      <c r="E211" s="10" t="s">
        <v>2766</v>
      </c>
      <c r="F211" s="10" t="s">
        <v>2802</v>
      </c>
      <c r="G211" s="10" t="s">
        <v>1126</v>
      </c>
      <c r="H211" s="10" t="s">
        <v>2768</v>
      </c>
      <c r="I211" s="11" t="s">
        <v>2769</v>
      </c>
    </row>
    <row r="212" spans="1:9" ht="45" customHeight="1">
      <c r="A212" s="8" t="s">
        <v>1951</v>
      </c>
      <c r="B212" s="8" t="s">
        <v>1952</v>
      </c>
      <c r="C212" s="8" t="s">
        <v>2766</v>
      </c>
      <c r="D212" s="8" t="s">
        <v>2766</v>
      </c>
      <c r="E212" s="8" t="s">
        <v>2766</v>
      </c>
      <c r="F212" s="8" t="s">
        <v>2767</v>
      </c>
      <c r="G212" s="8" t="s">
        <v>1126</v>
      </c>
      <c r="H212" s="8" t="s">
        <v>2768</v>
      </c>
      <c r="I212" s="9" t="s">
        <v>2769</v>
      </c>
    </row>
    <row r="213" spans="1:9" ht="45" customHeight="1">
      <c r="A213" s="10" t="s">
        <v>1955</v>
      </c>
      <c r="B213" s="10" t="s">
        <v>1956</v>
      </c>
      <c r="C213" s="10" t="s">
        <v>1118</v>
      </c>
      <c r="D213" s="10" t="s">
        <v>1118</v>
      </c>
      <c r="E213" s="10" t="s">
        <v>1118</v>
      </c>
      <c r="F213" s="10" t="s">
        <v>2848</v>
      </c>
      <c r="G213" s="10" t="s">
        <v>1126</v>
      </c>
      <c r="H213" s="10" t="s">
        <v>2775</v>
      </c>
      <c r="I213" s="11" t="s">
        <v>605</v>
      </c>
    </row>
    <row r="214" spans="1:9" ht="45" customHeight="1">
      <c r="A214" s="8" t="s">
        <v>1958</v>
      </c>
      <c r="B214" s="8" t="s">
        <v>622</v>
      </c>
      <c r="C214" s="8" t="s">
        <v>603</v>
      </c>
      <c r="D214" s="8" t="s">
        <v>619</v>
      </c>
      <c r="E214" s="8" t="s">
        <v>603</v>
      </c>
      <c r="F214" s="8" t="s">
        <v>2849</v>
      </c>
      <c r="G214" s="8" t="s">
        <v>1126</v>
      </c>
      <c r="H214" s="8" t="s">
        <v>2775</v>
      </c>
      <c r="I214" s="9" t="s">
        <v>605</v>
      </c>
    </row>
    <row r="215" spans="1:9" ht="34" customHeight="1">
      <c r="A215" s="10" t="s">
        <v>1961</v>
      </c>
      <c r="B215" s="10" t="s">
        <v>1962</v>
      </c>
      <c r="C215" s="10" t="s">
        <v>2770</v>
      </c>
      <c r="D215" s="10" t="s">
        <v>2770</v>
      </c>
      <c r="E215" s="10" t="s">
        <v>2770</v>
      </c>
      <c r="F215" s="10" t="s">
        <v>2771</v>
      </c>
      <c r="G215" s="12" t="s">
        <v>1136</v>
      </c>
      <c r="H215" s="12" t="s">
        <v>2772</v>
      </c>
      <c r="I215" s="11" t="s">
        <v>1087</v>
      </c>
    </row>
    <row r="216" spans="1:9" ht="45" customHeight="1">
      <c r="A216" s="8" t="s">
        <v>1965</v>
      </c>
      <c r="B216" s="8" t="s">
        <v>1966</v>
      </c>
      <c r="C216" s="8" t="s">
        <v>2766</v>
      </c>
      <c r="D216" s="8" t="s">
        <v>2766</v>
      </c>
      <c r="E216" s="8" t="s">
        <v>2766</v>
      </c>
      <c r="F216" s="8" t="s">
        <v>2850</v>
      </c>
      <c r="G216" s="8" t="s">
        <v>1126</v>
      </c>
      <c r="H216" s="8" t="s">
        <v>2768</v>
      </c>
      <c r="I216" s="9" t="s">
        <v>1087</v>
      </c>
    </row>
    <row r="217" spans="1:9" ht="34" customHeight="1">
      <c r="A217" s="10" t="s">
        <v>1968</v>
      </c>
      <c r="B217" s="10" t="s">
        <v>1969</v>
      </c>
      <c r="C217" s="10" t="s">
        <v>2770</v>
      </c>
      <c r="D217" s="10" t="s">
        <v>2770</v>
      </c>
      <c r="E217" s="10" t="s">
        <v>2770</v>
      </c>
      <c r="F217" s="10" t="s">
        <v>2771</v>
      </c>
      <c r="G217" s="12" t="s">
        <v>1136</v>
      </c>
      <c r="H217" s="12" t="s">
        <v>2772</v>
      </c>
      <c r="I217" s="11" t="s">
        <v>1087</v>
      </c>
    </row>
    <row r="218" spans="1:9" ht="45" customHeight="1">
      <c r="A218" s="8" t="s">
        <v>1972</v>
      </c>
      <c r="B218" s="8" t="s">
        <v>1973</v>
      </c>
      <c r="C218" s="8" t="s">
        <v>2766</v>
      </c>
      <c r="D218" s="8" t="s">
        <v>2766</v>
      </c>
      <c r="E218" s="8" t="s">
        <v>2766</v>
      </c>
      <c r="F218" s="8" t="s">
        <v>2850</v>
      </c>
      <c r="G218" s="8" t="s">
        <v>1126</v>
      </c>
      <c r="H218" s="8" t="s">
        <v>2768</v>
      </c>
      <c r="I218" s="9" t="s">
        <v>1087</v>
      </c>
    </row>
    <row r="219" spans="1:9" ht="45" customHeight="1">
      <c r="A219" s="10" t="s">
        <v>1977</v>
      </c>
      <c r="B219" s="10" t="s">
        <v>1978</v>
      </c>
      <c r="C219" s="10" t="s">
        <v>2766</v>
      </c>
      <c r="D219" s="10" t="s">
        <v>2766</v>
      </c>
      <c r="E219" s="10" t="s">
        <v>2766</v>
      </c>
      <c r="F219" s="10" t="s">
        <v>2850</v>
      </c>
      <c r="G219" s="10" t="s">
        <v>1126</v>
      </c>
      <c r="H219" s="10" t="s">
        <v>2768</v>
      </c>
      <c r="I219" s="11" t="s">
        <v>1087</v>
      </c>
    </row>
    <row r="220" spans="1:9" ht="45" customHeight="1">
      <c r="A220" s="8" t="s">
        <v>1981</v>
      </c>
      <c r="B220" s="8" t="s">
        <v>1982</v>
      </c>
      <c r="C220" s="8" t="s">
        <v>1984</v>
      </c>
      <c r="D220" s="8" t="s">
        <v>1984</v>
      </c>
      <c r="E220" s="8" t="s">
        <v>1984</v>
      </c>
      <c r="F220" s="8" t="s">
        <v>2851</v>
      </c>
      <c r="G220" s="8" t="s">
        <v>1126</v>
      </c>
      <c r="H220" s="8" t="s">
        <v>2775</v>
      </c>
      <c r="I220" s="9" t="s">
        <v>1087</v>
      </c>
    </row>
    <row r="221" spans="1:9" ht="45" customHeight="1">
      <c r="A221" s="10" t="s">
        <v>1987</v>
      </c>
      <c r="B221" s="10" t="s">
        <v>1988</v>
      </c>
      <c r="C221" s="10" t="s">
        <v>1118</v>
      </c>
      <c r="D221" s="10" t="s">
        <v>1118</v>
      </c>
      <c r="E221" s="10" t="s">
        <v>1118</v>
      </c>
      <c r="F221" s="10" t="s">
        <v>2852</v>
      </c>
      <c r="G221" s="10" t="s">
        <v>1126</v>
      </c>
      <c r="H221" s="10" t="s">
        <v>2775</v>
      </c>
      <c r="I221" s="11" t="s">
        <v>605</v>
      </c>
    </row>
    <row r="222" spans="1:9" ht="34" customHeight="1">
      <c r="A222" s="8" t="s">
        <v>1990</v>
      </c>
      <c r="B222" s="8" t="s">
        <v>1991</v>
      </c>
      <c r="C222" s="8" t="s">
        <v>2770</v>
      </c>
      <c r="D222" s="8" t="s">
        <v>2770</v>
      </c>
      <c r="E222" s="8" t="s">
        <v>2770</v>
      </c>
      <c r="F222" s="8" t="s">
        <v>2771</v>
      </c>
      <c r="G222" s="12" t="s">
        <v>1136</v>
      </c>
      <c r="H222" s="12" t="s">
        <v>2772</v>
      </c>
      <c r="I222" s="9" t="s">
        <v>1087</v>
      </c>
    </row>
    <row r="223" spans="1:9" ht="45" customHeight="1">
      <c r="A223" s="10" t="s">
        <v>1993</v>
      </c>
      <c r="B223" s="10" t="s">
        <v>1994</v>
      </c>
      <c r="C223" s="10" t="s">
        <v>1285</v>
      </c>
      <c r="D223" s="10" t="s">
        <v>1285</v>
      </c>
      <c r="E223" s="10" t="s">
        <v>1285</v>
      </c>
      <c r="F223" s="10" t="s">
        <v>2853</v>
      </c>
      <c r="G223" s="10" t="s">
        <v>1126</v>
      </c>
      <c r="H223" s="10" t="s">
        <v>2775</v>
      </c>
      <c r="I223" s="11" t="s">
        <v>605</v>
      </c>
    </row>
    <row r="224" spans="1:9" ht="45" customHeight="1">
      <c r="A224" s="8" t="s">
        <v>1996</v>
      </c>
      <c r="B224" s="8" t="s">
        <v>1997</v>
      </c>
      <c r="C224" s="8" t="s">
        <v>2766</v>
      </c>
      <c r="D224" s="8" t="s">
        <v>2766</v>
      </c>
      <c r="E224" s="8" t="s">
        <v>2766</v>
      </c>
      <c r="F224" s="8" t="s">
        <v>2850</v>
      </c>
      <c r="G224" s="8" t="s">
        <v>1126</v>
      </c>
      <c r="H224" s="8" t="s">
        <v>2768</v>
      </c>
      <c r="I224" s="9" t="s">
        <v>1087</v>
      </c>
    </row>
    <row r="225" spans="1:9" ht="45" customHeight="1">
      <c r="A225" s="10" t="s">
        <v>1999</v>
      </c>
      <c r="B225" s="10" t="s">
        <v>2000</v>
      </c>
      <c r="C225" s="10" t="s">
        <v>2766</v>
      </c>
      <c r="D225" s="10" t="s">
        <v>2766</v>
      </c>
      <c r="E225" s="10" t="s">
        <v>2766</v>
      </c>
      <c r="F225" s="10" t="s">
        <v>2850</v>
      </c>
      <c r="G225" s="10" t="s">
        <v>1126</v>
      </c>
      <c r="H225" s="10" t="s">
        <v>2768</v>
      </c>
      <c r="I225" s="11" t="s">
        <v>1087</v>
      </c>
    </row>
    <row r="226" spans="1:9" ht="45" customHeight="1">
      <c r="A226" s="8" t="s">
        <v>2002</v>
      </c>
      <c r="B226" s="8" t="s">
        <v>2003</v>
      </c>
      <c r="C226" s="8" t="s">
        <v>2766</v>
      </c>
      <c r="D226" s="8" t="s">
        <v>2766</v>
      </c>
      <c r="E226" s="8" t="s">
        <v>2766</v>
      </c>
      <c r="F226" s="8" t="s">
        <v>2850</v>
      </c>
      <c r="G226" s="8" t="s">
        <v>1126</v>
      </c>
      <c r="H226" s="8" t="s">
        <v>2768</v>
      </c>
      <c r="I226" s="9" t="s">
        <v>1087</v>
      </c>
    </row>
    <row r="227" spans="1:9" ht="45" customHeight="1">
      <c r="A227" s="10" t="s">
        <v>2005</v>
      </c>
      <c r="B227" s="10" t="s">
        <v>2006</v>
      </c>
      <c r="C227" s="10" t="s">
        <v>2854</v>
      </c>
      <c r="D227" s="10" t="s">
        <v>618</v>
      </c>
      <c r="E227" s="10" t="s">
        <v>2854</v>
      </c>
      <c r="F227" s="10" t="s">
        <v>2855</v>
      </c>
      <c r="G227" s="10" t="s">
        <v>1126</v>
      </c>
      <c r="H227" s="10" t="s">
        <v>2775</v>
      </c>
      <c r="I227" s="11" t="s">
        <v>605</v>
      </c>
    </row>
    <row r="228" spans="1:9" ht="45" customHeight="1">
      <c r="A228" s="8" t="s">
        <v>2009</v>
      </c>
      <c r="B228" s="8" t="s">
        <v>2010</v>
      </c>
      <c r="C228" s="8" t="s">
        <v>2856</v>
      </c>
      <c r="D228" s="8" t="s">
        <v>2856</v>
      </c>
      <c r="E228" s="8" t="s">
        <v>2856</v>
      </c>
      <c r="F228" s="8" t="s">
        <v>2857</v>
      </c>
      <c r="G228" s="8" t="s">
        <v>1161</v>
      </c>
      <c r="H228" s="8" t="s">
        <v>2775</v>
      </c>
      <c r="I228" s="9" t="s">
        <v>1087</v>
      </c>
    </row>
    <row r="229" spans="1:9" ht="45" customHeight="1">
      <c r="A229" s="10" t="s">
        <v>2014</v>
      </c>
      <c r="B229" s="10" t="s">
        <v>2015</v>
      </c>
      <c r="C229" s="10" t="s">
        <v>2766</v>
      </c>
      <c r="D229" s="10" t="s">
        <v>2766</v>
      </c>
      <c r="E229" s="10" t="s">
        <v>2766</v>
      </c>
      <c r="F229" s="10" t="s">
        <v>2767</v>
      </c>
      <c r="G229" s="10" t="s">
        <v>1126</v>
      </c>
      <c r="H229" s="10" t="s">
        <v>2768</v>
      </c>
      <c r="I229" s="11" t="s">
        <v>2769</v>
      </c>
    </row>
    <row r="230" spans="1:9" ht="45" customHeight="1">
      <c r="A230" s="8" t="s">
        <v>2017</v>
      </c>
      <c r="B230" s="8" t="s">
        <v>2018</v>
      </c>
      <c r="C230" s="8" t="s">
        <v>2766</v>
      </c>
      <c r="D230" s="8" t="s">
        <v>2766</v>
      </c>
      <c r="E230" s="8" t="s">
        <v>2766</v>
      </c>
      <c r="F230" s="8" t="s">
        <v>2767</v>
      </c>
      <c r="G230" s="8" t="s">
        <v>1126</v>
      </c>
      <c r="H230" s="8" t="s">
        <v>2768</v>
      </c>
      <c r="I230" s="9" t="s">
        <v>2769</v>
      </c>
    </row>
    <row r="231" spans="1:9" ht="45" customHeight="1">
      <c r="A231" s="10" t="s">
        <v>2020</v>
      </c>
      <c r="B231" s="10" t="s">
        <v>2021</v>
      </c>
      <c r="C231" s="10" t="s">
        <v>2858</v>
      </c>
      <c r="D231" s="10" t="s">
        <v>2858</v>
      </c>
      <c r="E231" s="10" t="s">
        <v>2858</v>
      </c>
      <c r="F231" s="10" t="s">
        <v>2859</v>
      </c>
      <c r="G231" s="10" t="s">
        <v>1126</v>
      </c>
      <c r="H231" s="10" t="s">
        <v>2775</v>
      </c>
      <c r="I231" s="11" t="s">
        <v>585</v>
      </c>
    </row>
    <row r="232" spans="1:9" ht="45" customHeight="1">
      <c r="A232" s="8" t="s">
        <v>2026</v>
      </c>
      <c r="B232" s="8" t="s">
        <v>2027</v>
      </c>
      <c r="C232" s="8" t="s">
        <v>2766</v>
      </c>
      <c r="D232" s="8" t="s">
        <v>2766</v>
      </c>
      <c r="E232" s="8" t="s">
        <v>2766</v>
      </c>
      <c r="F232" s="8" t="s">
        <v>2780</v>
      </c>
      <c r="G232" s="8" t="s">
        <v>1126</v>
      </c>
      <c r="H232" s="8" t="s">
        <v>2768</v>
      </c>
      <c r="I232" s="9" t="s">
        <v>2781</v>
      </c>
    </row>
    <row r="233" spans="1:9" ht="34" customHeight="1">
      <c r="A233" s="10" t="s">
        <v>2030</v>
      </c>
      <c r="B233" s="10" t="s">
        <v>2031</v>
      </c>
      <c r="C233" s="10" t="s">
        <v>2770</v>
      </c>
      <c r="D233" s="10" t="s">
        <v>2770</v>
      </c>
      <c r="E233" s="10" t="s">
        <v>2770</v>
      </c>
      <c r="F233" s="10" t="s">
        <v>2771</v>
      </c>
      <c r="G233" s="12" t="s">
        <v>1136</v>
      </c>
      <c r="H233" s="12" t="s">
        <v>2772</v>
      </c>
      <c r="I233" s="11" t="s">
        <v>2769</v>
      </c>
    </row>
    <row r="234" spans="1:9" ht="45" customHeight="1">
      <c r="A234" s="8" t="s">
        <v>2036</v>
      </c>
      <c r="B234" s="8" t="s">
        <v>2037</v>
      </c>
      <c r="C234" s="8" t="s">
        <v>2766</v>
      </c>
      <c r="D234" s="8" t="s">
        <v>2766</v>
      </c>
      <c r="E234" s="8" t="s">
        <v>2766</v>
      </c>
      <c r="F234" s="8" t="s">
        <v>2780</v>
      </c>
      <c r="G234" s="8" t="s">
        <v>1126</v>
      </c>
      <c r="H234" s="8" t="s">
        <v>2768</v>
      </c>
      <c r="I234" s="9" t="s">
        <v>2781</v>
      </c>
    </row>
    <row r="235" spans="1:9" ht="45" customHeight="1">
      <c r="A235" s="10" t="s">
        <v>2040</v>
      </c>
      <c r="B235" s="10" t="s">
        <v>2041</v>
      </c>
      <c r="C235" s="10" t="s">
        <v>2766</v>
      </c>
      <c r="D235" s="10" t="s">
        <v>2766</v>
      </c>
      <c r="E235" s="10" t="s">
        <v>2766</v>
      </c>
      <c r="F235" s="10" t="s">
        <v>2767</v>
      </c>
      <c r="G235" s="10" t="s">
        <v>1126</v>
      </c>
      <c r="H235" s="10" t="s">
        <v>2768</v>
      </c>
      <c r="I235" s="11" t="s">
        <v>2769</v>
      </c>
    </row>
    <row r="236" spans="1:9" ht="45" customHeight="1">
      <c r="A236" s="8" t="s">
        <v>2044</v>
      </c>
      <c r="B236" s="8" t="s">
        <v>557</v>
      </c>
      <c r="C236" s="8" t="s">
        <v>2860</v>
      </c>
      <c r="D236" s="8" t="s">
        <v>2860</v>
      </c>
      <c r="E236" s="8" t="s">
        <v>2860</v>
      </c>
      <c r="F236" s="8" t="s">
        <v>2861</v>
      </c>
      <c r="G236" s="8" t="s">
        <v>2049</v>
      </c>
      <c r="H236" s="8" t="s">
        <v>2775</v>
      </c>
      <c r="I236" s="9" t="s">
        <v>2862</v>
      </c>
    </row>
    <row r="237" spans="1:9" ht="45" customHeight="1">
      <c r="A237" s="10" t="s">
        <v>2051</v>
      </c>
      <c r="B237" s="10" t="s">
        <v>2052</v>
      </c>
      <c r="C237" s="10" t="s">
        <v>2766</v>
      </c>
      <c r="D237" s="10" t="s">
        <v>2766</v>
      </c>
      <c r="E237" s="10" t="s">
        <v>2766</v>
      </c>
      <c r="F237" s="10" t="s">
        <v>2767</v>
      </c>
      <c r="G237" s="10" t="s">
        <v>1126</v>
      </c>
      <c r="H237" s="10" t="s">
        <v>2768</v>
      </c>
      <c r="I237" s="11" t="s">
        <v>2769</v>
      </c>
    </row>
    <row r="238" spans="1:9" ht="45" customHeight="1">
      <c r="A238" s="8" t="s">
        <v>2055</v>
      </c>
      <c r="B238" s="8" t="s">
        <v>2056</v>
      </c>
      <c r="C238" s="8" t="s">
        <v>2766</v>
      </c>
      <c r="D238" s="8" t="s">
        <v>2766</v>
      </c>
      <c r="E238" s="8" t="s">
        <v>2766</v>
      </c>
      <c r="F238" s="8" t="s">
        <v>2767</v>
      </c>
      <c r="G238" s="8" t="s">
        <v>1161</v>
      </c>
      <c r="H238" s="8" t="s">
        <v>2768</v>
      </c>
      <c r="I238" s="9" t="s">
        <v>2769</v>
      </c>
    </row>
    <row r="239" spans="1:9" ht="45" customHeight="1">
      <c r="A239" s="10" t="s">
        <v>2059</v>
      </c>
      <c r="B239" s="10" t="s">
        <v>2060</v>
      </c>
      <c r="C239" s="10" t="s">
        <v>2766</v>
      </c>
      <c r="D239" s="10" t="s">
        <v>2766</v>
      </c>
      <c r="E239" s="10" t="s">
        <v>2766</v>
      </c>
      <c r="F239" s="10" t="s">
        <v>2767</v>
      </c>
      <c r="G239" s="10" t="s">
        <v>1126</v>
      </c>
      <c r="H239" s="10" t="s">
        <v>2768</v>
      </c>
      <c r="I239" s="11" t="s">
        <v>2769</v>
      </c>
    </row>
    <row r="240" spans="1:9" ht="45" customHeight="1">
      <c r="A240" s="8" t="s">
        <v>2062</v>
      </c>
      <c r="B240" s="8" t="s">
        <v>625</v>
      </c>
      <c r="C240" s="8" t="s">
        <v>627</v>
      </c>
      <c r="D240" s="8" t="s">
        <v>628</v>
      </c>
      <c r="E240" s="8" t="s">
        <v>2863</v>
      </c>
      <c r="F240" s="8" t="s">
        <v>2864</v>
      </c>
      <c r="G240" s="8" t="s">
        <v>1126</v>
      </c>
      <c r="H240" s="8" t="s">
        <v>2775</v>
      </c>
      <c r="I240" s="9" t="s">
        <v>605</v>
      </c>
    </row>
    <row r="241" spans="1:9" ht="45" customHeight="1">
      <c r="A241" s="10" t="s">
        <v>2064</v>
      </c>
      <c r="B241" s="10" t="s">
        <v>2065</v>
      </c>
      <c r="C241" s="10" t="s">
        <v>2766</v>
      </c>
      <c r="D241" s="10" t="s">
        <v>2766</v>
      </c>
      <c r="E241" s="10" t="s">
        <v>2766</v>
      </c>
      <c r="F241" s="10" t="s">
        <v>2780</v>
      </c>
      <c r="G241" s="10" t="s">
        <v>1126</v>
      </c>
      <c r="H241" s="10" t="s">
        <v>2768</v>
      </c>
      <c r="I241" s="11" t="s">
        <v>2781</v>
      </c>
    </row>
    <row r="242" spans="1:9" ht="45" customHeight="1">
      <c r="A242" s="8" t="s">
        <v>2069</v>
      </c>
      <c r="B242" s="8" t="s">
        <v>2070</v>
      </c>
      <c r="C242" s="8" t="s">
        <v>2766</v>
      </c>
      <c r="D242" s="8" t="s">
        <v>2766</v>
      </c>
      <c r="E242" s="8" t="s">
        <v>2766</v>
      </c>
      <c r="F242" s="8" t="s">
        <v>2767</v>
      </c>
      <c r="G242" s="8" t="s">
        <v>1126</v>
      </c>
      <c r="H242" s="8" t="s">
        <v>2768</v>
      </c>
      <c r="I242" s="9" t="s">
        <v>2769</v>
      </c>
    </row>
    <row r="243" spans="1:9" ht="45" customHeight="1">
      <c r="A243" s="10" t="s">
        <v>2072</v>
      </c>
      <c r="B243" s="10" t="s">
        <v>2073</v>
      </c>
      <c r="C243" s="10" t="s">
        <v>2766</v>
      </c>
      <c r="D243" s="10" t="s">
        <v>2766</v>
      </c>
      <c r="E243" s="10" t="s">
        <v>2766</v>
      </c>
      <c r="F243" s="10" t="s">
        <v>2816</v>
      </c>
      <c r="G243" s="10" t="s">
        <v>1126</v>
      </c>
      <c r="H243" s="10" t="s">
        <v>2768</v>
      </c>
      <c r="I243" s="11" t="s">
        <v>605</v>
      </c>
    </row>
    <row r="244" spans="1:9" ht="34" customHeight="1">
      <c r="A244" s="8" t="s">
        <v>2077</v>
      </c>
      <c r="B244" s="8" t="s">
        <v>2078</v>
      </c>
      <c r="C244" s="8" t="s">
        <v>2770</v>
      </c>
      <c r="D244" s="8" t="s">
        <v>2770</v>
      </c>
      <c r="E244" s="8" t="s">
        <v>2770</v>
      </c>
      <c r="F244" s="8" t="s">
        <v>2771</v>
      </c>
      <c r="G244" s="12" t="s">
        <v>1136</v>
      </c>
      <c r="H244" s="12" t="s">
        <v>2772</v>
      </c>
      <c r="I244" s="9" t="s">
        <v>2769</v>
      </c>
    </row>
    <row r="245" spans="1:9" ht="45" customHeight="1">
      <c r="A245" s="10" t="s">
        <v>2082</v>
      </c>
      <c r="B245" s="10" t="s">
        <v>2083</v>
      </c>
      <c r="C245" s="10" t="s">
        <v>2766</v>
      </c>
      <c r="D245" s="10" t="s">
        <v>2766</v>
      </c>
      <c r="E245" s="10" t="s">
        <v>2766</v>
      </c>
      <c r="F245" s="10" t="s">
        <v>2767</v>
      </c>
      <c r="G245" s="10" t="s">
        <v>1126</v>
      </c>
      <c r="H245" s="10" t="s">
        <v>2768</v>
      </c>
      <c r="I245" s="11" t="s">
        <v>2769</v>
      </c>
    </row>
    <row r="246" spans="1:9" ht="45" customHeight="1">
      <c r="A246" s="8" t="s">
        <v>2087</v>
      </c>
      <c r="B246" s="8" t="s">
        <v>2088</v>
      </c>
      <c r="C246" s="8" t="s">
        <v>2766</v>
      </c>
      <c r="D246" s="8" t="s">
        <v>2766</v>
      </c>
      <c r="E246" s="8" t="s">
        <v>2766</v>
      </c>
      <c r="F246" s="8" t="s">
        <v>2767</v>
      </c>
      <c r="G246" s="8" t="s">
        <v>1126</v>
      </c>
      <c r="H246" s="8" t="s">
        <v>2768</v>
      </c>
      <c r="I246" s="9" t="s">
        <v>2769</v>
      </c>
    </row>
    <row r="247" spans="1:9" ht="45" customHeight="1">
      <c r="A247" s="10" t="s">
        <v>2091</v>
      </c>
      <c r="B247" s="10" t="s">
        <v>2092</v>
      </c>
      <c r="C247" s="10" t="s">
        <v>2766</v>
      </c>
      <c r="D247" s="10" t="s">
        <v>2766</v>
      </c>
      <c r="E247" s="10" t="s">
        <v>2766</v>
      </c>
      <c r="F247" s="10" t="s">
        <v>2767</v>
      </c>
      <c r="G247" s="10" t="s">
        <v>1126</v>
      </c>
      <c r="H247" s="10" t="s">
        <v>2768</v>
      </c>
      <c r="I247" s="11" t="s">
        <v>2769</v>
      </c>
    </row>
    <row r="248" spans="1:9" ht="45" customHeight="1">
      <c r="A248" s="8" t="s">
        <v>2095</v>
      </c>
      <c r="B248" s="8" t="s">
        <v>2096</v>
      </c>
      <c r="C248" s="8" t="s">
        <v>2766</v>
      </c>
      <c r="D248" s="8" t="s">
        <v>2766</v>
      </c>
      <c r="E248" s="8" t="s">
        <v>2766</v>
      </c>
      <c r="F248" s="8" t="s">
        <v>2767</v>
      </c>
      <c r="G248" s="8" t="s">
        <v>1126</v>
      </c>
      <c r="H248" s="8" t="s">
        <v>2768</v>
      </c>
      <c r="I248" s="9" t="s">
        <v>2769</v>
      </c>
    </row>
    <row r="249" spans="1:9" ht="45" customHeight="1">
      <c r="A249" s="10" t="s">
        <v>2099</v>
      </c>
      <c r="B249" s="10" t="s">
        <v>2100</v>
      </c>
      <c r="C249" s="10" t="s">
        <v>2865</v>
      </c>
      <c r="D249" s="10" t="s">
        <v>2865</v>
      </c>
      <c r="E249" s="10" t="s">
        <v>2865</v>
      </c>
      <c r="F249" s="10" t="s">
        <v>2866</v>
      </c>
      <c r="G249" s="10" t="s">
        <v>1126</v>
      </c>
      <c r="H249" s="10" t="s">
        <v>2775</v>
      </c>
      <c r="I249" s="11" t="s">
        <v>612</v>
      </c>
    </row>
    <row r="250" spans="1:9" ht="45" customHeight="1">
      <c r="A250" s="8" t="s">
        <v>2103</v>
      </c>
      <c r="B250" s="8" t="s">
        <v>2104</v>
      </c>
      <c r="C250" s="8" t="s">
        <v>2766</v>
      </c>
      <c r="D250" s="8" t="s">
        <v>2766</v>
      </c>
      <c r="E250" s="8" t="s">
        <v>2766</v>
      </c>
      <c r="F250" s="8" t="s">
        <v>2767</v>
      </c>
      <c r="G250" s="8" t="s">
        <v>1126</v>
      </c>
      <c r="H250" s="8" t="s">
        <v>2768</v>
      </c>
      <c r="I250" s="9" t="s">
        <v>2769</v>
      </c>
    </row>
    <row r="251" spans="1:9" ht="45" customHeight="1">
      <c r="A251" s="10" t="s">
        <v>2106</v>
      </c>
      <c r="B251" s="10" t="s">
        <v>2107</v>
      </c>
      <c r="C251" s="10" t="s">
        <v>2766</v>
      </c>
      <c r="D251" s="10" t="s">
        <v>2766</v>
      </c>
      <c r="E251" s="10" t="s">
        <v>2766</v>
      </c>
      <c r="F251" s="10" t="s">
        <v>2767</v>
      </c>
      <c r="G251" s="10" t="s">
        <v>1126</v>
      </c>
      <c r="H251" s="10" t="s">
        <v>2768</v>
      </c>
      <c r="I251" s="11" t="s">
        <v>2769</v>
      </c>
    </row>
    <row r="252" spans="1:9" ht="45" customHeight="1">
      <c r="A252" s="8" t="s">
        <v>2109</v>
      </c>
      <c r="B252" s="8" t="s">
        <v>2110</v>
      </c>
      <c r="C252" s="8" t="s">
        <v>2766</v>
      </c>
      <c r="D252" s="8" t="s">
        <v>2766</v>
      </c>
      <c r="E252" s="8" t="s">
        <v>2766</v>
      </c>
      <c r="F252" s="8" t="s">
        <v>2802</v>
      </c>
      <c r="G252" s="8" t="s">
        <v>1126</v>
      </c>
      <c r="H252" s="8" t="s">
        <v>2768</v>
      </c>
      <c r="I252" s="9" t="s">
        <v>2769</v>
      </c>
    </row>
    <row r="253" spans="1:9" ht="45" customHeight="1">
      <c r="A253" s="10" t="s">
        <v>2113</v>
      </c>
      <c r="B253" s="10" t="s">
        <v>2114</v>
      </c>
      <c r="C253" s="10" t="s">
        <v>2766</v>
      </c>
      <c r="D253" s="10" t="s">
        <v>2766</v>
      </c>
      <c r="E253" s="10" t="s">
        <v>2766</v>
      </c>
      <c r="F253" s="10" t="s">
        <v>2802</v>
      </c>
      <c r="G253" s="10" t="s">
        <v>1126</v>
      </c>
      <c r="H253" s="10" t="s">
        <v>2768</v>
      </c>
      <c r="I253" s="11" t="s">
        <v>2769</v>
      </c>
    </row>
    <row r="254" spans="1:9" ht="45" customHeight="1">
      <c r="A254" s="8" t="s">
        <v>2118</v>
      </c>
      <c r="B254" s="8" t="s">
        <v>2119</v>
      </c>
      <c r="C254" s="8" t="s">
        <v>2766</v>
      </c>
      <c r="D254" s="8" t="s">
        <v>2766</v>
      </c>
      <c r="E254" s="8" t="s">
        <v>2766</v>
      </c>
      <c r="F254" s="8" t="s">
        <v>2802</v>
      </c>
      <c r="G254" s="8" t="s">
        <v>1161</v>
      </c>
      <c r="H254" s="8" t="s">
        <v>2768</v>
      </c>
      <c r="I254" s="9" t="s">
        <v>2769</v>
      </c>
    </row>
    <row r="255" spans="1:9" ht="45" customHeight="1">
      <c r="A255" s="10" t="s">
        <v>2123</v>
      </c>
      <c r="B255" s="10" t="s">
        <v>2124</v>
      </c>
      <c r="C255" s="10" t="s">
        <v>2766</v>
      </c>
      <c r="D255" s="10" t="s">
        <v>2766</v>
      </c>
      <c r="E255" s="10" t="s">
        <v>2766</v>
      </c>
      <c r="F255" s="10" t="s">
        <v>2802</v>
      </c>
      <c r="G255" s="10" t="s">
        <v>1126</v>
      </c>
      <c r="H255" s="10" t="s">
        <v>2768</v>
      </c>
      <c r="I255" s="11" t="s">
        <v>2769</v>
      </c>
    </row>
    <row r="256" spans="1:9" ht="45" customHeight="1">
      <c r="A256" s="8" t="s">
        <v>2127</v>
      </c>
      <c r="B256" s="8" t="s">
        <v>2128</v>
      </c>
      <c r="C256" s="8" t="s">
        <v>2766</v>
      </c>
      <c r="D256" s="8" t="s">
        <v>2766</v>
      </c>
      <c r="E256" s="8" t="s">
        <v>2766</v>
      </c>
      <c r="F256" s="8" t="s">
        <v>2802</v>
      </c>
      <c r="G256" s="8" t="s">
        <v>1126</v>
      </c>
      <c r="H256" s="8" t="s">
        <v>2768</v>
      </c>
      <c r="I256" s="9" t="s">
        <v>2769</v>
      </c>
    </row>
    <row r="257" spans="1:9" ht="45" customHeight="1">
      <c r="A257" s="10" t="s">
        <v>2131</v>
      </c>
      <c r="B257" s="10" t="s">
        <v>2132</v>
      </c>
      <c r="C257" s="10" t="s">
        <v>2766</v>
      </c>
      <c r="D257" s="10" t="s">
        <v>2766</v>
      </c>
      <c r="E257" s="10" t="s">
        <v>2766</v>
      </c>
      <c r="F257" s="10" t="s">
        <v>2802</v>
      </c>
      <c r="G257" s="10" t="s">
        <v>1126</v>
      </c>
      <c r="H257" s="10" t="s">
        <v>2768</v>
      </c>
      <c r="I257" s="11" t="s">
        <v>2769</v>
      </c>
    </row>
    <row r="258" spans="1:9" ht="45" customHeight="1">
      <c r="A258" s="8" t="s">
        <v>2134</v>
      </c>
      <c r="B258" s="8" t="s">
        <v>2135</v>
      </c>
      <c r="C258" s="8" t="s">
        <v>2770</v>
      </c>
      <c r="D258" s="8" t="s">
        <v>2770</v>
      </c>
      <c r="E258" s="8" t="s">
        <v>2770</v>
      </c>
      <c r="F258" s="8" t="s">
        <v>2867</v>
      </c>
      <c r="G258" s="8" t="s">
        <v>2137</v>
      </c>
      <c r="H258" s="12" t="s">
        <v>2772</v>
      </c>
      <c r="I258" s="9" t="s">
        <v>2868</v>
      </c>
    </row>
    <row r="259" spans="1:9" ht="45" customHeight="1">
      <c r="A259" s="10" t="s">
        <v>2139</v>
      </c>
      <c r="B259" s="10" t="s">
        <v>2140</v>
      </c>
      <c r="C259" s="10" t="s">
        <v>2766</v>
      </c>
      <c r="D259" s="10" t="s">
        <v>2766</v>
      </c>
      <c r="E259" s="10" t="s">
        <v>2766</v>
      </c>
      <c r="F259" s="10" t="s">
        <v>2869</v>
      </c>
      <c r="G259" s="10" t="s">
        <v>1126</v>
      </c>
      <c r="H259" s="10" t="s">
        <v>2768</v>
      </c>
      <c r="I259" s="11" t="s">
        <v>2868</v>
      </c>
    </row>
    <row r="260" spans="1:9" ht="45" customHeight="1">
      <c r="A260" s="8" t="s">
        <v>2142</v>
      </c>
      <c r="B260" s="8" t="s">
        <v>2143</v>
      </c>
      <c r="C260" s="8" t="s">
        <v>2766</v>
      </c>
      <c r="D260" s="8" t="s">
        <v>2766</v>
      </c>
      <c r="E260" s="8" t="s">
        <v>2766</v>
      </c>
      <c r="F260" s="8" t="s">
        <v>2780</v>
      </c>
      <c r="G260" s="8" t="s">
        <v>1126</v>
      </c>
      <c r="H260" s="8" t="s">
        <v>2768</v>
      </c>
      <c r="I260" s="9" t="s">
        <v>2781</v>
      </c>
    </row>
    <row r="261" spans="1:9" ht="45" customHeight="1">
      <c r="A261" s="10" t="s">
        <v>2146</v>
      </c>
      <c r="B261" s="10" t="s">
        <v>635</v>
      </c>
      <c r="C261" s="10" t="s">
        <v>619</v>
      </c>
      <c r="D261" s="10" t="s">
        <v>619</v>
      </c>
      <c r="E261" s="10" t="s">
        <v>619</v>
      </c>
      <c r="F261" s="10" t="s">
        <v>2870</v>
      </c>
      <c r="G261" s="10" t="s">
        <v>1126</v>
      </c>
      <c r="H261" s="10" t="s">
        <v>2775</v>
      </c>
      <c r="I261" s="11" t="s">
        <v>605</v>
      </c>
    </row>
    <row r="262" spans="1:9" ht="45" customHeight="1">
      <c r="A262" s="8" t="s">
        <v>2148</v>
      </c>
      <c r="B262" s="8" t="s">
        <v>2149</v>
      </c>
      <c r="C262" s="8" t="s">
        <v>2766</v>
      </c>
      <c r="D262" s="8" t="s">
        <v>2766</v>
      </c>
      <c r="E262" s="8" t="s">
        <v>2766</v>
      </c>
      <c r="F262" s="8" t="s">
        <v>2778</v>
      </c>
      <c r="G262" s="8" t="s">
        <v>1126</v>
      </c>
      <c r="H262" s="8" t="s">
        <v>2768</v>
      </c>
      <c r="I262" s="9" t="s">
        <v>2779</v>
      </c>
    </row>
    <row r="263" spans="1:9" ht="45" customHeight="1">
      <c r="A263" s="10" t="s">
        <v>2151</v>
      </c>
      <c r="B263" s="10" t="s">
        <v>639</v>
      </c>
      <c r="C263" s="10" t="s">
        <v>641</v>
      </c>
      <c r="D263" s="10" t="s">
        <v>641</v>
      </c>
      <c r="E263" s="10" t="s">
        <v>641</v>
      </c>
      <c r="F263" s="10" t="s">
        <v>2871</v>
      </c>
      <c r="G263" s="10" t="s">
        <v>1126</v>
      </c>
      <c r="H263" s="10" t="s">
        <v>2775</v>
      </c>
      <c r="I263" s="11" t="s">
        <v>605</v>
      </c>
    </row>
    <row r="264" spans="1:9" ht="45" customHeight="1">
      <c r="A264" s="8" t="s">
        <v>2154</v>
      </c>
      <c r="B264" s="8" t="s">
        <v>2155</v>
      </c>
      <c r="C264" s="8" t="s">
        <v>2766</v>
      </c>
      <c r="D264" s="8" t="s">
        <v>2766</v>
      </c>
      <c r="E264" s="8" t="s">
        <v>2766</v>
      </c>
      <c r="F264" s="8" t="s">
        <v>2836</v>
      </c>
      <c r="G264" s="8" t="s">
        <v>1161</v>
      </c>
      <c r="H264" s="8" t="s">
        <v>2768</v>
      </c>
      <c r="I264" s="9" t="s">
        <v>621</v>
      </c>
    </row>
    <row r="265" spans="1:9" ht="45" customHeight="1">
      <c r="A265" s="10" t="s">
        <v>2158</v>
      </c>
      <c r="B265" s="10" t="s">
        <v>2159</v>
      </c>
      <c r="C265" s="10" t="s">
        <v>2766</v>
      </c>
      <c r="D265" s="10" t="s">
        <v>2766</v>
      </c>
      <c r="E265" s="10" t="s">
        <v>2766</v>
      </c>
      <c r="F265" s="10" t="s">
        <v>2816</v>
      </c>
      <c r="G265" s="10" t="s">
        <v>1126</v>
      </c>
      <c r="H265" s="10" t="s">
        <v>2768</v>
      </c>
      <c r="I265" s="11" t="s">
        <v>605</v>
      </c>
    </row>
    <row r="266" spans="1:9" ht="45" customHeight="1">
      <c r="A266" s="8" t="s">
        <v>2161</v>
      </c>
      <c r="B266" s="8" t="s">
        <v>2162</v>
      </c>
      <c r="C266" s="8" t="s">
        <v>2766</v>
      </c>
      <c r="D266" s="8" t="s">
        <v>2766</v>
      </c>
      <c r="E266" s="8" t="s">
        <v>2766</v>
      </c>
      <c r="F266" s="8" t="s">
        <v>2816</v>
      </c>
      <c r="G266" s="8" t="s">
        <v>1126</v>
      </c>
      <c r="H266" s="8" t="s">
        <v>2768</v>
      </c>
      <c r="I266" s="9" t="s">
        <v>605</v>
      </c>
    </row>
    <row r="267" spans="1:9" ht="45" customHeight="1">
      <c r="A267" s="10" t="s">
        <v>2166</v>
      </c>
      <c r="B267" s="10" t="s">
        <v>2167</v>
      </c>
      <c r="C267" s="10" t="s">
        <v>2766</v>
      </c>
      <c r="D267" s="10" t="s">
        <v>2766</v>
      </c>
      <c r="E267" s="10" t="s">
        <v>2766</v>
      </c>
      <c r="F267" s="10" t="s">
        <v>2816</v>
      </c>
      <c r="G267" s="10" t="s">
        <v>1126</v>
      </c>
      <c r="H267" s="10" t="s">
        <v>2768</v>
      </c>
      <c r="I267" s="11" t="s">
        <v>605</v>
      </c>
    </row>
    <row r="268" spans="1:9" ht="45" customHeight="1">
      <c r="A268" s="8" t="s">
        <v>2170</v>
      </c>
      <c r="B268" s="8" t="s">
        <v>2171</v>
      </c>
      <c r="C268" s="8" t="s">
        <v>2766</v>
      </c>
      <c r="D268" s="8" t="s">
        <v>2766</v>
      </c>
      <c r="E268" s="8" t="s">
        <v>2766</v>
      </c>
      <c r="F268" s="8" t="s">
        <v>2816</v>
      </c>
      <c r="G268" s="8" t="s">
        <v>1126</v>
      </c>
      <c r="H268" s="8" t="s">
        <v>2768</v>
      </c>
      <c r="I268" s="9" t="s">
        <v>605</v>
      </c>
    </row>
    <row r="269" spans="1:9" ht="45" customHeight="1">
      <c r="A269" s="10" t="s">
        <v>2174</v>
      </c>
      <c r="B269" s="10" t="s">
        <v>2175</v>
      </c>
      <c r="C269" s="10" t="s">
        <v>2766</v>
      </c>
      <c r="D269" s="10" t="s">
        <v>2766</v>
      </c>
      <c r="E269" s="10" t="s">
        <v>2766</v>
      </c>
      <c r="F269" s="10" t="s">
        <v>2816</v>
      </c>
      <c r="G269" s="10" t="s">
        <v>1126</v>
      </c>
      <c r="H269" s="10" t="s">
        <v>2768</v>
      </c>
      <c r="I269" s="11" t="s">
        <v>605</v>
      </c>
    </row>
    <row r="270" spans="1:9" ht="45" customHeight="1">
      <c r="A270" s="8" t="s">
        <v>2178</v>
      </c>
      <c r="B270" s="8" t="s">
        <v>2179</v>
      </c>
      <c r="C270" s="8" t="s">
        <v>2766</v>
      </c>
      <c r="D270" s="8" t="s">
        <v>2766</v>
      </c>
      <c r="E270" s="8" t="s">
        <v>2766</v>
      </c>
      <c r="F270" s="8" t="s">
        <v>2816</v>
      </c>
      <c r="G270" s="8" t="s">
        <v>1126</v>
      </c>
      <c r="H270" s="8" t="s">
        <v>2768</v>
      </c>
      <c r="I270" s="9" t="s">
        <v>605</v>
      </c>
    </row>
    <row r="271" spans="1:9" ht="45" customHeight="1">
      <c r="A271" s="10" t="s">
        <v>2181</v>
      </c>
      <c r="B271" s="10" t="s">
        <v>2182</v>
      </c>
      <c r="C271" s="10" t="s">
        <v>2766</v>
      </c>
      <c r="D271" s="10" t="s">
        <v>2766</v>
      </c>
      <c r="E271" s="10" t="s">
        <v>2766</v>
      </c>
      <c r="F271" s="10" t="s">
        <v>2816</v>
      </c>
      <c r="G271" s="10" t="s">
        <v>1126</v>
      </c>
      <c r="H271" s="10" t="s">
        <v>2768</v>
      </c>
      <c r="I271" s="11" t="s">
        <v>605</v>
      </c>
    </row>
    <row r="272" spans="1:9" ht="45" customHeight="1">
      <c r="A272" s="8" t="s">
        <v>2184</v>
      </c>
      <c r="B272" s="8" t="s">
        <v>2185</v>
      </c>
      <c r="C272" s="8" t="s">
        <v>2766</v>
      </c>
      <c r="D272" s="8" t="s">
        <v>2766</v>
      </c>
      <c r="E272" s="8" t="s">
        <v>2766</v>
      </c>
      <c r="F272" s="8" t="s">
        <v>2816</v>
      </c>
      <c r="G272" s="8" t="s">
        <v>1126</v>
      </c>
      <c r="H272" s="8" t="s">
        <v>2768</v>
      </c>
      <c r="I272" s="9" t="s">
        <v>605</v>
      </c>
    </row>
    <row r="273" spans="1:9" ht="34" customHeight="1">
      <c r="A273" s="10" t="s">
        <v>2189</v>
      </c>
      <c r="B273" s="10" t="s">
        <v>2190</v>
      </c>
      <c r="C273" s="10" t="s">
        <v>2770</v>
      </c>
      <c r="D273" s="10" t="s">
        <v>2770</v>
      </c>
      <c r="E273" s="10" t="s">
        <v>2770</v>
      </c>
      <c r="F273" s="10" t="s">
        <v>2771</v>
      </c>
      <c r="G273" s="12" t="s">
        <v>1136</v>
      </c>
      <c r="H273" s="12" t="s">
        <v>2772</v>
      </c>
      <c r="I273" s="11" t="s">
        <v>2769</v>
      </c>
    </row>
    <row r="274" spans="1:9" ht="45" customHeight="1">
      <c r="A274" s="8" t="s">
        <v>2193</v>
      </c>
      <c r="B274" s="8" t="s">
        <v>2194</v>
      </c>
      <c r="C274" s="8" t="s">
        <v>2766</v>
      </c>
      <c r="D274" s="8" t="s">
        <v>2766</v>
      </c>
      <c r="E274" s="8" t="s">
        <v>2766</v>
      </c>
      <c r="F274" s="8" t="s">
        <v>2869</v>
      </c>
      <c r="G274" s="8" t="s">
        <v>1126</v>
      </c>
      <c r="H274" s="8" t="s">
        <v>2768</v>
      </c>
      <c r="I274" s="9" t="s">
        <v>2868</v>
      </c>
    </row>
    <row r="275" spans="1:9" ht="45" customHeight="1">
      <c r="A275" s="10" t="s">
        <v>2196</v>
      </c>
      <c r="B275" s="10" t="s">
        <v>2197</v>
      </c>
      <c r="C275" s="10" t="s">
        <v>2766</v>
      </c>
      <c r="D275" s="10" t="s">
        <v>2766</v>
      </c>
      <c r="E275" s="10" t="s">
        <v>2766</v>
      </c>
      <c r="F275" s="10" t="s">
        <v>2869</v>
      </c>
      <c r="G275" s="10" t="s">
        <v>1126</v>
      </c>
      <c r="H275" s="10" t="s">
        <v>2768</v>
      </c>
      <c r="I275" s="11" t="s">
        <v>2868</v>
      </c>
    </row>
    <row r="276" spans="1:9" ht="45" customHeight="1">
      <c r="A276" s="8" t="s">
        <v>2199</v>
      </c>
      <c r="B276" s="8" t="s">
        <v>2200</v>
      </c>
      <c r="C276" s="8" t="s">
        <v>2766</v>
      </c>
      <c r="D276" s="8" t="s">
        <v>2766</v>
      </c>
      <c r="E276" s="8" t="s">
        <v>2766</v>
      </c>
      <c r="F276" s="8" t="s">
        <v>2869</v>
      </c>
      <c r="G276" s="8" t="s">
        <v>1126</v>
      </c>
      <c r="H276" s="8" t="s">
        <v>2768</v>
      </c>
      <c r="I276" s="9" t="s">
        <v>2868</v>
      </c>
    </row>
    <row r="277" spans="1:9" ht="45" customHeight="1">
      <c r="A277" s="10" t="s">
        <v>2202</v>
      </c>
      <c r="B277" s="10" t="s">
        <v>2203</v>
      </c>
      <c r="C277" s="10" t="s">
        <v>2872</v>
      </c>
      <c r="D277" s="10" t="s">
        <v>2872</v>
      </c>
      <c r="E277" s="10" t="s">
        <v>2872</v>
      </c>
      <c r="F277" s="10" t="s">
        <v>2873</v>
      </c>
      <c r="G277" s="10" t="s">
        <v>1161</v>
      </c>
      <c r="H277" s="10" t="s">
        <v>2775</v>
      </c>
      <c r="I277" s="11" t="s">
        <v>2874</v>
      </c>
    </row>
    <row r="278" spans="1:9" ht="45" customHeight="1">
      <c r="A278" s="8" t="s">
        <v>2206</v>
      </c>
      <c r="B278" s="8" t="s">
        <v>2207</v>
      </c>
      <c r="C278" s="8" t="s">
        <v>2766</v>
      </c>
      <c r="D278" s="8" t="s">
        <v>2766</v>
      </c>
      <c r="E278" s="8" t="s">
        <v>2766</v>
      </c>
      <c r="F278" s="8" t="s">
        <v>2875</v>
      </c>
      <c r="G278" s="8" t="s">
        <v>1161</v>
      </c>
      <c r="H278" s="8" t="s">
        <v>2768</v>
      </c>
      <c r="I278" s="9" t="s">
        <v>2876</v>
      </c>
    </row>
    <row r="279" spans="1:9" ht="45" customHeight="1">
      <c r="A279" s="10" t="s">
        <v>2212</v>
      </c>
      <c r="B279" s="10" t="s">
        <v>2213</v>
      </c>
      <c r="C279" s="10" t="s">
        <v>2766</v>
      </c>
      <c r="D279" s="10" t="s">
        <v>2766</v>
      </c>
      <c r="E279" s="10" t="s">
        <v>2766</v>
      </c>
      <c r="F279" s="10" t="s">
        <v>2875</v>
      </c>
      <c r="G279" s="10" t="s">
        <v>1161</v>
      </c>
      <c r="H279" s="10" t="s">
        <v>2768</v>
      </c>
      <c r="I279" s="11" t="s">
        <v>2876</v>
      </c>
    </row>
    <row r="280" spans="1:9" ht="45" customHeight="1">
      <c r="A280" s="8" t="s">
        <v>2215</v>
      </c>
      <c r="B280" s="8" t="s">
        <v>2216</v>
      </c>
      <c r="C280" s="8" t="s">
        <v>2766</v>
      </c>
      <c r="D280" s="8" t="s">
        <v>2766</v>
      </c>
      <c r="E280" s="8" t="s">
        <v>2766</v>
      </c>
      <c r="F280" s="8" t="s">
        <v>2875</v>
      </c>
      <c r="G280" s="8" t="s">
        <v>1161</v>
      </c>
      <c r="H280" s="8" t="s">
        <v>2768</v>
      </c>
      <c r="I280" s="9" t="s">
        <v>2876</v>
      </c>
    </row>
    <row r="281" spans="1:9" ht="45" customHeight="1">
      <c r="A281" s="10" t="s">
        <v>2218</v>
      </c>
      <c r="B281" s="10" t="s">
        <v>2219</v>
      </c>
      <c r="C281" s="10" t="s">
        <v>2766</v>
      </c>
      <c r="D281" s="10" t="s">
        <v>2766</v>
      </c>
      <c r="E281" s="10" t="s">
        <v>2766</v>
      </c>
      <c r="F281" s="10" t="s">
        <v>2875</v>
      </c>
      <c r="G281" s="10" t="s">
        <v>1161</v>
      </c>
      <c r="H281" s="10" t="s">
        <v>2768</v>
      </c>
      <c r="I281" s="11" t="s">
        <v>2876</v>
      </c>
    </row>
    <row r="282" spans="1:9" ht="45" customHeight="1">
      <c r="A282" s="8" t="s">
        <v>2221</v>
      </c>
      <c r="B282" s="8" t="s">
        <v>2222</v>
      </c>
      <c r="C282" s="8" t="s">
        <v>2766</v>
      </c>
      <c r="D282" s="8" t="s">
        <v>2766</v>
      </c>
      <c r="E282" s="8" t="s">
        <v>2766</v>
      </c>
      <c r="F282" s="8" t="s">
        <v>2875</v>
      </c>
      <c r="G282" s="8" t="s">
        <v>1161</v>
      </c>
      <c r="H282" s="8" t="s">
        <v>2768</v>
      </c>
      <c r="I282" s="9" t="s">
        <v>2876</v>
      </c>
    </row>
    <row r="283" spans="1:9" ht="45" customHeight="1">
      <c r="A283" s="10" t="s">
        <v>2224</v>
      </c>
      <c r="B283" s="10" t="s">
        <v>2225</v>
      </c>
      <c r="C283" s="10" t="s">
        <v>2766</v>
      </c>
      <c r="D283" s="10" t="s">
        <v>2766</v>
      </c>
      <c r="E283" s="10" t="s">
        <v>2766</v>
      </c>
      <c r="F283" s="10" t="s">
        <v>2875</v>
      </c>
      <c r="G283" s="10" t="s">
        <v>1161</v>
      </c>
      <c r="H283" s="10" t="s">
        <v>2768</v>
      </c>
      <c r="I283" s="11" t="s">
        <v>2876</v>
      </c>
    </row>
    <row r="284" spans="1:9" ht="45" customHeight="1">
      <c r="A284" s="8" t="s">
        <v>2227</v>
      </c>
      <c r="B284" s="8" t="s">
        <v>2228</v>
      </c>
      <c r="C284" s="8" t="s">
        <v>2766</v>
      </c>
      <c r="D284" s="8" t="s">
        <v>2766</v>
      </c>
      <c r="E284" s="8" t="s">
        <v>2766</v>
      </c>
      <c r="F284" s="8" t="s">
        <v>2875</v>
      </c>
      <c r="G284" s="8" t="s">
        <v>1161</v>
      </c>
      <c r="H284" s="8" t="s">
        <v>2768</v>
      </c>
      <c r="I284" s="9" t="s">
        <v>2876</v>
      </c>
    </row>
    <row r="285" spans="1:9" ht="45" customHeight="1">
      <c r="A285" s="10" t="s">
        <v>2230</v>
      </c>
      <c r="B285" s="10" t="s">
        <v>2231</v>
      </c>
      <c r="C285" s="10" t="s">
        <v>2766</v>
      </c>
      <c r="D285" s="10" t="s">
        <v>2766</v>
      </c>
      <c r="E285" s="10" t="s">
        <v>2766</v>
      </c>
      <c r="F285" s="10" t="s">
        <v>2875</v>
      </c>
      <c r="G285" s="10" t="s">
        <v>1161</v>
      </c>
      <c r="H285" s="10" t="s">
        <v>2768</v>
      </c>
      <c r="I285" s="11" t="s">
        <v>2876</v>
      </c>
    </row>
    <row r="286" spans="1:9" ht="45" customHeight="1">
      <c r="A286" s="8" t="s">
        <v>2233</v>
      </c>
      <c r="B286" s="8" t="s">
        <v>2234</v>
      </c>
      <c r="C286" s="8" t="s">
        <v>2766</v>
      </c>
      <c r="D286" s="8" t="s">
        <v>2766</v>
      </c>
      <c r="E286" s="8" t="s">
        <v>2766</v>
      </c>
      <c r="F286" s="8" t="s">
        <v>2875</v>
      </c>
      <c r="G286" s="8" t="s">
        <v>1161</v>
      </c>
      <c r="H286" s="8" t="s">
        <v>2768</v>
      </c>
      <c r="I286" s="9" t="s">
        <v>2876</v>
      </c>
    </row>
    <row r="287" spans="1:9" ht="45" customHeight="1">
      <c r="A287" s="10" t="s">
        <v>2236</v>
      </c>
      <c r="B287" s="10" t="s">
        <v>2237</v>
      </c>
      <c r="C287" s="10" t="s">
        <v>2766</v>
      </c>
      <c r="D287" s="10" t="s">
        <v>2766</v>
      </c>
      <c r="E287" s="10" t="s">
        <v>2766</v>
      </c>
      <c r="F287" s="10" t="s">
        <v>2875</v>
      </c>
      <c r="G287" s="10" t="s">
        <v>1161</v>
      </c>
      <c r="H287" s="10" t="s">
        <v>2768</v>
      </c>
      <c r="I287" s="11" t="s">
        <v>2876</v>
      </c>
    </row>
    <row r="288" spans="1:9" ht="45" customHeight="1">
      <c r="A288" s="8" t="s">
        <v>2239</v>
      </c>
      <c r="B288" s="8" t="s">
        <v>2240</v>
      </c>
      <c r="C288" s="8" t="s">
        <v>2766</v>
      </c>
      <c r="D288" s="8" t="s">
        <v>2766</v>
      </c>
      <c r="E288" s="8" t="s">
        <v>2766</v>
      </c>
      <c r="F288" s="8" t="s">
        <v>2875</v>
      </c>
      <c r="G288" s="8" t="s">
        <v>1161</v>
      </c>
      <c r="H288" s="8" t="s">
        <v>2768</v>
      </c>
      <c r="I288" s="9" t="s">
        <v>2876</v>
      </c>
    </row>
    <row r="289" spans="1:9" ht="45" customHeight="1">
      <c r="A289" s="10" t="s">
        <v>2242</v>
      </c>
      <c r="B289" s="10" t="s">
        <v>2243</v>
      </c>
      <c r="C289" s="10" t="s">
        <v>2766</v>
      </c>
      <c r="D289" s="10" t="s">
        <v>2766</v>
      </c>
      <c r="E289" s="10" t="s">
        <v>2766</v>
      </c>
      <c r="F289" s="10" t="s">
        <v>2875</v>
      </c>
      <c r="G289" s="10" t="s">
        <v>1161</v>
      </c>
      <c r="H289" s="10" t="s">
        <v>2768</v>
      </c>
      <c r="I289" s="11" t="s">
        <v>2876</v>
      </c>
    </row>
    <row r="290" spans="1:9" ht="45" customHeight="1">
      <c r="A290" s="8" t="s">
        <v>2245</v>
      </c>
      <c r="B290" s="8" t="s">
        <v>2246</v>
      </c>
      <c r="C290" s="8" t="s">
        <v>2766</v>
      </c>
      <c r="D290" s="8" t="s">
        <v>2766</v>
      </c>
      <c r="E290" s="8" t="s">
        <v>2766</v>
      </c>
      <c r="F290" s="8" t="s">
        <v>2875</v>
      </c>
      <c r="G290" s="8" t="s">
        <v>1161</v>
      </c>
      <c r="H290" s="8" t="s">
        <v>2768</v>
      </c>
      <c r="I290" s="9" t="s">
        <v>2876</v>
      </c>
    </row>
    <row r="291" spans="1:9" ht="45" customHeight="1">
      <c r="A291" s="10" t="s">
        <v>2248</v>
      </c>
      <c r="B291" s="10" t="s">
        <v>2249</v>
      </c>
      <c r="C291" s="10" t="s">
        <v>2766</v>
      </c>
      <c r="D291" s="10" t="s">
        <v>2766</v>
      </c>
      <c r="E291" s="10" t="s">
        <v>2766</v>
      </c>
      <c r="F291" s="10" t="s">
        <v>2875</v>
      </c>
      <c r="G291" s="10" t="s">
        <v>1161</v>
      </c>
      <c r="H291" s="10" t="s">
        <v>2768</v>
      </c>
      <c r="I291" s="11" t="s">
        <v>2876</v>
      </c>
    </row>
    <row r="292" spans="1:9" ht="45" customHeight="1">
      <c r="A292" s="8" t="s">
        <v>2251</v>
      </c>
      <c r="B292" s="8" t="s">
        <v>2252</v>
      </c>
      <c r="C292" s="8" t="s">
        <v>2766</v>
      </c>
      <c r="D292" s="8" t="s">
        <v>2766</v>
      </c>
      <c r="E292" s="8" t="s">
        <v>2766</v>
      </c>
      <c r="F292" s="8" t="s">
        <v>2875</v>
      </c>
      <c r="G292" s="8" t="s">
        <v>1161</v>
      </c>
      <c r="H292" s="8" t="s">
        <v>2768</v>
      </c>
      <c r="I292" s="9" t="s">
        <v>2876</v>
      </c>
    </row>
    <row r="293" spans="1:9" ht="45" customHeight="1">
      <c r="A293" s="10" t="s">
        <v>2254</v>
      </c>
      <c r="B293" s="10" t="s">
        <v>2255</v>
      </c>
      <c r="C293" s="10" t="s">
        <v>2766</v>
      </c>
      <c r="D293" s="10" t="s">
        <v>2766</v>
      </c>
      <c r="E293" s="10" t="s">
        <v>2766</v>
      </c>
      <c r="F293" s="10" t="s">
        <v>2875</v>
      </c>
      <c r="G293" s="10" t="s">
        <v>1161</v>
      </c>
      <c r="H293" s="10" t="s">
        <v>2768</v>
      </c>
      <c r="I293" s="11" t="s">
        <v>2876</v>
      </c>
    </row>
    <row r="294" spans="1:9" ht="45" customHeight="1">
      <c r="A294" s="8" t="s">
        <v>2258</v>
      </c>
      <c r="B294" s="8" t="s">
        <v>2259</v>
      </c>
      <c r="C294" s="8" t="s">
        <v>2766</v>
      </c>
      <c r="D294" s="8" t="s">
        <v>2766</v>
      </c>
      <c r="E294" s="8" t="s">
        <v>2766</v>
      </c>
      <c r="F294" s="8" t="s">
        <v>2875</v>
      </c>
      <c r="G294" s="8" t="s">
        <v>1161</v>
      </c>
      <c r="H294" s="8" t="s">
        <v>2768</v>
      </c>
      <c r="I294" s="9" t="s">
        <v>2876</v>
      </c>
    </row>
    <row r="295" spans="1:9" ht="45" customHeight="1">
      <c r="A295" s="10" t="s">
        <v>2261</v>
      </c>
      <c r="B295" s="10" t="s">
        <v>2262</v>
      </c>
      <c r="C295" s="10" t="s">
        <v>2766</v>
      </c>
      <c r="D295" s="10" t="s">
        <v>2766</v>
      </c>
      <c r="E295" s="10" t="s">
        <v>2766</v>
      </c>
      <c r="F295" s="10" t="s">
        <v>2875</v>
      </c>
      <c r="G295" s="10" t="s">
        <v>1161</v>
      </c>
      <c r="H295" s="10" t="s">
        <v>2768</v>
      </c>
      <c r="I295" s="11" t="s">
        <v>2876</v>
      </c>
    </row>
    <row r="296" spans="1:9" ht="45" customHeight="1">
      <c r="A296" s="8" t="s">
        <v>2264</v>
      </c>
      <c r="B296" s="8" t="s">
        <v>2265</v>
      </c>
      <c r="C296" s="8" t="s">
        <v>2766</v>
      </c>
      <c r="D296" s="8" t="s">
        <v>2766</v>
      </c>
      <c r="E296" s="8" t="s">
        <v>2766</v>
      </c>
      <c r="F296" s="8" t="s">
        <v>2875</v>
      </c>
      <c r="G296" s="8" t="s">
        <v>1161</v>
      </c>
      <c r="H296" s="8" t="s">
        <v>2768</v>
      </c>
      <c r="I296" s="9" t="s">
        <v>2876</v>
      </c>
    </row>
    <row r="297" spans="1:9" ht="45" customHeight="1">
      <c r="A297" s="10" t="s">
        <v>2267</v>
      </c>
      <c r="B297" s="10" t="s">
        <v>2268</v>
      </c>
      <c r="C297" s="10" t="s">
        <v>2766</v>
      </c>
      <c r="D297" s="10" t="s">
        <v>2766</v>
      </c>
      <c r="E297" s="10" t="s">
        <v>2766</v>
      </c>
      <c r="F297" s="10" t="s">
        <v>2875</v>
      </c>
      <c r="G297" s="10" t="s">
        <v>1161</v>
      </c>
      <c r="H297" s="10" t="s">
        <v>2768</v>
      </c>
      <c r="I297" s="11" t="s">
        <v>2876</v>
      </c>
    </row>
    <row r="298" spans="1:9" ht="45" customHeight="1">
      <c r="A298" s="8" t="s">
        <v>2270</v>
      </c>
      <c r="B298" s="8" t="s">
        <v>2271</v>
      </c>
      <c r="C298" s="8" t="s">
        <v>2766</v>
      </c>
      <c r="D298" s="8" t="s">
        <v>2766</v>
      </c>
      <c r="E298" s="8" t="s">
        <v>2766</v>
      </c>
      <c r="F298" s="8" t="s">
        <v>2875</v>
      </c>
      <c r="G298" s="8" t="s">
        <v>1161</v>
      </c>
      <c r="H298" s="8" t="s">
        <v>2768</v>
      </c>
      <c r="I298" s="9" t="s">
        <v>2876</v>
      </c>
    </row>
    <row r="299" spans="1:9" ht="45" customHeight="1">
      <c r="A299" s="10" t="s">
        <v>2273</v>
      </c>
      <c r="B299" s="10" t="s">
        <v>2274</v>
      </c>
      <c r="C299" s="10" t="s">
        <v>2766</v>
      </c>
      <c r="D299" s="10" t="s">
        <v>2766</v>
      </c>
      <c r="E299" s="10" t="s">
        <v>2766</v>
      </c>
      <c r="F299" s="10" t="s">
        <v>2875</v>
      </c>
      <c r="G299" s="10" t="s">
        <v>1161</v>
      </c>
      <c r="H299" s="10" t="s">
        <v>2768</v>
      </c>
      <c r="I299" s="11" t="s">
        <v>2876</v>
      </c>
    </row>
    <row r="300" spans="1:9" ht="45" customHeight="1">
      <c r="A300" s="8" t="s">
        <v>2276</v>
      </c>
      <c r="B300" s="8" t="s">
        <v>2277</v>
      </c>
      <c r="C300" s="8" t="s">
        <v>2766</v>
      </c>
      <c r="D300" s="8" t="s">
        <v>2766</v>
      </c>
      <c r="E300" s="8" t="s">
        <v>2766</v>
      </c>
      <c r="F300" s="8" t="s">
        <v>2875</v>
      </c>
      <c r="G300" s="8" t="s">
        <v>1161</v>
      </c>
      <c r="H300" s="8" t="s">
        <v>2768</v>
      </c>
      <c r="I300" s="9" t="s">
        <v>2876</v>
      </c>
    </row>
    <row r="301" spans="1:9" ht="45" customHeight="1">
      <c r="A301" s="10" t="s">
        <v>2279</v>
      </c>
      <c r="B301" s="10" t="s">
        <v>2280</v>
      </c>
      <c r="C301" s="10" t="s">
        <v>2766</v>
      </c>
      <c r="D301" s="10" t="s">
        <v>2766</v>
      </c>
      <c r="E301" s="10" t="s">
        <v>2766</v>
      </c>
      <c r="F301" s="10" t="s">
        <v>2875</v>
      </c>
      <c r="G301" s="10" t="s">
        <v>1161</v>
      </c>
      <c r="H301" s="10" t="s">
        <v>2768</v>
      </c>
      <c r="I301" s="11" t="s">
        <v>2876</v>
      </c>
    </row>
    <row r="302" spans="1:9" ht="45" customHeight="1">
      <c r="A302" s="8" t="s">
        <v>2282</v>
      </c>
      <c r="B302" s="8" t="s">
        <v>2283</v>
      </c>
      <c r="C302" s="8" t="s">
        <v>2766</v>
      </c>
      <c r="D302" s="8" t="s">
        <v>2766</v>
      </c>
      <c r="E302" s="8" t="s">
        <v>2766</v>
      </c>
      <c r="F302" s="8" t="s">
        <v>2875</v>
      </c>
      <c r="G302" s="8" t="s">
        <v>1161</v>
      </c>
      <c r="H302" s="8" t="s">
        <v>2768</v>
      </c>
      <c r="I302" s="9" t="s">
        <v>2876</v>
      </c>
    </row>
    <row r="303" spans="1:9" ht="45" customHeight="1">
      <c r="A303" s="10" t="s">
        <v>2287</v>
      </c>
      <c r="B303" s="10" t="s">
        <v>2288</v>
      </c>
      <c r="C303" s="10" t="s">
        <v>2766</v>
      </c>
      <c r="D303" s="10" t="s">
        <v>2766</v>
      </c>
      <c r="E303" s="10" t="s">
        <v>2766</v>
      </c>
      <c r="F303" s="10" t="s">
        <v>2875</v>
      </c>
      <c r="G303" s="10" t="s">
        <v>1161</v>
      </c>
      <c r="H303" s="10" t="s">
        <v>2768</v>
      </c>
      <c r="I303" s="11" t="s">
        <v>2876</v>
      </c>
    </row>
    <row r="304" spans="1:9" ht="45" customHeight="1">
      <c r="A304" s="8" t="s">
        <v>2290</v>
      </c>
      <c r="B304" s="8" t="s">
        <v>2291</v>
      </c>
      <c r="C304" s="8" t="s">
        <v>2766</v>
      </c>
      <c r="D304" s="8" t="s">
        <v>2766</v>
      </c>
      <c r="E304" s="8" t="s">
        <v>2766</v>
      </c>
      <c r="F304" s="8" t="s">
        <v>2875</v>
      </c>
      <c r="G304" s="8" t="s">
        <v>1161</v>
      </c>
      <c r="H304" s="8" t="s">
        <v>2768</v>
      </c>
      <c r="I304" s="9" t="s">
        <v>2876</v>
      </c>
    </row>
    <row r="305" spans="1:9" ht="45" customHeight="1">
      <c r="A305" s="10" t="s">
        <v>2293</v>
      </c>
      <c r="B305" s="10" t="s">
        <v>2294</v>
      </c>
      <c r="C305" s="10" t="s">
        <v>2766</v>
      </c>
      <c r="D305" s="10" t="s">
        <v>2766</v>
      </c>
      <c r="E305" s="10" t="s">
        <v>2766</v>
      </c>
      <c r="F305" s="10" t="s">
        <v>2875</v>
      </c>
      <c r="G305" s="10" t="s">
        <v>1126</v>
      </c>
      <c r="H305" s="10" t="s">
        <v>2768</v>
      </c>
      <c r="I305" s="11" t="s">
        <v>2876</v>
      </c>
    </row>
    <row r="306" spans="1:9" ht="45" customHeight="1">
      <c r="A306" s="8" t="s">
        <v>2296</v>
      </c>
      <c r="B306" s="8" t="s">
        <v>2297</v>
      </c>
      <c r="C306" s="8" t="s">
        <v>2766</v>
      </c>
      <c r="D306" s="8" t="s">
        <v>2766</v>
      </c>
      <c r="E306" s="8" t="s">
        <v>2766</v>
      </c>
      <c r="F306" s="8" t="s">
        <v>2875</v>
      </c>
      <c r="G306" s="8" t="s">
        <v>1161</v>
      </c>
      <c r="H306" s="8" t="s">
        <v>2768</v>
      </c>
      <c r="I306" s="9" t="s">
        <v>2876</v>
      </c>
    </row>
    <row r="307" spans="1:9" ht="45" customHeight="1">
      <c r="A307" s="10" t="s">
        <v>2300</v>
      </c>
      <c r="B307" s="10" t="s">
        <v>2301</v>
      </c>
      <c r="C307" s="10" t="s">
        <v>2766</v>
      </c>
      <c r="D307" s="10" t="s">
        <v>2766</v>
      </c>
      <c r="E307" s="10" t="s">
        <v>2766</v>
      </c>
      <c r="F307" s="10" t="s">
        <v>2875</v>
      </c>
      <c r="G307" s="10" t="s">
        <v>1161</v>
      </c>
      <c r="H307" s="10" t="s">
        <v>2768</v>
      </c>
      <c r="I307" s="11" t="s">
        <v>2876</v>
      </c>
    </row>
    <row r="308" spans="1:9" ht="45" customHeight="1">
      <c r="A308" s="8" t="s">
        <v>2303</v>
      </c>
      <c r="B308" s="8" t="s">
        <v>2304</v>
      </c>
      <c r="C308" s="8" t="s">
        <v>2766</v>
      </c>
      <c r="D308" s="8" t="s">
        <v>2766</v>
      </c>
      <c r="E308" s="8" t="s">
        <v>2766</v>
      </c>
      <c r="F308" s="8" t="s">
        <v>2875</v>
      </c>
      <c r="G308" s="8" t="s">
        <v>1161</v>
      </c>
      <c r="H308" s="8" t="s">
        <v>2768</v>
      </c>
      <c r="I308" s="9" t="s">
        <v>2876</v>
      </c>
    </row>
    <row r="309" spans="1:9" ht="45" customHeight="1">
      <c r="A309" s="10" t="s">
        <v>2306</v>
      </c>
      <c r="B309" s="10" t="s">
        <v>2307</v>
      </c>
      <c r="C309" s="10" t="s">
        <v>2766</v>
      </c>
      <c r="D309" s="10" t="s">
        <v>2766</v>
      </c>
      <c r="E309" s="10" t="s">
        <v>2766</v>
      </c>
      <c r="F309" s="10" t="s">
        <v>2875</v>
      </c>
      <c r="G309" s="10" t="s">
        <v>1161</v>
      </c>
      <c r="H309" s="10" t="s">
        <v>2768</v>
      </c>
      <c r="I309" s="11" t="s">
        <v>2876</v>
      </c>
    </row>
    <row r="310" spans="1:9" ht="45" customHeight="1">
      <c r="A310" s="8" t="s">
        <v>2309</v>
      </c>
      <c r="B310" s="8" t="s">
        <v>2310</v>
      </c>
      <c r="C310" s="8" t="s">
        <v>2766</v>
      </c>
      <c r="D310" s="8" t="s">
        <v>2766</v>
      </c>
      <c r="E310" s="8" t="s">
        <v>2766</v>
      </c>
      <c r="F310" s="8" t="s">
        <v>2875</v>
      </c>
      <c r="G310" s="8" t="s">
        <v>1161</v>
      </c>
      <c r="H310" s="8" t="s">
        <v>2768</v>
      </c>
      <c r="I310" s="9" t="s">
        <v>2876</v>
      </c>
    </row>
    <row r="311" spans="1:9" ht="45" customHeight="1">
      <c r="A311" s="10" t="s">
        <v>2313</v>
      </c>
      <c r="B311" s="10" t="s">
        <v>2314</v>
      </c>
      <c r="C311" s="10" t="s">
        <v>2766</v>
      </c>
      <c r="D311" s="10" t="s">
        <v>2766</v>
      </c>
      <c r="E311" s="10" t="s">
        <v>2766</v>
      </c>
      <c r="F311" s="10" t="s">
        <v>2875</v>
      </c>
      <c r="G311" s="10" t="s">
        <v>1161</v>
      </c>
      <c r="H311" s="10" t="s">
        <v>2768</v>
      </c>
      <c r="I311" s="11" t="s">
        <v>2876</v>
      </c>
    </row>
    <row r="312" spans="1:9" ht="45" customHeight="1">
      <c r="A312" s="8" t="s">
        <v>2317</v>
      </c>
      <c r="B312" s="8" t="s">
        <v>2318</v>
      </c>
      <c r="C312" s="8" t="s">
        <v>2766</v>
      </c>
      <c r="D312" s="8" t="s">
        <v>2766</v>
      </c>
      <c r="E312" s="8" t="s">
        <v>2766</v>
      </c>
      <c r="F312" s="8" t="s">
        <v>2875</v>
      </c>
      <c r="G312" s="8" t="s">
        <v>1161</v>
      </c>
      <c r="H312" s="8" t="s">
        <v>2768</v>
      </c>
      <c r="I312" s="9" t="s">
        <v>2876</v>
      </c>
    </row>
    <row r="313" spans="1:9" ht="45" customHeight="1">
      <c r="A313" s="10" t="s">
        <v>2321</v>
      </c>
      <c r="B313" s="10" t="s">
        <v>2322</v>
      </c>
      <c r="C313" s="10" t="s">
        <v>2766</v>
      </c>
      <c r="D313" s="10" t="s">
        <v>2766</v>
      </c>
      <c r="E313" s="10" t="s">
        <v>2766</v>
      </c>
      <c r="F313" s="10" t="s">
        <v>2875</v>
      </c>
      <c r="G313" s="10" t="s">
        <v>1161</v>
      </c>
      <c r="H313" s="10" t="s">
        <v>2768</v>
      </c>
      <c r="I313" s="11" t="s">
        <v>2876</v>
      </c>
    </row>
    <row r="314" spans="1:9" ht="45" customHeight="1">
      <c r="A314" s="8" t="s">
        <v>2324</v>
      </c>
      <c r="B314" s="8" t="s">
        <v>2325</v>
      </c>
      <c r="C314" s="8" t="s">
        <v>2766</v>
      </c>
      <c r="D314" s="8" t="s">
        <v>2766</v>
      </c>
      <c r="E314" s="8" t="s">
        <v>2766</v>
      </c>
      <c r="F314" s="8" t="s">
        <v>2875</v>
      </c>
      <c r="G314" s="8" t="s">
        <v>1161</v>
      </c>
      <c r="H314" s="8" t="s">
        <v>2768</v>
      </c>
      <c r="I314" s="9" t="s">
        <v>2876</v>
      </c>
    </row>
    <row r="315" spans="1:9" ht="45" customHeight="1">
      <c r="A315" s="10" t="s">
        <v>2327</v>
      </c>
      <c r="B315" s="10" t="s">
        <v>2328</v>
      </c>
      <c r="C315" s="10" t="s">
        <v>2766</v>
      </c>
      <c r="D315" s="10" t="s">
        <v>2766</v>
      </c>
      <c r="E315" s="10" t="s">
        <v>2766</v>
      </c>
      <c r="F315" s="10" t="s">
        <v>2875</v>
      </c>
      <c r="G315" s="10" t="s">
        <v>1161</v>
      </c>
      <c r="H315" s="10" t="s">
        <v>2768</v>
      </c>
      <c r="I315" s="11" t="s">
        <v>2876</v>
      </c>
    </row>
    <row r="316" spans="1:9" ht="45" customHeight="1">
      <c r="A316" s="8" t="s">
        <v>2330</v>
      </c>
      <c r="B316" s="8" t="s">
        <v>2331</v>
      </c>
      <c r="C316" s="8" t="s">
        <v>2766</v>
      </c>
      <c r="D316" s="8" t="s">
        <v>2766</v>
      </c>
      <c r="E316" s="8" t="s">
        <v>2766</v>
      </c>
      <c r="F316" s="8" t="s">
        <v>2875</v>
      </c>
      <c r="G316" s="8" t="s">
        <v>1161</v>
      </c>
      <c r="H316" s="8" t="s">
        <v>2768</v>
      </c>
      <c r="I316" s="9" t="s">
        <v>2876</v>
      </c>
    </row>
    <row r="317" spans="1:9" ht="45" customHeight="1">
      <c r="A317" s="10" t="s">
        <v>2333</v>
      </c>
      <c r="B317" s="10" t="s">
        <v>2334</v>
      </c>
      <c r="C317" s="10" t="s">
        <v>2766</v>
      </c>
      <c r="D317" s="10" t="s">
        <v>2766</v>
      </c>
      <c r="E317" s="10" t="s">
        <v>2766</v>
      </c>
      <c r="F317" s="10" t="s">
        <v>2875</v>
      </c>
      <c r="G317" s="10" t="s">
        <v>1161</v>
      </c>
      <c r="H317" s="10" t="s">
        <v>2768</v>
      </c>
      <c r="I317" s="11" t="s">
        <v>2876</v>
      </c>
    </row>
    <row r="318" spans="1:9" ht="45" customHeight="1">
      <c r="A318" s="8" t="s">
        <v>2336</v>
      </c>
      <c r="B318" s="8" t="s">
        <v>2337</v>
      </c>
      <c r="C318" s="8" t="s">
        <v>2766</v>
      </c>
      <c r="D318" s="8" t="s">
        <v>2766</v>
      </c>
      <c r="E318" s="8" t="s">
        <v>2766</v>
      </c>
      <c r="F318" s="8" t="s">
        <v>2875</v>
      </c>
      <c r="G318" s="8" t="s">
        <v>1161</v>
      </c>
      <c r="H318" s="8" t="s">
        <v>2768</v>
      </c>
      <c r="I318" s="9" t="s">
        <v>2876</v>
      </c>
    </row>
    <row r="319" spans="1:9" ht="45" customHeight="1">
      <c r="A319" s="10" t="s">
        <v>2339</v>
      </c>
      <c r="B319" s="10" t="s">
        <v>2340</v>
      </c>
      <c r="C319" s="10" t="s">
        <v>2766</v>
      </c>
      <c r="D319" s="10" t="s">
        <v>2766</v>
      </c>
      <c r="E319" s="10" t="s">
        <v>2766</v>
      </c>
      <c r="F319" s="10" t="s">
        <v>2875</v>
      </c>
      <c r="G319" s="10" t="s">
        <v>1161</v>
      </c>
      <c r="H319" s="10" t="s">
        <v>2768</v>
      </c>
      <c r="I319" s="11" t="s">
        <v>2876</v>
      </c>
    </row>
    <row r="320" spans="1:9" ht="45" customHeight="1">
      <c r="A320" s="8" t="s">
        <v>2342</v>
      </c>
      <c r="B320" s="8" t="s">
        <v>2343</v>
      </c>
      <c r="C320" s="8" t="s">
        <v>2766</v>
      </c>
      <c r="D320" s="8" t="s">
        <v>2766</v>
      </c>
      <c r="E320" s="8" t="s">
        <v>2766</v>
      </c>
      <c r="F320" s="8" t="s">
        <v>2875</v>
      </c>
      <c r="G320" s="8" t="s">
        <v>1161</v>
      </c>
      <c r="H320" s="8" t="s">
        <v>2768</v>
      </c>
      <c r="I320" s="9" t="s">
        <v>2876</v>
      </c>
    </row>
    <row r="321" spans="1:9" ht="45" customHeight="1">
      <c r="A321" s="10" t="s">
        <v>2345</v>
      </c>
      <c r="B321" s="10" t="s">
        <v>2346</v>
      </c>
      <c r="C321" s="10" t="s">
        <v>2766</v>
      </c>
      <c r="D321" s="10" t="s">
        <v>2766</v>
      </c>
      <c r="E321" s="10" t="s">
        <v>2766</v>
      </c>
      <c r="F321" s="10" t="s">
        <v>2875</v>
      </c>
      <c r="G321" s="10" t="s">
        <v>1161</v>
      </c>
      <c r="H321" s="10" t="s">
        <v>2768</v>
      </c>
      <c r="I321" s="11" t="s">
        <v>2876</v>
      </c>
    </row>
    <row r="322" spans="1:9" ht="45" customHeight="1">
      <c r="A322" s="8" t="s">
        <v>2349</v>
      </c>
      <c r="B322" s="8" t="s">
        <v>2350</v>
      </c>
      <c r="C322" s="8" t="s">
        <v>2766</v>
      </c>
      <c r="D322" s="8" t="s">
        <v>2766</v>
      </c>
      <c r="E322" s="8" t="s">
        <v>2766</v>
      </c>
      <c r="F322" s="8" t="s">
        <v>2875</v>
      </c>
      <c r="G322" s="8" t="s">
        <v>1161</v>
      </c>
      <c r="H322" s="8" t="s">
        <v>2768</v>
      </c>
      <c r="I322" s="9" t="s">
        <v>2876</v>
      </c>
    </row>
    <row r="323" spans="1:9" ht="45" customHeight="1">
      <c r="A323" s="10" t="s">
        <v>2352</v>
      </c>
      <c r="B323" s="10" t="s">
        <v>2353</v>
      </c>
      <c r="C323" s="10" t="s">
        <v>2766</v>
      </c>
      <c r="D323" s="10" t="s">
        <v>2766</v>
      </c>
      <c r="E323" s="10" t="s">
        <v>2766</v>
      </c>
      <c r="F323" s="10" t="s">
        <v>2875</v>
      </c>
      <c r="G323" s="10" t="s">
        <v>1161</v>
      </c>
      <c r="H323" s="10" t="s">
        <v>2768</v>
      </c>
      <c r="I323" s="11" t="s">
        <v>2876</v>
      </c>
    </row>
    <row r="324" spans="1:9" ht="45" customHeight="1">
      <c r="A324" s="8" t="s">
        <v>2355</v>
      </c>
      <c r="B324" s="8" t="s">
        <v>2356</v>
      </c>
      <c r="C324" s="8" t="s">
        <v>2766</v>
      </c>
      <c r="D324" s="8" t="s">
        <v>2766</v>
      </c>
      <c r="E324" s="8" t="s">
        <v>2766</v>
      </c>
      <c r="F324" s="8" t="s">
        <v>2875</v>
      </c>
      <c r="G324" s="8" t="s">
        <v>1161</v>
      </c>
      <c r="H324" s="8" t="s">
        <v>2768</v>
      </c>
      <c r="I324" s="9" t="s">
        <v>2876</v>
      </c>
    </row>
    <row r="325" spans="1:9" ht="45" customHeight="1">
      <c r="A325" s="10" t="s">
        <v>2358</v>
      </c>
      <c r="B325" s="10" t="s">
        <v>2359</v>
      </c>
      <c r="C325" s="10" t="s">
        <v>2766</v>
      </c>
      <c r="D325" s="10" t="s">
        <v>2766</v>
      </c>
      <c r="E325" s="10" t="s">
        <v>2766</v>
      </c>
      <c r="F325" s="10" t="s">
        <v>2875</v>
      </c>
      <c r="G325" s="10" t="s">
        <v>1161</v>
      </c>
      <c r="H325" s="10" t="s">
        <v>2768</v>
      </c>
      <c r="I325" s="11" t="s">
        <v>2876</v>
      </c>
    </row>
    <row r="326" spans="1:9" ht="45" customHeight="1">
      <c r="A326" s="8" t="s">
        <v>2361</v>
      </c>
      <c r="B326" s="8" t="s">
        <v>2362</v>
      </c>
      <c r="C326" s="8" t="s">
        <v>2766</v>
      </c>
      <c r="D326" s="8" t="s">
        <v>2766</v>
      </c>
      <c r="E326" s="8" t="s">
        <v>2766</v>
      </c>
      <c r="F326" s="8" t="s">
        <v>2875</v>
      </c>
      <c r="G326" s="8" t="s">
        <v>1161</v>
      </c>
      <c r="H326" s="8" t="s">
        <v>2768</v>
      </c>
      <c r="I326" s="9" t="s">
        <v>2876</v>
      </c>
    </row>
    <row r="327" spans="1:9" ht="45" customHeight="1">
      <c r="A327" s="10" t="s">
        <v>2364</v>
      </c>
      <c r="B327" s="10" t="s">
        <v>2365</v>
      </c>
      <c r="C327" s="10" t="s">
        <v>2766</v>
      </c>
      <c r="D327" s="10" t="s">
        <v>2766</v>
      </c>
      <c r="E327" s="10" t="s">
        <v>2766</v>
      </c>
      <c r="F327" s="10" t="s">
        <v>2875</v>
      </c>
      <c r="G327" s="10" t="s">
        <v>1161</v>
      </c>
      <c r="H327" s="10" t="s">
        <v>2768</v>
      </c>
      <c r="I327" s="11" t="s">
        <v>2876</v>
      </c>
    </row>
    <row r="328" spans="1:9" ht="45" customHeight="1">
      <c r="A328" s="8" t="s">
        <v>2367</v>
      </c>
      <c r="B328" s="8" t="s">
        <v>2368</v>
      </c>
      <c r="C328" s="8" t="s">
        <v>2766</v>
      </c>
      <c r="D328" s="8" t="s">
        <v>2766</v>
      </c>
      <c r="E328" s="8" t="s">
        <v>2766</v>
      </c>
      <c r="F328" s="8" t="s">
        <v>2875</v>
      </c>
      <c r="G328" s="8" t="s">
        <v>1161</v>
      </c>
      <c r="H328" s="8" t="s">
        <v>2768</v>
      </c>
      <c r="I328" s="9" t="s">
        <v>2876</v>
      </c>
    </row>
    <row r="329" spans="1:9" ht="45" customHeight="1">
      <c r="A329" s="10" t="s">
        <v>2370</v>
      </c>
      <c r="B329" s="10" t="s">
        <v>2371</v>
      </c>
      <c r="C329" s="10" t="s">
        <v>2766</v>
      </c>
      <c r="D329" s="10" t="s">
        <v>2766</v>
      </c>
      <c r="E329" s="10" t="s">
        <v>2766</v>
      </c>
      <c r="F329" s="10" t="s">
        <v>2875</v>
      </c>
      <c r="G329" s="10" t="s">
        <v>1161</v>
      </c>
      <c r="H329" s="10" t="s">
        <v>2768</v>
      </c>
      <c r="I329" s="11" t="s">
        <v>2876</v>
      </c>
    </row>
    <row r="330" spans="1:9" ht="45" customHeight="1">
      <c r="A330" s="8" t="s">
        <v>2373</v>
      </c>
      <c r="B330" s="8" t="s">
        <v>2374</v>
      </c>
      <c r="C330" s="8" t="s">
        <v>2766</v>
      </c>
      <c r="D330" s="8" t="s">
        <v>2766</v>
      </c>
      <c r="E330" s="8" t="s">
        <v>2766</v>
      </c>
      <c r="F330" s="8" t="s">
        <v>2875</v>
      </c>
      <c r="G330" s="8" t="s">
        <v>1161</v>
      </c>
      <c r="H330" s="8" t="s">
        <v>2768</v>
      </c>
      <c r="I330" s="9" t="s">
        <v>2876</v>
      </c>
    </row>
    <row r="331" spans="1:9" ht="45" customHeight="1">
      <c r="A331" s="10" t="s">
        <v>2376</v>
      </c>
      <c r="B331" s="10" t="s">
        <v>2377</v>
      </c>
      <c r="C331" s="10" t="s">
        <v>2766</v>
      </c>
      <c r="D331" s="10" t="s">
        <v>2766</v>
      </c>
      <c r="E331" s="10" t="s">
        <v>2766</v>
      </c>
      <c r="F331" s="10" t="s">
        <v>2875</v>
      </c>
      <c r="G331" s="10" t="s">
        <v>1161</v>
      </c>
      <c r="H331" s="10" t="s">
        <v>2768</v>
      </c>
      <c r="I331" s="11" t="s">
        <v>2876</v>
      </c>
    </row>
    <row r="332" spans="1:9" ht="45" customHeight="1">
      <c r="A332" s="8" t="s">
        <v>2379</v>
      </c>
      <c r="B332" s="8" t="s">
        <v>2380</v>
      </c>
      <c r="C332" s="8" t="s">
        <v>2766</v>
      </c>
      <c r="D332" s="8" t="s">
        <v>2766</v>
      </c>
      <c r="E332" s="8" t="s">
        <v>2766</v>
      </c>
      <c r="F332" s="8" t="s">
        <v>2875</v>
      </c>
      <c r="G332" s="8" t="s">
        <v>1126</v>
      </c>
      <c r="H332" s="8" t="s">
        <v>2768</v>
      </c>
      <c r="I332" s="9" t="s">
        <v>2876</v>
      </c>
    </row>
    <row r="333" spans="1:9" ht="45" customHeight="1">
      <c r="A333" s="10" t="s">
        <v>2382</v>
      </c>
      <c r="B333" s="10" t="s">
        <v>2383</v>
      </c>
      <c r="C333" s="10" t="s">
        <v>2766</v>
      </c>
      <c r="D333" s="10" t="s">
        <v>2766</v>
      </c>
      <c r="E333" s="10" t="s">
        <v>2766</v>
      </c>
      <c r="F333" s="10" t="s">
        <v>2875</v>
      </c>
      <c r="G333" s="10" t="s">
        <v>1161</v>
      </c>
      <c r="H333" s="10" t="s">
        <v>2768</v>
      </c>
      <c r="I333" s="11" t="s">
        <v>2876</v>
      </c>
    </row>
    <row r="334" spans="1:9" ht="34" customHeight="1">
      <c r="A334" s="8" t="s">
        <v>2385</v>
      </c>
      <c r="B334" s="8" t="s">
        <v>2386</v>
      </c>
      <c r="C334" s="8" t="s">
        <v>2770</v>
      </c>
      <c r="D334" s="8" t="s">
        <v>2770</v>
      </c>
      <c r="E334" s="8" t="s">
        <v>2770</v>
      </c>
      <c r="F334" s="8" t="s">
        <v>2771</v>
      </c>
      <c r="G334" s="12" t="s">
        <v>1136</v>
      </c>
      <c r="H334" s="12" t="s">
        <v>2772</v>
      </c>
      <c r="I334" s="9" t="s">
        <v>2769</v>
      </c>
    </row>
    <row r="335" spans="1:9" ht="34" customHeight="1">
      <c r="A335" s="10" t="s">
        <v>2389</v>
      </c>
      <c r="B335" s="10" t="s">
        <v>2390</v>
      </c>
      <c r="C335" s="10" t="s">
        <v>2770</v>
      </c>
      <c r="D335" s="10" t="s">
        <v>2770</v>
      </c>
      <c r="E335" s="10" t="s">
        <v>2770</v>
      </c>
      <c r="F335" s="10" t="s">
        <v>2771</v>
      </c>
      <c r="G335" s="12" t="s">
        <v>1136</v>
      </c>
      <c r="H335" s="12" t="s">
        <v>2772</v>
      </c>
      <c r="I335" s="11" t="s">
        <v>2769</v>
      </c>
    </row>
    <row r="336" spans="1:9" ht="34" customHeight="1">
      <c r="A336" s="8" t="s">
        <v>2393</v>
      </c>
      <c r="B336" s="8" t="s">
        <v>2394</v>
      </c>
      <c r="C336" s="8" t="s">
        <v>2770</v>
      </c>
      <c r="D336" s="8" t="s">
        <v>2770</v>
      </c>
      <c r="E336" s="8" t="s">
        <v>2770</v>
      </c>
      <c r="F336" s="8" t="s">
        <v>2771</v>
      </c>
      <c r="G336" s="12" t="s">
        <v>1136</v>
      </c>
      <c r="H336" s="12" t="s">
        <v>2772</v>
      </c>
      <c r="I336" s="9" t="s">
        <v>2769</v>
      </c>
    </row>
    <row r="337" spans="1:9" ht="45" customHeight="1">
      <c r="A337" s="10" t="s">
        <v>2398</v>
      </c>
      <c r="B337" s="10" t="s">
        <v>2399</v>
      </c>
      <c r="C337" s="10" t="s">
        <v>2766</v>
      </c>
      <c r="D337" s="10" t="s">
        <v>2766</v>
      </c>
      <c r="E337" s="10" t="s">
        <v>2766</v>
      </c>
      <c r="F337" s="10" t="s">
        <v>2780</v>
      </c>
      <c r="G337" s="10" t="s">
        <v>1126</v>
      </c>
      <c r="H337" s="10" t="s">
        <v>2768</v>
      </c>
      <c r="I337" s="11" t="s">
        <v>2781</v>
      </c>
    </row>
    <row r="338" spans="1:9" ht="45" customHeight="1">
      <c r="A338" s="8" t="s">
        <v>2401</v>
      </c>
      <c r="B338" s="8" t="s">
        <v>2402</v>
      </c>
      <c r="C338" s="8" t="s">
        <v>2766</v>
      </c>
      <c r="D338" s="8" t="s">
        <v>2766</v>
      </c>
      <c r="E338" s="8" t="s">
        <v>2766</v>
      </c>
      <c r="F338" s="8" t="s">
        <v>2767</v>
      </c>
      <c r="G338" s="8" t="s">
        <v>1126</v>
      </c>
      <c r="H338" s="8" t="s">
        <v>2768</v>
      </c>
      <c r="I338" s="9" t="s">
        <v>2769</v>
      </c>
    </row>
    <row r="339" spans="1:9" ht="45" customHeight="1">
      <c r="A339" s="10" t="s">
        <v>2405</v>
      </c>
      <c r="B339" s="10" t="s">
        <v>2406</v>
      </c>
      <c r="C339" s="10" t="s">
        <v>2766</v>
      </c>
      <c r="D339" s="10" t="s">
        <v>2766</v>
      </c>
      <c r="E339" s="10" t="s">
        <v>2766</v>
      </c>
      <c r="F339" s="10" t="s">
        <v>2767</v>
      </c>
      <c r="G339" s="10" t="s">
        <v>1126</v>
      </c>
      <c r="H339" s="10" t="s">
        <v>2768</v>
      </c>
      <c r="I339" s="11" t="s">
        <v>2769</v>
      </c>
    </row>
    <row r="340" spans="1:9" ht="45" customHeight="1">
      <c r="A340" s="8" t="s">
        <v>2410</v>
      </c>
      <c r="B340" s="8" t="s">
        <v>2411</v>
      </c>
      <c r="C340" s="8" t="s">
        <v>2766</v>
      </c>
      <c r="D340" s="8" t="s">
        <v>2766</v>
      </c>
      <c r="E340" s="8" t="s">
        <v>2766</v>
      </c>
      <c r="F340" s="8" t="s">
        <v>2767</v>
      </c>
      <c r="G340" s="8" t="s">
        <v>1126</v>
      </c>
      <c r="H340" s="8" t="s">
        <v>2768</v>
      </c>
      <c r="I340" s="9" t="s">
        <v>2769</v>
      </c>
    </row>
    <row r="341" spans="1:9" ht="45" customHeight="1">
      <c r="A341" s="10" t="s">
        <v>2414</v>
      </c>
      <c r="B341" s="10" t="s">
        <v>2415</v>
      </c>
      <c r="C341" s="10" t="s">
        <v>2766</v>
      </c>
      <c r="D341" s="10" t="s">
        <v>2766</v>
      </c>
      <c r="E341" s="10" t="s">
        <v>2766</v>
      </c>
      <c r="F341" s="10" t="s">
        <v>2816</v>
      </c>
      <c r="G341" s="10" t="s">
        <v>1126</v>
      </c>
      <c r="H341" s="10" t="s">
        <v>2768</v>
      </c>
      <c r="I341" s="11" t="s">
        <v>605</v>
      </c>
    </row>
    <row r="342" spans="1:9" ht="45" customHeight="1">
      <c r="A342" s="8" t="s">
        <v>2418</v>
      </c>
      <c r="B342" s="8" t="s">
        <v>2419</v>
      </c>
      <c r="C342" s="8" t="s">
        <v>2766</v>
      </c>
      <c r="D342" s="8" t="s">
        <v>2766</v>
      </c>
      <c r="E342" s="8" t="s">
        <v>2766</v>
      </c>
      <c r="F342" s="8" t="s">
        <v>2816</v>
      </c>
      <c r="G342" s="8" t="s">
        <v>1126</v>
      </c>
      <c r="H342" s="8" t="s">
        <v>2768</v>
      </c>
      <c r="I342" s="9" t="s">
        <v>605</v>
      </c>
    </row>
    <row r="343" spans="1:9" ht="45" customHeight="1">
      <c r="A343" s="10" t="s">
        <v>2421</v>
      </c>
      <c r="B343" s="10" t="s">
        <v>2422</v>
      </c>
      <c r="C343" s="10" t="s">
        <v>2766</v>
      </c>
      <c r="D343" s="10" t="s">
        <v>2766</v>
      </c>
      <c r="E343" s="10" t="s">
        <v>2766</v>
      </c>
      <c r="F343" s="10" t="s">
        <v>2780</v>
      </c>
      <c r="G343" s="10" t="s">
        <v>1126</v>
      </c>
      <c r="H343" s="10" t="s">
        <v>2768</v>
      </c>
      <c r="I343" s="11" t="s">
        <v>2781</v>
      </c>
    </row>
    <row r="344" spans="1:9" ht="45" customHeight="1">
      <c r="A344" s="8" t="s">
        <v>2427</v>
      </c>
      <c r="B344" s="8" t="s">
        <v>2428</v>
      </c>
      <c r="C344" s="8" t="s">
        <v>2877</v>
      </c>
      <c r="D344" s="8" t="s">
        <v>2877</v>
      </c>
      <c r="E344" s="8" t="s">
        <v>2877</v>
      </c>
      <c r="F344" s="8" t="s">
        <v>2878</v>
      </c>
      <c r="G344" s="8" t="s">
        <v>1126</v>
      </c>
      <c r="H344" s="8" t="s">
        <v>2775</v>
      </c>
      <c r="I344" s="9" t="s">
        <v>2879</v>
      </c>
    </row>
    <row r="345" spans="1:9" ht="45" customHeight="1">
      <c r="A345" s="10" t="s">
        <v>2432</v>
      </c>
      <c r="B345" s="10" t="s">
        <v>2433</v>
      </c>
      <c r="C345" s="10" t="s">
        <v>2766</v>
      </c>
      <c r="D345" s="10" t="s">
        <v>2766</v>
      </c>
      <c r="E345" s="10" t="s">
        <v>2766</v>
      </c>
      <c r="F345" s="10" t="s">
        <v>2780</v>
      </c>
      <c r="G345" s="10" t="s">
        <v>1126</v>
      </c>
      <c r="H345" s="10" t="s">
        <v>2768</v>
      </c>
      <c r="I345" s="11" t="s">
        <v>2781</v>
      </c>
    </row>
    <row r="346" spans="1:9" ht="45" customHeight="1">
      <c r="A346" s="8" t="s">
        <v>2436</v>
      </c>
      <c r="B346" s="8" t="s">
        <v>2437</v>
      </c>
      <c r="C346" s="8" t="s">
        <v>2766</v>
      </c>
      <c r="D346" s="8" t="s">
        <v>2766</v>
      </c>
      <c r="E346" s="8" t="s">
        <v>2766</v>
      </c>
      <c r="F346" s="8" t="s">
        <v>2816</v>
      </c>
      <c r="G346" s="8" t="s">
        <v>1126</v>
      </c>
      <c r="H346" s="8" t="s">
        <v>2768</v>
      </c>
      <c r="I346" s="9" t="s">
        <v>605</v>
      </c>
    </row>
    <row r="347" spans="1:9" ht="45" customHeight="1">
      <c r="A347" s="10" t="s">
        <v>2440</v>
      </c>
      <c r="B347" s="10" t="s">
        <v>2441</v>
      </c>
      <c r="C347" s="10" t="s">
        <v>2766</v>
      </c>
      <c r="D347" s="10" t="s">
        <v>2766</v>
      </c>
      <c r="E347" s="10" t="s">
        <v>2766</v>
      </c>
      <c r="F347" s="10" t="s">
        <v>2816</v>
      </c>
      <c r="G347" s="10" t="s">
        <v>1126</v>
      </c>
      <c r="H347" s="10" t="s">
        <v>2768</v>
      </c>
      <c r="I347" s="11" t="s">
        <v>605</v>
      </c>
    </row>
    <row r="348" spans="1:9" ht="34" customHeight="1">
      <c r="A348" s="8" t="s">
        <v>2444</v>
      </c>
      <c r="B348" s="8" t="s">
        <v>2445</v>
      </c>
      <c r="C348" s="8" t="s">
        <v>2770</v>
      </c>
      <c r="D348" s="8" t="s">
        <v>2770</v>
      </c>
      <c r="E348" s="8" t="s">
        <v>2770</v>
      </c>
      <c r="F348" s="8" t="s">
        <v>2771</v>
      </c>
      <c r="G348" s="12" t="s">
        <v>1136</v>
      </c>
      <c r="H348" s="12" t="s">
        <v>2772</v>
      </c>
      <c r="I348" s="9" t="s">
        <v>575</v>
      </c>
    </row>
    <row r="349" spans="1:9" ht="34" customHeight="1">
      <c r="A349" s="10" t="s">
        <v>2448</v>
      </c>
      <c r="B349" s="10" t="s">
        <v>2449</v>
      </c>
      <c r="C349" s="10" t="s">
        <v>2770</v>
      </c>
      <c r="D349" s="10" t="s">
        <v>2770</v>
      </c>
      <c r="E349" s="10" t="s">
        <v>2770</v>
      </c>
      <c r="F349" s="10" t="s">
        <v>2771</v>
      </c>
      <c r="G349" s="12" t="s">
        <v>1136</v>
      </c>
      <c r="H349" s="12" t="s">
        <v>2772</v>
      </c>
      <c r="I349" s="11" t="s">
        <v>575</v>
      </c>
    </row>
    <row r="350" spans="1:9" ht="45" customHeight="1">
      <c r="A350" s="8" t="s">
        <v>2451</v>
      </c>
      <c r="B350" s="8" t="s">
        <v>2452</v>
      </c>
      <c r="C350" s="8" t="s">
        <v>2766</v>
      </c>
      <c r="D350" s="8" t="s">
        <v>2766</v>
      </c>
      <c r="E350" s="8" t="s">
        <v>2766</v>
      </c>
      <c r="F350" s="8" t="s">
        <v>2799</v>
      </c>
      <c r="G350" s="8" t="s">
        <v>1161</v>
      </c>
      <c r="H350" s="8" t="s">
        <v>2768</v>
      </c>
      <c r="I350" s="9" t="s">
        <v>575</v>
      </c>
    </row>
    <row r="351" spans="1:9" ht="45" customHeight="1">
      <c r="A351" s="10" t="s">
        <v>2454</v>
      </c>
      <c r="B351" s="10" t="s">
        <v>2455</v>
      </c>
      <c r="C351" s="10" t="s">
        <v>2766</v>
      </c>
      <c r="D351" s="10" t="s">
        <v>2766</v>
      </c>
      <c r="E351" s="10" t="s">
        <v>2766</v>
      </c>
      <c r="F351" s="10" t="s">
        <v>2799</v>
      </c>
      <c r="G351" s="10" t="s">
        <v>1126</v>
      </c>
      <c r="H351" s="10" t="s">
        <v>2768</v>
      </c>
      <c r="I351" s="11" t="s">
        <v>575</v>
      </c>
    </row>
    <row r="352" spans="1:9" ht="45" customHeight="1">
      <c r="A352" s="8" t="s">
        <v>2459</v>
      </c>
      <c r="B352" s="8" t="s">
        <v>2460</v>
      </c>
      <c r="C352" s="8" t="s">
        <v>2766</v>
      </c>
      <c r="D352" s="8" t="s">
        <v>2766</v>
      </c>
      <c r="E352" s="8" t="s">
        <v>2766</v>
      </c>
      <c r="F352" s="8" t="s">
        <v>2799</v>
      </c>
      <c r="G352" s="8" t="s">
        <v>1126</v>
      </c>
      <c r="H352" s="8" t="s">
        <v>2768</v>
      </c>
      <c r="I352" s="9" t="s">
        <v>575</v>
      </c>
    </row>
    <row r="353" spans="1:9" ht="45" customHeight="1">
      <c r="A353" s="10" t="s">
        <v>2462</v>
      </c>
      <c r="B353" s="10" t="s">
        <v>2463</v>
      </c>
      <c r="C353" s="10" t="s">
        <v>2766</v>
      </c>
      <c r="D353" s="10" t="s">
        <v>2766</v>
      </c>
      <c r="E353" s="10" t="s">
        <v>2766</v>
      </c>
      <c r="F353" s="10" t="s">
        <v>2799</v>
      </c>
      <c r="G353" s="10" t="s">
        <v>1126</v>
      </c>
      <c r="H353" s="10" t="s">
        <v>2768</v>
      </c>
      <c r="I353" s="11" t="s">
        <v>575</v>
      </c>
    </row>
    <row r="354" spans="1:9" ht="45" customHeight="1">
      <c r="A354" s="8" t="s">
        <v>2467</v>
      </c>
      <c r="B354" s="8" t="s">
        <v>2468</v>
      </c>
      <c r="C354" s="8" t="s">
        <v>2766</v>
      </c>
      <c r="D354" s="8" t="s">
        <v>2766</v>
      </c>
      <c r="E354" s="8" t="s">
        <v>2766</v>
      </c>
      <c r="F354" s="8" t="s">
        <v>2799</v>
      </c>
      <c r="G354" s="8" t="s">
        <v>1126</v>
      </c>
      <c r="H354" s="8" t="s">
        <v>2768</v>
      </c>
      <c r="I354" s="9" t="s">
        <v>575</v>
      </c>
    </row>
    <row r="355" spans="1:9" ht="45" customHeight="1">
      <c r="A355" s="10" t="s">
        <v>2470</v>
      </c>
      <c r="B355" s="10" t="s">
        <v>2471</v>
      </c>
      <c r="C355" s="10" t="s">
        <v>2766</v>
      </c>
      <c r="D355" s="10" t="s">
        <v>2766</v>
      </c>
      <c r="E355" s="10" t="s">
        <v>2766</v>
      </c>
      <c r="F355" s="10" t="s">
        <v>2799</v>
      </c>
      <c r="G355" s="10" t="s">
        <v>1126</v>
      </c>
      <c r="H355" s="10" t="s">
        <v>2768</v>
      </c>
      <c r="I355" s="11" t="s">
        <v>575</v>
      </c>
    </row>
    <row r="356" spans="1:9" ht="45" customHeight="1">
      <c r="A356" s="8" t="s">
        <v>2474</v>
      </c>
      <c r="B356" s="8" t="s">
        <v>2475</v>
      </c>
      <c r="C356" s="8" t="s">
        <v>2766</v>
      </c>
      <c r="D356" s="8" t="s">
        <v>2766</v>
      </c>
      <c r="E356" s="8" t="s">
        <v>2766</v>
      </c>
      <c r="F356" s="8" t="s">
        <v>2799</v>
      </c>
      <c r="G356" s="8" t="s">
        <v>1126</v>
      </c>
      <c r="H356" s="8" t="s">
        <v>2768</v>
      </c>
      <c r="I356" s="9" t="s">
        <v>575</v>
      </c>
    </row>
    <row r="357" spans="1:9" ht="45" customHeight="1">
      <c r="A357" s="10" t="s">
        <v>2477</v>
      </c>
      <c r="B357" s="10" t="s">
        <v>2478</v>
      </c>
      <c r="C357" s="10" t="s">
        <v>2766</v>
      </c>
      <c r="D357" s="10" t="s">
        <v>2766</v>
      </c>
      <c r="E357" s="10" t="s">
        <v>2766</v>
      </c>
      <c r="F357" s="10" t="s">
        <v>2799</v>
      </c>
      <c r="G357" s="10" t="s">
        <v>1161</v>
      </c>
      <c r="H357" s="10" t="s">
        <v>2768</v>
      </c>
      <c r="I357" s="11" t="s">
        <v>575</v>
      </c>
    </row>
    <row r="358" spans="1:9" ht="45" customHeight="1">
      <c r="A358" s="8" t="s">
        <v>2481</v>
      </c>
      <c r="B358" s="8" t="s">
        <v>2482</v>
      </c>
      <c r="C358" s="8" t="s">
        <v>2766</v>
      </c>
      <c r="D358" s="8" t="s">
        <v>2766</v>
      </c>
      <c r="E358" s="8" t="s">
        <v>2766</v>
      </c>
      <c r="F358" s="8" t="s">
        <v>2799</v>
      </c>
      <c r="G358" s="8" t="s">
        <v>1126</v>
      </c>
      <c r="H358" s="8" t="s">
        <v>2768</v>
      </c>
      <c r="I358" s="9" t="s">
        <v>575</v>
      </c>
    </row>
    <row r="359" spans="1:9" ht="45" customHeight="1">
      <c r="A359" s="10" t="s">
        <v>2484</v>
      </c>
      <c r="B359" s="10" t="s">
        <v>2485</v>
      </c>
      <c r="C359" s="10" t="s">
        <v>2766</v>
      </c>
      <c r="D359" s="10" t="s">
        <v>2766</v>
      </c>
      <c r="E359" s="10" t="s">
        <v>2766</v>
      </c>
      <c r="F359" s="10" t="s">
        <v>2799</v>
      </c>
      <c r="G359" s="10" t="s">
        <v>1126</v>
      </c>
      <c r="H359" s="10" t="s">
        <v>2768</v>
      </c>
      <c r="I359" s="11" t="s">
        <v>575</v>
      </c>
    </row>
    <row r="360" spans="1:9" ht="45" customHeight="1">
      <c r="A360" s="8" t="s">
        <v>2487</v>
      </c>
      <c r="B360" s="8" t="s">
        <v>2488</v>
      </c>
      <c r="C360" s="8" t="s">
        <v>2766</v>
      </c>
      <c r="D360" s="8" t="s">
        <v>2766</v>
      </c>
      <c r="E360" s="8" t="s">
        <v>2766</v>
      </c>
      <c r="F360" s="8" t="s">
        <v>2799</v>
      </c>
      <c r="G360" s="8" t="s">
        <v>1126</v>
      </c>
      <c r="H360" s="8" t="s">
        <v>2768</v>
      </c>
      <c r="I360" s="9" t="s">
        <v>575</v>
      </c>
    </row>
    <row r="361" spans="1:9" ht="45" customHeight="1">
      <c r="A361" s="10" t="s">
        <v>2490</v>
      </c>
      <c r="B361" s="10" t="s">
        <v>2491</v>
      </c>
      <c r="C361" s="10" t="s">
        <v>2766</v>
      </c>
      <c r="D361" s="10" t="s">
        <v>2766</v>
      </c>
      <c r="E361" s="10" t="s">
        <v>2766</v>
      </c>
      <c r="F361" s="10" t="s">
        <v>2799</v>
      </c>
      <c r="G361" s="10" t="s">
        <v>1126</v>
      </c>
      <c r="H361" s="10" t="s">
        <v>2768</v>
      </c>
      <c r="I361" s="11" t="s">
        <v>575</v>
      </c>
    </row>
    <row r="362" spans="1:9" ht="45" customHeight="1">
      <c r="A362" s="8" t="s">
        <v>2493</v>
      </c>
      <c r="B362" s="8" t="s">
        <v>2494</v>
      </c>
      <c r="C362" s="8" t="s">
        <v>2766</v>
      </c>
      <c r="D362" s="8" t="s">
        <v>2766</v>
      </c>
      <c r="E362" s="8" t="s">
        <v>2766</v>
      </c>
      <c r="F362" s="8" t="s">
        <v>2799</v>
      </c>
      <c r="G362" s="8" t="s">
        <v>1126</v>
      </c>
      <c r="H362" s="8" t="s">
        <v>2768</v>
      </c>
      <c r="I362" s="9" t="s">
        <v>575</v>
      </c>
    </row>
    <row r="363" spans="1:9" ht="45" customHeight="1">
      <c r="A363" s="10" t="s">
        <v>2496</v>
      </c>
      <c r="B363" s="10" t="s">
        <v>2497</v>
      </c>
      <c r="C363" s="10" t="s">
        <v>2766</v>
      </c>
      <c r="D363" s="10" t="s">
        <v>2766</v>
      </c>
      <c r="E363" s="10" t="s">
        <v>2766</v>
      </c>
      <c r="F363" s="10" t="s">
        <v>2799</v>
      </c>
      <c r="G363" s="10" t="s">
        <v>1126</v>
      </c>
      <c r="H363" s="10" t="s">
        <v>2768</v>
      </c>
      <c r="I363" s="11" t="s">
        <v>575</v>
      </c>
    </row>
    <row r="364" spans="1:9" ht="45" customHeight="1">
      <c r="A364" s="8" t="s">
        <v>2499</v>
      </c>
      <c r="B364" s="8" t="s">
        <v>2500</v>
      </c>
      <c r="C364" s="8" t="s">
        <v>2766</v>
      </c>
      <c r="D364" s="8" t="s">
        <v>2766</v>
      </c>
      <c r="E364" s="8" t="s">
        <v>2766</v>
      </c>
      <c r="F364" s="8" t="s">
        <v>2799</v>
      </c>
      <c r="G364" s="8" t="s">
        <v>1126</v>
      </c>
      <c r="H364" s="8" t="s">
        <v>2768</v>
      </c>
      <c r="I364" s="9" t="s">
        <v>575</v>
      </c>
    </row>
    <row r="365" spans="1:9" ht="45" customHeight="1">
      <c r="A365" s="10" t="s">
        <v>2502</v>
      </c>
      <c r="B365" s="10" t="s">
        <v>2503</v>
      </c>
      <c r="C365" s="10" t="s">
        <v>2766</v>
      </c>
      <c r="D365" s="10" t="s">
        <v>2766</v>
      </c>
      <c r="E365" s="10" t="s">
        <v>2766</v>
      </c>
      <c r="F365" s="10" t="s">
        <v>2799</v>
      </c>
      <c r="G365" s="10" t="s">
        <v>1126</v>
      </c>
      <c r="H365" s="10" t="s">
        <v>2768</v>
      </c>
      <c r="I365" s="11" t="s">
        <v>575</v>
      </c>
    </row>
    <row r="366" spans="1:9" ht="45" customHeight="1">
      <c r="A366" s="8" t="s">
        <v>2505</v>
      </c>
      <c r="B366" s="8" t="s">
        <v>2506</v>
      </c>
      <c r="C366" s="8" t="s">
        <v>2766</v>
      </c>
      <c r="D366" s="8" t="s">
        <v>2766</v>
      </c>
      <c r="E366" s="8" t="s">
        <v>2766</v>
      </c>
      <c r="F366" s="8" t="s">
        <v>2799</v>
      </c>
      <c r="G366" s="8" t="s">
        <v>1161</v>
      </c>
      <c r="H366" s="8" t="s">
        <v>2768</v>
      </c>
      <c r="I366" s="9" t="s">
        <v>575</v>
      </c>
    </row>
    <row r="367" spans="1:9" ht="45" customHeight="1">
      <c r="A367" s="10" t="s">
        <v>2509</v>
      </c>
      <c r="B367" s="10" t="s">
        <v>2510</v>
      </c>
      <c r="C367" s="10" t="s">
        <v>1662</v>
      </c>
      <c r="D367" s="10" t="s">
        <v>1662</v>
      </c>
      <c r="E367" s="10" t="s">
        <v>1662</v>
      </c>
      <c r="F367" s="10" t="s">
        <v>2880</v>
      </c>
      <c r="G367" s="10" t="s">
        <v>1126</v>
      </c>
      <c r="H367" s="10" t="s">
        <v>2775</v>
      </c>
      <c r="I367" s="11" t="s">
        <v>845</v>
      </c>
    </row>
    <row r="368" spans="1:9" ht="45" customHeight="1">
      <c r="A368" s="8" t="s">
        <v>2513</v>
      </c>
      <c r="B368" s="8" t="s">
        <v>2514</v>
      </c>
      <c r="C368" s="8" t="s">
        <v>1285</v>
      </c>
      <c r="D368" s="8" t="s">
        <v>1285</v>
      </c>
      <c r="E368" s="8" t="s">
        <v>1285</v>
      </c>
      <c r="F368" s="8" t="s">
        <v>2881</v>
      </c>
      <c r="G368" s="8" t="s">
        <v>1126</v>
      </c>
      <c r="H368" s="8" t="s">
        <v>2775</v>
      </c>
      <c r="I368" s="9" t="s">
        <v>2882</v>
      </c>
    </row>
    <row r="369" spans="1:9" ht="45" customHeight="1">
      <c r="A369" s="10" t="s">
        <v>2517</v>
      </c>
      <c r="B369" s="10" t="s">
        <v>2518</v>
      </c>
      <c r="C369" s="10" t="s">
        <v>2766</v>
      </c>
      <c r="D369" s="10" t="s">
        <v>2766</v>
      </c>
      <c r="E369" s="10" t="s">
        <v>2766</v>
      </c>
      <c r="F369" s="10" t="s">
        <v>2767</v>
      </c>
      <c r="G369" s="10" t="s">
        <v>1126</v>
      </c>
      <c r="H369" s="10" t="s">
        <v>2768</v>
      </c>
      <c r="I369" s="11" t="s">
        <v>2769</v>
      </c>
    </row>
    <row r="370" spans="1:9" ht="45" customHeight="1">
      <c r="A370" s="8" t="s">
        <v>2521</v>
      </c>
      <c r="B370" s="8" t="s">
        <v>2522</v>
      </c>
      <c r="C370" s="8" t="s">
        <v>2766</v>
      </c>
      <c r="D370" s="8" t="s">
        <v>2766</v>
      </c>
      <c r="E370" s="8" t="s">
        <v>2766</v>
      </c>
      <c r="F370" s="8" t="s">
        <v>2767</v>
      </c>
      <c r="G370" s="8" t="s">
        <v>1161</v>
      </c>
      <c r="H370" s="8" t="s">
        <v>2768</v>
      </c>
      <c r="I370" s="9" t="s">
        <v>2769</v>
      </c>
    </row>
    <row r="371" spans="1:9" ht="45" customHeight="1">
      <c r="A371" s="10" t="s">
        <v>2524</v>
      </c>
      <c r="B371" s="10" t="s">
        <v>2525</v>
      </c>
      <c r="C371" s="10" t="s">
        <v>2766</v>
      </c>
      <c r="D371" s="10" t="s">
        <v>2766</v>
      </c>
      <c r="E371" s="10" t="s">
        <v>2766</v>
      </c>
      <c r="F371" s="10" t="s">
        <v>2780</v>
      </c>
      <c r="G371" s="10" t="s">
        <v>1126</v>
      </c>
      <c r="H371" s="10" t="s">
        <v>2768</v>
      </c>
      <c r="I371" s="11" t="s">
        <v>2781</v>
      </c>
    </row>
    <row r="372" spans="1:9" ht="34" customHeight="1">
      <c r="A372" s="8" t="s">
        <v>2529</v>
      </c>
      <c r="B372" s="8" t="s">
        <v>2530</v>
      </c>
      <c r="C372" s="8" t="s">
        <v>2770</v>
      </c>
      <c r="D372" s="8" t="s">
        <v>2770</v>
      </c>
      <c r="E372" s="8" t="s">
        <v>2770</v>
      </c>
      <c r="F372" s="8" t="s">
        <v>2771</v>
      </c>
      <c r="G372" s="12" t="s">
        <v>1136</v>
      </c>
      <c r="H372" s="12" t="s">
        <v>2772</v>
      </c>
      <c r="I372" s="9" t="s">
        <v>2769</v>
      </c>
    </row>
    <row r="373" spans="1:9" ht="45" customHeight="1">
      <c r="A373" s="10" t="s">
        <v>2534</v>
      </c>
      <c r="B373" s="10" t="s">
        <v>2535</v>
      </c>
      <c r="C373" s="10" t="s">
        <v>2883</v>
      </c>
      <c r="D373" s="10" t="s">
        <v>2883</v>
      </c>
      <c r="E373" s="10" t="s">
        <v>2883</v>
      </c>
      <c r="F373" s="10" t="s">
        <v>2884</v>
      </c>
      <c r="G373" s="10" t="s">
        <v>1126</v>
      </c>
      <c r="H373" s="10" t="s">
        <v>2775</v>
      </c>
      <c r="I373" s="11" t="s">
        <v>1087</v>
      </c>
    </row>
    <row r="374" spans="1:9" ht="45" customHeight="1">
      <c r="A374" s="8" t="s">
        <v>2538</v>
      </c>
      <c r="B374" s="8" t="s">
        <v>2539</v>
      </c>
      <c r="C374" s="8" t="s">
        <v>2766</v>
      </c>
      <c r="D374" s="8" t="s">
        <v>2766</v>
      </c>
      <c r="E374" s="8" t="s">
        <v>2766</v>
      </c>
      <c r="F374" s="8" t="s">
        <v>2850</v>
      </c>
      <c r="G374" s="8" t="s">
        <v>1126</v>
      </c>
      <c r="H374" s="8" t="s">
        <v>2768</v>
      </c>
      <c r="I374" s="9" t="s">
        <v>1087</v>
      </c>
    </row>
    <row r="375" spans="1:9" ht="45" customHeight="1">
      <c r="A375" s="10" t="s">
        <v>2541</v>
      </c>
      <c r="B375" s="10" t="s">
        <v>2542</v>
      </c>
      <c r="C375" s="10" t="s">
        <v>2766</v>
      </c>
      <c r="D375" s="10" t="s">
        <v>2766</v>
      </c>
      <c r="E375" s="10" t="s">
        <v>2766</v>
      </c>
      <c r="F375" s="10" t="s">
        <v>2850</v>
      </c>
      <c r="G375" s="10" t="s">
        <v>1126</v>
      </c>
      <c r="H375" s="10" t="s">
        <v>2768</v>
      </c>
      <c r="I375" s="11" t="s">
        <v>1087</v>
      </c>
    </row>
    <row r="376" spans="1:9" ht="45" customHeight="1">
      <c r="A376" s="8" t="s">
        <v>2544</v>
      </c>
      <c r="B376" s="8" t="s">
        <v>2545</v>
      </c>
      <c r="C376" s="8" t="s">
        <v>2885</v>
      </c>
      <c r="D376" s="8" t="s">
        <v>2885</v>
      </c>
      <c r="E376" s="8" t="s">
        <v>2885</v>
      </c>
      <c r="F376" s="8" t="s">
        <v>2886</v>
      </c>
      <c r="G376" s="8" t="s">
        <v>1126</v>
      </c>
      <c r="H376" s="8" t="s">
        <v>2775</v>
      </c>
      <c r="I376" s="9" t="s">
        <v>1087</v>
      </c>
    </row>
    <row r="377" spans="1:9" ht="45" customHeight="1">
      <c r="A377" s="10" t="s">
        <v>2547</v>
      </c>
      <c r="B377" s="10" t="s">
        <v>2548</v>
      </c>
      <c r="C377" s="10" t="s">
        <v>2887</v>
      </c>
      <c r="D377" s="10" t="s">
        <v>2887</v>
      </c>
      <c r="E377" s="10" t="s">
        <v>2887</v>
      </c>
      <c r="F377" s="10" t="s">
        <v>2888</v>
      </c>
      <c r="G377" s="10" t="s">
        <v>1126</v>
      </c>
      <c r="H377" s="10" t="s">
        <v>2775</v>
      </c>
      <c r="I377" s="11" t="s">
        <v>1087</v>
      </c>
    </row>
    <row r="378" spans="1:9" ht="45" customHeight="1">
      <c r="A378" s="8" t="s">
        <v>2550</v>
      </c>
      <c r="B378" s="8" t="s">
        <v>2551</v>
      </c>
      <c r="C378" s="8" t="s">
        <v>2766</v>
      </c>
      <c r="D378" s="8" t="s">
        <v>2766</v>
      </c>
      <c r="E378" s="8" t="s">
        <v>2766</v>
      </c>
      <c r="F378" s="8" t="s">
        <v>2850</v>
      </c>
      <c r="G378" s="8" t="s">
        <v>1126</v>
      </c>
      <c r="H378" s="8" t="s">
        <v>2768</v>
      </c>
      <c r="I378" s="9" t="s">
        <v>1087</v>
      </c>
    </row>
    <row r="379" spans="1:9" ht="34" customHeight="1">
      <c r="A379" s="10" t="s">
        <v>2553</v>
      </c>
      <c r="B379" s="10" t="s">
        <v>2554</v>
      </c>
      <c r="C379" s="10" t="s">
        <v>2770</v>
      </c>
      <c r="D379" s="10" t="s">
        <v>2770</v>
      </c>
      <c r="E379" s="10" t="s">
        <v>2770</v>
      </c>
      <c r="F379" s="10" t="s">
        <v>2771</v>
      </c>
      <c r="G379" s="12" t="s">
        <v>1136</v>
      </c>
      <c r="H379" s="12" t="s">
        <v>2772</v>
      </c>
      <c r="I379" s="11" t="s">
        <v>2769</v>
      </c>
    </row>
    <row r="380" spans="1:9" ht="45" customHeight="1">
      <c r="A380" s="8" t="s">
        <v>2557</v>
      </c>
      <c r="B380" s="8" t="s">
        <v>2558</v>
      </c>
      <c r="C380" s="8" t="s">
        <v>2766</v>
      </c>
      <c r="D380" s="8" t="s">
        <v>2766</v>
      </c>
      <c r="E380" s="8" t="s">
        <v>2766</v>
      </c>
      <c r="F380" s="8" t="s">
        <v>2767</v>
      </c>
      <c r="G380" s="8" t="s">
        <v>1126</v>
      </c>
      <c r="H380" s="8" t="s">
        <v>2768</v>
      </c>
      <c r="I380" s="9" t="s">
        <v>2769</v>
      </c>
    </row>
    <row r="381" spans="1:9" ht="45" customHeight="1">
      <c r="A381" s="10" t="s">
        <v>2560</v>
      </c>
      <c r="B381" s="10" t="s">
        <v>2561</v>
      </c>
      <c r="C381" s="10" t="s">
        <v>2766</v>
      </c>
      <c r="D381" s="10" t="s">
        <v>2766</v>
      </c>
      <c r="E381" s="10" t="s">
        <v>2766</v>
      </c>
      <c r="F381" s="10" t="s">
        <v>2767</v>
      </c>
      <c r="G381" s="10" t="s">
        <v>1126</v>
      </c>
      <c r="H381" s="10" t="s">
        <v>2768</v>
      </c>
      <c r="I381" s="11" t="s">
        <v>2769</v>
      </c>
    </row>
    <row r="382" spans="1:9" ht="34" customHeight="1">
      <c r="A382" s="8" t="s">
        <v>2563</v>
      </c>
      <c r="B382" s="8" t="s">
        <v>2564</v>
      </c>
      <c r="C382" s="8" t="s">
        <v>2770</v>
      </c>
      <c r="D382" s="8" t="s">
        <v>2770</v>
      </c>
      <c r="E382" s="8" t="s">
        <v>2770</v>
      </c>
      <c r="F382" s="8" t="s">
        <v>2771</v>
      </c>
      <c r="G382" s="12" t="s">
        <v>1136</v>
      </c>
      <c r="H382" s="12" t="s">
        <v>2772</v>
      </c>
      <c r="I382" s="9" t="s">
        <v>2769</v>
      </c>
    </row>
    <row r="383" spans="1:9" ht="34" customHeight="1">
      <c r="A383" s="10" t="s">
        <v>2566</v>
      </c>
      <c r="B383" s="10" t="s">
        <v>2567</v>
      </c>
      <c r="C383" s="10" t="s">
        <v>2770</v>
      </c>
      <c r="D383" s="10" t="s">
        <v>2770</v>
      </c>
      <c r="E383" s="10" t="s">
        <v>2770</v>
      </c>
      <c r="F383" s="10" t="s">
        <v>2771</v>
      </c>
      <c r="G383" s="12" t="s">
        <v>1136</v>
      </c>
      <c r="H383" s="12" t="s">
        <v>2772</v>
      </c>
      <c r="I383" s="11" t="s">
        <v>2769</v>
      </c>
    </row>
    <row r="384" spans="1:9" ht="34" customHeight="1">
      <c r="A384" s="8" t="s">
        <v>2569</v>
      </c>
      <c r="B384" s="8" t="s">
        <v>2570</v>
      </c>
      <c r="C384" s="8" t="s">
        <v>2770</v>
      </c>
      <c r="D384" s="8" t="s">
        <v>2770</v>
      </c>
      <c r="E384" s="8" t="s">
        <v>2770</v>
      </c>
      <c r="F384" s="8" t="s">
        <v>2771</v>
      </c>
      <c r="G384" s="12" t="s">
        <v>1136</v>
      </c>
      <c r="H384" s="12" t="s">
        <v>2772</v>
      </c>
      <c r="I384" s="9" t="s">
        <v>2769</v>
      </c>
    </row>
    <row r="385" spans="1:9" ht="45" customHeight="1">
      <c r="A385" s="10" t="s">
        <v>2572</v>
      </c>
      <c r="B385" s="10" t="s">
        <v>2573</v>
      </c>
      <c r="C385" s="10" t="s">
        <v>2766</v>
      </c>
      <c r="D385" s="10" t="s">
        <v>2766</v>
      </c>
      <c r="E385" s="10" t="s">
        <v>2766</v>
      </c>
      <c r="F385" s="10" t="s">
        <v>2767</v>
      </c>
      <c r="G385" s="10" t="s">
        <v>1161</v>
      </c>
      <c r="H385" s="10" t="s">
        <v>2768</v>
      </c>
      <c r="I385" s="11" t="s">
        <v>2769</v>
      </c>
    </row>
    <row r="386" spans="1:9" ht="45" customHeight="1">
      <c r="A386" s="8" t="s">
        <v>2575</v>
      </c>
      <c r="B386" s="8" t="s">
        <v>2576</v>
      </c>
      <c r="C386" s="8" t="s">
        <v>2766</v>
      </c>
      <c r="D386" s="8" t="s">
        <v>2766</v>
      </c>
      <c r="E386" s="8" t="s">
        <v>2766</v>
      </c>
      <c r="F386" s="8" t="s">
        <v>2850</v>
      </c>
      <c r="G386" s="8" t="s">
        <v>1126</v>
      </c>
      <c r="H386" s="8" t="s">
        <v>2768</v>
      </c>
      <c r="I386" s="9" t="s">
        <v>1087</v>
      </c>
    </row>
    <row r="387" spans="1:9" ht="45" customHeight="1">
      <c r="A387" s="10" t="s">
        <v>2578</v>
      </c>
      <c r="B387" s="10" t="s">
        <v>2579</v>
      </c>
      <c r="C387" s="10" t="s">
        <v>1285</v>
      </c>
      <c r="D387" s="10" t="s">
        <v>1285</v>
      </c>
      <c r="E387" s="10" t="s">
        <v>1285</v>
      </c>
      <c r="F387" s="10" t="s">
        <v>2889</v>
      </c>
      <c r="G387" s="10" t="s">
        <v>1126</v>
      </c>
      <c r="H387" s="10" t="s">
        <v>2775</v>
      </c>
      <c r="I387" s="11" t="s">
        <v>1087</v>
      </c>
    </row>
    <row r="388" spans="1:9" ht="34" customHeight="1">
      <c r="A388" s="8" t="s">
        <v>2581</v>
      </c>
      <c r="B388" s="8" t="s">
        <v>2582</v>
      </c>
      <c r="C388" s="8" t="s">
        <v>2770</v>
      </c>
      <c r="D388" s="8" t="s">
        <v>2770</v>
      </c>
      <c r="E388" s="8" t="s">
        <v>2770</v>
      </c>
      <c r="F388" s="8" t="s">
        <v>2771</v>
      </c>
      <c r="G388" s="12" t="s">
        <v>1136</v>
      </c>
      <c r="H388" s="12" t="s">
        <v>2772</v>
      </c>
      <c r="I388" s="9" t="s">
        <v>1087</v>
      </c>
    </row>
    <row r="389" spans="1:9" ht="34" customHeight="1">
      <c r="A389" s="10" t="s">
        <v>2586</v>
      </c>
      <c r="B389" s="10" t="s">
        <v>2587</v>
      </c>
      <c r="C389" s="10" t="s">
        <v>2770</v>
      </c>
      <c r="D389" s="10" t="s">
        <v>2770</v>
      </c>
      <c r="E389" s="10" t="s">
        <v>2770</v>
      </c>
      <c r="F389" s="10" t="s">
        <v>2771</v>
      </c>
      <c r="G389" s="12" t="s">
        <v>1136</v>
      </c>
      <c r="H389" s="12" t="s">
        <v>2772</v>
      </c>
      <c r="I389" s="11" t="s">
        <v>2769</v>
      </c>
    </row>
    <row r="390" spans="1:9" ht="45" customHeight="1">
      <c r="A390" s="8" t="s">
        <v>2591</v>
      </c>
      <c r="B390" s="8" t="s">
        <v>2592</v>
      </c>
      <c r="C390" s="8" t="s">
        <v>2766</v>
      </c>
      <c r="D390" s="8" t="s">
        <v>2766</v>
      </c>
      <c r="E390" s="8" t="s">
        <v>2766</v>
      </c>
      <c r="F390" s="8" t="s">
        <v>2780</v>
      </c>
      <c r="G390" s="8" t="s">
        <v>1126</v>
      </c>
      <c r="H390" s="8" t="s">
        <v>2768</v>
      </c>
      <c r="I390" s="9" t="s">
        <v>2781</v>
      </c>
    </row>
    <row r="391" spans="1:9" ht="45" customHeight="1">
      <c r="A391" s="10" t="s">
        <v>2595</v>
      </c>
      <c r="B391" s="10" t="s">
        <v>2596</v>
      </c>
      <c r="C391" s="10" t="s">
        <v>2766</v>
      </c>
      <c r="D391" s="10" t="s">
        <v>2766</v>
      </c>
      <c r="E391" s="10" t="s">
        <v>2766</v>
      </c>
      <c r="F391" s="10" t="s">
        <v>2767</v>
      </c>
      <c r="G391" s="10" t="s">
        <v>1126</v>
      </c>
      <c r="H391" s="10" t="s">
        <v>2768</v>
      </c>
      <c r="I391" s="11" t="s">
        <v>2769</v>
      </c>
    </row>
    <row r="392" spans="1:9" ht="45" customHeight="1">
      <c r="A392" s="8" t="s">
        <v>2598</v>
      </c>
      <c r="B392" s="8" t="s">
        <v>2599</v>
      </c>
      <c r="C392" s="8" t="s">
        <v>2766</v>
      </c>
      <c r="D392" s="8" t="s">
        <v>2766</v>
      </c>
      <c r="E392" s="8" t="s">
        <v>2766</v>
      </c>
      <c r="F392" s="8" t="s">
        <v>2816</v>
      </c>
      <c r="G392" s="8" t="s">
        <v>1126</v>
      </c>
      <c r="H392" s="8" t="s">
        <v>2768</v>
      </c>
      <c r="I392" s="9" t="s">
        <v>605</v>
      </c>
    </row>
    <row r="393" spans="1:9" ht="95" customHeight="1">
      <c r="A393" s="10" t="s">
        <v>2601</v>
      </c>
      <c r="B393" s="10" t="s">
        <v>561</v>
      </c>
      <c r="C393" s="10" t="s">
        <v>2890</v>
      </c>
      <c r="D393" s="10" t="s">
        <v>2890</v>
      </c>
      <c r="E393" s="10" t="s">
        <v>2890</v>
      </c>
      <c r="F393" s="10" t="s">
        <v>2891</v>
      </c>
      <c r="G393" s="10" t="s">
        <v>1126</v>
      </c>
      <c r="H393" s="10" t="s">
        <v>2775</v>
      </c>
      <c r="I393" s="11" t="s">
        <v>605</v>
      </c>
    </row>
    <row r="394" spans="1:9" ht="45" customHeight="1">
      <c r="A394" s="8" t="s">
        <v>2605</v>
      </c>
      <c r="B394" s="8" t="s">
        <v>2606</v>
      </c>
      <c r="C394" s="8" t="s">
        <v>2766</v>
      </c>
      <c r="D394" s="8" t="s">
        <v>2766</v>
      </c>
      <c r="E394" s="8" t="s">
        <v>2766</v>
      </c>
      <c r="F394" s="8" t="s">
        <v>2816</v>
      </c>
      <c r="G394" s="8" t="s">
        <v>1126</v>
      </c>
      <c r="H394" s="8" t="s">
        <v>2768</v>
      </c>
      <c r="I394" s="9" t="s">
        <v>605</v>
      </c>
    </row>
    <row r="395" spans="1:9" ht="45" customHeight="1">
      <c r="A395" s="10" t="s">
        <v>2608</v>
      </c>
      <c r="B395" s="10" t="s">
        <v>2609</v>
      </c>
      <c r="C395" s="10" t="s">
        <v>2766</v>
      </c>
      <c r="D395" s="10" t="s">
        <v>2766</v>
      </c>
      <c r="E395" s="10" t="s">
        <v>2766</v>
      </c>
      <c r="F395" s="10" t="s">
        <v>2869</v>
      </c>
      <c r="G395" s="10" t="s">
        <v>1126</v>
      </c>
      <c r="H395" s="10" t="s">
        <v>2768</v>
      </c>
      <c r="I395" s="11" t="s">
        <v>2868</v>
      </c>
    </row>
    <row r="396" spans="1:9" ht="45" customHeight="1">
      <c r="A396" s="8" t="s">
        <v>2612</v>
      </c>
      <c r="B396" s="8" t="s">
        <v>2613</v>
      </c>
      <c r="C396" s="8" t="s">
        <v>2766</v>
      </c>
      <c r="D396" s="8" t="s">
        <v>2766</v>
      </c>
      <c r="E396" s="8" t="s">
        <v>2766</v>
      </c>
      <c r="F396" s="8" t="s">
        <v>2869</v>
      </c>
      <c r="G396" s="8" t="s">
        <v>1126</v>
      </c>
      <c r="H396" s="8" t="s">
        <v>2768</v>
      </c>
      <c r="I396" s="9" t="s">
        <v>2868</v>
      </c>
    </row>
    <row r="397" spans="1:9" ht="45" customHeight="1">
      <c r="A397" s="10" t="s">
        <v>2615</v>
      </c>
      <c r="B397" s="10" t="s">
        <v>2616</v>
      </c>
      <c r="C397" s="10" t="s">
        <v>2766</v>
      </c>
      <c r="D397" s="10" t="s">
        <v>2766</v>
      </c>
      <c r="E397" s="10" t="s">
        <v>2766</v>
      </c>
      <c r="F397" s="10" t="s">
        <v>2869</v>
      </c>
      <c r="G397" s="10" t="s">
        <v>1126</v>
      </c>
      <c r="H397" s="10" t="s">
        <v>2768</v>
      </c>
      <c r="I397" s="11" t="s">
        <v>2868</v>
      </c>
    </row>
    <row r="398" spans="1:9" ht="45" customHeight="1">
      <c r="A398" s="8" t="s">
        <v>2619</v>
      </c>
      <c r="B398" s="8" t="s">
        <v>2620</v>
      </c>
      <c r="C398" s="8" t="s">
        <v>2766</v>
      </c>
      <c r="D398" s="8" t="s">
        <v>2766</v>
      </c>
      <c r="E398" s="8" t="s">
        <v>2766</v>
      </c>
      <c r="F398" s="8" t="s">
        <v>2780</v>
      </c>
      <c r="G398" s="8" t="s">
        <v>1126</v>
      </c>
      <c r="H398" s="8" t="s">
        <v>2768</v>
      </c>
      <c r="I398" s="9" t="s">
        <v>2781</v>
      </c>
    </row>
    <row r="399" spans="1:9" ht="45" customHeight="1">
      <c r="A399" s="10" t="s">
        <v>2622</v>
      </c>
      <c r="B399" s="10" t="s">
        <v>2623</v>
      </c>
      <c r="C399" s="10" t="s">
        <v>2766</v>
      </c>
      <c r="D399" s="10" t="s">
        <v>2766</v>
      </c>
      <c r="E399" s="10" t="s">
        <v>2766</v>
      </c>
      <c r="F399" s="10" t="s">
        <v>2780</v>
      </c>
      <c r="G399" s="10" t="s">
        <v>1126</v>
      </c>
      <c r="H399" s="10" t="s">
        <v>2768</v>
      </c>
      <c r="I399" s="11" t="s">
        <v>2781</v>
      </c>
    </row>
    <row r="400" spans="1:9" ht="34" customHeight="1">
      <c r="A400" s="8" t="s">
        <v>2625</v>
      </c>
      <c r="B400" s="8" t="s">
        <v>2626</v>
      </c>
      <c r="C400" s="8" t="s">
        <v>2770</v>
      </c>
      <c r="D400" s="8" t="s">
        <v>2770</v>
      </c>
      <c r="E400" s="8" t="s">
        <v>2770</v>
      </c>
      <c r="F400" s="8" t="s">
        <v>2771</v>
      </c>
      <c r="G400" s="12" t="s">
        <v>1136</v>
      </c>
      <c r="H400" s="12" t="s">
        <v>2772</v>
      </c>
      <c r="I400" s="9" t="s">
        <v>2769</v>
      </c>
    </row>
    <row r="401" spans="1:9" ht="45" customHeight="1">
      <c r="A401" s="10" t="s">
        <v>2628</v>
      </c>
      <c r="B401" s="10" t="s">
        <v>2629</v>
      </c>
      <c r="C401" s="10" t="s">
        <v>2766</v>
      </c>
      <c r="D401" s="10" t="s">
        <v>2766</v>
      </c>
      <c r="E401" s="10" t="s">
        <v>2766</v>
      </c>
      <c r="F401" s="10" t="s">
        <v>2799</v>
      </c>
      <c r="G401" s="10" t="s">
        <v>1126</v>
      </c>
      <c r="H401" s="10" t="s">
        <v>2768</v>
      </c>
      <c r="I401" s="11" t="s">
        <v>575</v>
      </c>
    </row>
    <row r="402" spans="1:9" ht="45" customHeight="1">
      <c r="A402" s="8" t="s">
        <v>2631</v>
      </c>
      <c r="B402" s="8" t="s">
        <v>2632</v>
      </c>
      <c r="C402" s="8" t="s">
        <v>2766</v>
      </c>
      <c r="D402" s="8" t="s">
        <v>2766</v>
      </c>
      <c r="E402" s="8" t="s">
        <v>2766</v>
      </c>
      <c r="F402" s="8" t="s">
        <v>2799</v>
      </c>
      <c r="G402" s="8" t="s">
        <v>1126</v>
      </c>
      <c r="H402" s="8" t="s">
        <v>2768</v>
      </c>
      <c r="I402" s="9" t="s">
        <v>575</v>
      </c>
    </row>
    <row r="403" spans="1:9" ht="45" customHeight="1">
      <c r="A403" s="10" t="s">
        <v>2634</v>
      </c>
      <c r="B403" s="10" t="s">
        <v>2635</v>
      </c>
      <c r="C403" s="10" t="s">
        <v>2766</v>
      </c>
      <c r="D403" s="10" t="s">
        <v>2766</v>
      </c>
      <c r="E403" s="10" t="s">
        <v>2766</v>
      </c>
      <c r="F403" s="10" t="s">
        <v>2767</v>
      </c>
      <c r="G403" s="10" t="s">
        <v>1161</v>
      </c>
      <c r="H403" s="10" t="s">
        <v>2768</v>
      </c>
      <c r="I403" s="11" t="s">
        <v>2769</v>
      </c>
    </row>
    <row r="404" spans="1:9" ht="34" customHeight="1">
      <c r="A404" s="8" t="s">
        <v>2637</v>
      </c>
      <c r="B404" s="8" t="s">
        <v>2638</v>
      </c>
      <c r="C404" s="8" t="s">
        <v>2770</v>
      </c>
      <c r="D404" s="8" t="s">
        <v>2770</v>
      </c>
      <c r="E404" s="8" t="s">
        <v>2770</v>
      </c>
      <c r="F404" s="8" t="s">
        <v>2771</v>
      </c>
      <c r="G404" s="12" t="s">
        <v>1136</v>
      </c>
      <c r="H404" s="12" t="s">
        <v>2772</v>
      </c>
      <c r="I404" s="9" t="s">
        <v>2781</v>
      </c>
    </row>
    <row r="405" spans="1:9" ht="34" customHeight="1">
      <c r="A405" s="10" t="s">
        <v>2641</v>
      </c>
      <c r="B405" s="10" t="s">
        <v>2642</v>
      </c>
      <c r="C405" s="10" t="s">
        <v>2828</v>
      </c>
      <c r="D405" s="10" t="s">
        <v>2828</v>
      </c>
      <c r="E405" s="10" t="s">
        <v>2828</v>
      </c>
      <c r="F405" s="10" t="s">
        <v>2829</v>
      </c>
      <c r="G405" s="10" t="s">
        <v>1635</v>
      </c>
      <c r="H405" s="10" t="s">
        <v>2830</v>
      </c>
      <c r="I405" s="11" t="s">
        <v>556</v>
      </c>
    </row>
    <row r="406" spans="1:9" ht="34" customHeight="1">
      <c r="A406" s="8" t="s">
        <v>2646</v>
      </c>
      <c r="B406" s="8" t="s">
        <v>2647</v>
      </c>
      <c r="C406" s="8" t="s">
        <v>2828</v>
      </c>
      <c r="D406" s="8" t="s">
        <v>2828</v>
      </c>
      <c r="E406" s="8" t="s">
        <v>2828</v>
      </c>
      <c r="F406" s="8" t="s">
        <v>2829</v>
      </c>
      <c r="G406" s="8" t="s">
        <v>1635</v>
      </c>
      <c r="H406" s="8" t="s">
        <v>2830</v>
      </c>
      <c r="I406" s="9" t="s">
        <v>556</v>
      </c>
    </row>
    <row r="407" spans="1:9" ht="45" customHeight="1">
      <c r="A407" s="10" t="s">
        <v>2652</v>
      </c>
      <c r="B407" s="10" t="s">
        <v>2653</v>
      </c>
      <c r="C407" s="10" t="s">
        <v>2766</v>
      </c>
      <c r="D407" s="10" t="s">
        <v>2766</v>
      </c>
      <c r="E407" s="10" t="s">
        <v>2766</v>
      </c>
      <c r="F407" s="10" t="s">
        <v>2780</v>
      </c>
      <c r="G407" s="10" t="s">
        <v>1161</v>
      </c>
      <c r="H407" s="10" t="s">
        <v>2768</v>
      </c>
      <c r="I407" s="11" t="s">
        <v>2781</v>
      </c>
    </row>
    <row r="408" spans="1:9" ht="45" customHeight="1">
      <c r="A408" s="8" t="s">
        <v>2656</v>
      </c>
      <c r="B408" s="8" t="s">
        <v>2657</v>
      </c>
      <c r="C408" s="8" t="s">
        <v>2766</v>
      </c>
      <c r="D408" s="8" t="s">
        <v>2766</v>
      </c>
      <c r="E408" s="8" t="s">
        <v>2766</v>
      </c>
      <c r="F408" s="8" t="s">
        <v>2780</v>
      </c>
      <c r="G408" s="8" t="s">
        <v>1126</v>
      </c>
      <c r="H408" s="8" t="s">
        <v>2768</v>
      </c>
      <c r="I408" s="9" t="s">
        <v>2781</v>
      </c>
    </row>
    <row r="409" spans="1:9" ht="45" customHeight="1">
      <c r="A409" s="10" t="s">
        <v>2659</v>
      </c>
      <c r="B409" s="10" t="s">
        <v>2660</v>
      </c>
      <c r="C409" s="10" t="s">
        <v>2766</v>
      </c>
      <c r="D409" s="10" t="s">
        <v>2766</v>
      </c>
      <c r="E409" s="10" t="s">
        <v>2766</v>
      </c>
      <c r="F409" s="10" t="s">
        <v>2780</v>
      </c>
      <c r="G409" s="10" t="s">
        <v>1126</v>
      </c>
      <c r="H409" s="10" t="s">
        <v>2768</v>
      </c>
      <c r="I409" s="11" t="s">
        <v>2781</v>
      </c>
    </row>
    <row r="410" spans="1:9" ht="45" customHeight="1">
      <c r="A410" s="8" t="s">
        <v>2663</v>
      </c>
      <c r="B410" s="8" t="s">
        <v>2664</v>
      </c>
      <c r="C410" s="8" t="s">
        <v>2766</v>
      </c>
      <c r="D410" s="8" t="s">
        <v>2766</v>
      </c>
      <c r="E410" s="8" t="s">
        <v>2766</v>
      </c>
      <c r="F410" s="8" t="s">
        <v>2780</v>
      </c>
      <c r="G410" s="8" t="s">
        <v>1126</v>
      </c>
      <c r="H410" s="8" t="s">
        <v>2768</v>
      </c>
      <c r="I410" s="9" t="s">
        <v>2781</v>
      </c>
    </row>
    <row r="411" spans="1:9" ht="45" customHeight="1">
      <c r="A411" s="10" t="s">
        <v>2668</v>
      </c>
      <c r="B411" s="10" t="s">
        <v>2669</v>
      </c>
      <c r="C411" s="10" t="s">
        <v>2766</v>
      </c>
      <c r="D411" s="10" t="s">
        <v>2766</v>
      </c>
      <c r="E411" s="10" t="s">
        <v>2766</v>
      </c>
      <c r="F411" s="10" t="s">
        <v>2780</v>
      </c>
      <c r="G411" s="10" t="s">
        <v>1126</v>
      </c>
      <c r="H411" s="10" t="s">
        <v>2768</v>
      </c>
      <c r="I411" s="11" t="s">
        <v>2781</v>
      </c>
    </row>
    <row r="412" spans="1:9" ht="45" customHeight="1">
      <c r="A412" s="8" t="s">
        <v>2671</v>
      </c>
      <c r="B412" s="8" t="s">
        <v>2672</v>
      </c>
      <c r="C412" s="8" t="s">
        <v>2766</v>
      </c>
      <c r="D412" s="8" t="s">
        <v>2766</v>
      </c>
      <c r="E412" s="8" t="s">
        <v>2766</v>
      </c>
      <c r="F412" s="8" t="s">
        <v>2780</v>
      </c>
      <c r="G412" s="8" t="s">
        <v>1126</v>
      </c>
      <c r="H412" s="8" t="s">
        <v>2768</v>
      </c>
      <c r="I412" s="9" t="s">
        <v>2781</v>
      </c>
    </row>
    <row r="413" spans="1:9" ht="34" customHeight="1">
      <c r="A413" s="10" t="s">
        <v>2675</v>
      </c>
      <c r="B413" s="10" t="s">
        <v>2676</v>
      </c>
      <c r="C413" s="10" t="s">
        <v>2770</v>
      </c>
      <c r="D413" s="10" t="s">
        <v>2770</v>
      </c>
      <c r="E413" s="10" t="s">
        <v>2770</v>
      </c>
      <c r="F413" s="10" t="s">
        <v>2771</v>
      </c>
      <c r="G413" s="12" t="s">
        <v>1136</v>
      </c>
      <c r="H413" s="12" t="s">
        <v>2772</v>
      </c>
      <c r="I413" s="11" t="s">
        <v>2769</v>
      </c>
    </row>
    <row r="414" spans="1:9" ht="45" customHeight="1">
      <c r="A414" s="8" t="s">
        <v>2681</v>
      </c>
      <c r="B414" s="8" t="s">
        <v>2682</v>
      </c>
      <c r="C414" s="8" t="s">
        <v>2766</v>
      </c>
      <c r="D414" s="8" t="s">
        <v>2766</v>
      </c>
      <c r="E414" s="8" t="s">
        <v>2766</v>
      </c>
      <c r="F414" s="8" t="s">
        <v>2767</v>
      </c>
      <c r="G414" s="8" t="s">
        <v>1161</v>
      </c>
      <c r="H414" s="8" t="s">
        <v>2768</v>
      </c>
      <c r="I414" s="9" t="s">
        <v>2769</v>
      </c>
    </row>
    <row r="415" spans="1:9" ht="45" customHeight="1">
      <c r="A415" s="10" t="s">
        <v>2685</v>
      </c>
      <c r="B415" s="10" t="s">
        <v>2686</v>
      </c>
      <c r="C415" s="10" t="s">
        <v>757</v>
      </c>
      <c r="D415" s="10" t="s">
        <v>757</v>
      </c>
      <c r="E415" s="10" t="s">
        <v>757</v>
      </c>
      <c r="F415" s="10" t="s">
        <v>2892</v>
      </c>
      <c r="G415" s="10" t="s">
        <v>1126</v>
      </c>
      <c r="H415" s="10" t="s">
        <v>2775</v>
      </c>
      <c r="I415" s="11" t="s">
        <v>605</v>
      </c>
    </row>
    <row r="416" spans="1:9" ht="45" customHeight="1">
      <c r="A416" s="8" t="s">
        <v>2690</v>
      </c>
      <c r="B416" s="8" t="s">
        <v>2691</v>
      </c>
      <c r="C416" s="8" t="s">
        <v>2766</v>
      </c>
      <c r="D416" s="8" t="s">
        <v>2766</v>
      </c>
      <c r="E416" s="8" t="s">
        <v>2766</v>
      </c>
      <c r="F416" s="8" t="s">
        <v>2869</v>
      </c>
      <c r="G416" s="8" t="s">
        <v>1126</v>
      </c>
      <c r="H416" s="8" t="s">
        <v>2768</v>
      </c>
      <c r="I416" s="9" t="s">
        <v>2868</v>
      </c>
    </row>
    <row r="417" spans="1:9" ht="45" customHeight="1">
      <c r="A417" s="10" t="s">
        <v>2694</v>
      </c>
      <c r="B417" s="10" t="s">
        <v>2695</v>
      </c>
      <c r="C417" s="10" t="s">
        <v>740</v>
      </c>
      <c r="D417" s="10" t="s">
        <v>740</v>
      </c>
      <c r="E417" s="10" t="s">
        <v>740</v>
      </c>
      <c r="F417" s="10" t="s">
        <v>2893</v>
      </c>
      <c r="G417" s="10" t="s">
        <v>1126</v>
      </c>
      <c r="H417" s="10" t="s">
        <v>2775</v>
      </c>
      <c r="I417" s="11" t="s">
        <v>845</v>
      </c>
    </row>
    <row r="418" spans="1:9" ht="34" customHeight="1">
      <c r="A418" s="8" t="s">
        <v>2698</v>
      </c>
      <c r="B418" s="8" t="s">
        <v>2699</v>
      </c>
      <c r="C418" s="8" t="s">
        <v>2770</v>
      </c>
      <c r="D418" s="8" t="s">
        <v>2770</v>
      </c>
      <c r="E418" s="8" t="s">
        <v>2770</v>
      </c>
      <c r="F418" s="8" t="s">
        <v>2771</v>
      </c>
      <c r="G418" s="12" t="s">
        <v>1136</v>
      </c>
      <c r="H418" s="12" t="s">
        <v>2772</v>
      </c>
      <c r="I418" s="9" t="s">
        <v>2769</v>
      </c>
    </row>
    <row r="419" spans="1:9" ht="45" customHeight="1">
      <c r="A419" s="10" t="s">
        <v>2702</v>
      </c>
      <c r="B419" s="10" t="s">
        <v>2703</v>
      </c>
      <c r="C419" s="10" t="s">
        <v>2766</v>
      </c>
      <c r="D419" s="10" t="s">
        <v>2766</v>
      </c>
      <c r="E419" s="10" t="s">
        <v>2766</v>
      </c>
      <c r="F419" s="10" t="s">
        <v>2780</v>
      </c>
      <c r="G419" s="10" t="s">
        <v>1126</v>
      </c>
      <c r="H419" s="10" t="s">
        <v>2768</v>
      </c>
      <c r="I419" s="11" t="s">
        <v>2781</v>
      </c>
    </row>
    <row r="420" spans="1:9" ht="45" customHeight="1">
      <c r="A420" s="8" t="s">
        <v>2706</v>
      </c>
      <c r="B420" s="8" t="s">
        <v>2707</v>
      </c>
      <c r="C420" s="8" t="s">
        <v>2766</v>
      </c>
      <c r="D420" s="8" t="s">
        <v>2766</v>
      </c>
      <c r="E420" s="8" t="s">
        <v>2766</v>
      </c>
      <c r="F420" s="8" t="s">
        <v>2767</v>
      </c>
      <c r="G420" s="8" t="s">
        <v>1126</v>
      </c>
      <c r="H420" s="8" t="s">
        <v>2768</v>
      </c>
      <c r="I420" s="9" t="s">
        <v>2769</v>
      </c>
    </row>
    <row r="421" spans="1:9" ht="45" customHeight="1">
      <c r="A421" s="10" t="s">
        <v>2709</v>
      </c>
      <c r="B421" s="10" t="s">
        <v>2710</v>
      </c>
      <c r="C421" s="10" t="s">
        <v>2894</v>
      </c>
      <c r="D421" s="10" t="s">
        <v>2895</v>
      </c>
      <c r="E421" s="10" t="s">
        <v>2894</v>
      </c>
      <c r="F421" s="10" t="s">
        <v>2896</v>
      </c>
      <c r="G421" s="10" t="s">
        <v>1126</v>
      </c>
      <c r="H421" s="10" t="s">
        <v>2775</v>
      </c>
      <c r="I421" s="11" t="s">
        <v>605</v>
      </c>
    </row>
    <row r="422" spans="1:9" ht="45" customHeight="1">
      <c r="A422" s="8" t="s">
        <v>2714</v>
      </c>
      <c r="B422" s="8" t="s">
        <v>2715</v>
      </c>
      <c r="C422" s="8" t="s">
        <v>2766</v>
      </c>
      <c r="D422" s="8" t="s">
        <v>2766</v>
      </c>
      <c r="E422" s="8" t="s">
        <v>2766</v>
      </c>
      <c r="F422" s="8" t="s">
        <v>2767</v>
      </c>
      <c r="G422" s="8" t="s">
        <v>1126</v>
      </c>
      <c r="H422" s="8" t="s">
        <v>2768</v>
      </c>
      <c r="I422" s="9" t="s">
        <v>2769</v>
      </c>
    </row>
    <row r="423" spans="1:9" ht="45" customHeight="1">
      <c r="A423" s="10" t="s">
        <v>2717</v>
      </c>
      <c r="B423" s="10" t="s">
        <v>2718</v>
      </c>
      <c r="C423" s="10" t="s">
        <v>2766</v>
      </c>
      <c r="D423" s="10" t="s">
        <v>2766</v>
      </c>
      <c r="E423" s="10" t="s">
        <v>2766</v>
      </c>
      <c r="F423" s="10" t="s">
        <v>2767</v>
      </c>
      <c r="G423" s="10" t="s">
        <v>1126</v>
      </c>
      <c r="H423" s="10" t="s">
        <v>2768</v>
      </c>
      <c r="I423" s="11" t="s">
        <v>2769</v>
      </c>
    </row>
    <row r="424" spans="1:9" ht="34" customHeight="1">
      <c r="A424" s="8" t="s">
        <v>2720</v>
      </c>
      <c r="B424" s="8" t="s">
        <v>2721</v>
      </c>
      <c r="C424" s="8" t="s">
        <v>2770</v>
      </c>
      <c r="D424" s="8" t="s">
        <v>2770</v>
      </c>
      <c r="E424" s="8" t="s">
        <v>2770</v>
      </c>
      <c r="F424" s="8" t="s">
        <v>2771</v>
      </c>
      <c r="G424" s="12" t="s">
        <v>1136</v>
      </c>
      <c r="H424" s="12" t="s">
        <v>2772</v>
      </c>
      <c r="I424" s="9" t="s">
        <v>2868</v>
      </c>
    </row>
    <row r="425" spans="1:9" ht="45" customHeight="1">
      <c r="A425" s="10" t="s">
        <v>2724</v>
      </c>
      <c r="B425" s="10" t="s">
        <v>2725</v>
      </c>
      <c r="C425" s="10" t="s">
        <v>2766</v>
      </c>
      <c r="D425" s="10" t="s">
        <v>2766</v>
      </c>
      <c r="E425" s="10" t="s">
        <v>2766</v>
      </c>
      <c r="F425" s="10" t="s">
        <v>2869</v>
      </c>
      <c r="G425" s="10" t="s">
        <v>1126</v>
      </c>
      <c r="H425" s="10" t="s">
        <v>2768</v>
      </c>
      <c r="I425" s="11" t="s">
        <v>2868</v>
      </c>
    </row>
    <row r="426" spans="1:9" ht="45" customHeight="1">
      <c r="A426" s="8" t="s">
        <v>2727</v>
      </c>
      <c r="B426" s="8" t="s">
        <v>2728</v>
      </c>
      <c r="C426" s="8" t="s">
        <v>1285</v>
      </c>
      <c r="D426" s="8" t="s">
        <v>1285</v>
      </c>
      <c r="E426" s="8" t="s">
        <v>1285</v>
      </c>
      <c r="F426" s="8" t="s">
        <v>2897</v>
      </c>
      <c r="G426" s="8" t="s">
        <v>1126</v>
      </c>
      <c r="H426" s="8" t="s">
        <v>2775</v>
      </c>
      <c r="I426" s="9" t="s">
        <v>864</v>
      </c>
    </row>
    <row r="427" spans="1:9" ht="34" customHeight="1">
      <c r="A427" s="10" t="s">
        <v>2730</v>
      </c>
      <c r="B427" s="10" t="s">
        <v>2731</v>
      </c>
      <c r="C427" s="10" t="s">
        <v>2770</v>
      </c>
      <c r="D427" s="10" t="s">
        <v>2770</v>
      </c>
      <c r="E427" s="10" t="s">
        <v>2770</v>
      </c>
      <c r="F427" s="10" t="s">
        <v>2771</v>
      </c>
      <c r="G427" s="12" t="s">
        <v>1136</v>
      </c>
      <c r="H427" s="12" t="s">
        <v>2772</v>
      </c>
      <c r="I427" s="11" t="s">
        <v>2868</v>
      </c>
    </row>
    <row r="428" spans="1:9" ht="45" customHeight="1">
      <c r="A428" s="8" t="s">
        <v>2733</v>
      </c>
      <c r="B428" s="8" t="s">
        <v>2734</v>
      </c>
      <c r="C428" s="8" t="s">
        <v>1543</v>
      </c>
      <c r="D428" s="8" t="s">
        <v>1543</v>
      </c>
      <c r="E428" s="8" t="s">
        <v>1543</v>
      </c>
      <c r="F428" s="8" t="s">
        <v>2898</v>
      </c>
      <c r="G428" s="8" t="s">
        <v>1126</v>
      </c>
      <c r="H428" s="8" t="s">
        <v>2775</v>
      </c>
      <c r="I428" s="9" t="s">
        <v>864</v>
      </c>
    </row>
    <row r="429" spans="1:9" ht="45" customHeight="1">
      <c r="A429" s="10" t="s">
        <v>2736</v>
      </c>
      <c r="B429" s="10" t="s">
        <v>2737</v>
      </c>
      <c r="C429" s="10" t="s">
        <v>2766</v>
      </c>
      <c r="D429" s="10" t="s">
        <v>2766</v>
      </c>
      <c r="E429" s="10" t="s">
        <v>2766</v>
      </c>
      <c r="F429" s="10" t="s">
        <v>2869</v>
      </c>
      <c r="G429" s="10" t="s">
        <v>1126</v>
      </c>
      <c r="H429" s="10" t="s">
        <v>2768</v>
      </c>
      <c r="I429" s="11" t="s">
        <v>2868</v>
      </c>
    </row>
    <row r="430" spans="1:9" ht="45" customHeight="1">
      <c r="A430" s="8" t="s">
        <v>2739</v>
      </c>
      <c r="B430" s="8" t="s">
        <v>2740</v>
      </c>
      <c r="C430" s="8" t="s">
        <v>2766</v>
      </c>
      <c r="D430" s="8" t="s">
        <v>2766</v>
      </c>
      <c r="E430" s="8" t="s">
        <v>2766</v>
      </c>
      <c r="F430" s="8" t="s">
        <v>2869</v>
      </c>
      <c r="G430" s="8" t="s">
        <v>1126</v>
      </c>
      <c r="H430" s="8" t="s">
        <v>2768</v>
      </c>
      <c r="I430" s="9" t="s">
        <v>2868</v>
      </c>
    </row>
    <row r="431" spans="1:9" ht="45" customHeight="1">
      <c r="A431" s="10" t="s">
        <v>2742</v>
      </c>
      <c r="B431" s="10" t="s">
        <v>2743</v>
      </c>
      <c r="C431" s="10" t="s">
        <v>2899</v>
      </c>
      <c r="D431" s="10" t="s">
        <v>2899</v>
      </c>
      <c r="E431" s="10" t="s">
        <v>2899</v>
      </c>
      <c r="F431" s="10" t="s">
        <v>2900</v>
      </c>
      <c r="G431" s="10" t="s">
        <v>1126</v>
      </c>
      <c r="H431" s="10" t="s">
        <v>2775</v>
      </c>
      <c r="I431" s="11" t="s">
        <v>864</v>
      </c>
    </row>
    <row r="432" spans="1:9" ht="45" customHeight="1">
      <c r="A432" s="8" t="s">
        <v>2746</v>
      </c>
      <c r="B432" s="8" t="s">
        <v>2747</v>
      </c>
      <c r="C432" s="8" t="s">
        <v>2766</v>
      </c>
      <c r="D432" s="8" t="s">
        <v>2766</v>
      </c>
      <c r="E432" s="8" t="s">
        <v>2766</v>
      </c>
      <c r="F432" s="8" t="s">
        <v>2869</v>
      </c>
      <c r="G432" s="8" t="s">
        <v>1126</v>
      </c>
      <c r="H432" s="8" t="s">
        <v>2768</v>
      </c>
      <c r="I432" s="9" t="s">
        <v>2868</v>
      </c>
    </row>
    <row r="433" spans="1:9" ht="45" customHeight="1">
      <c r="A433" s="10" t="s">
        <v>2749</v>
      </c>
      <c r="B433" s="10" t="s">
        <v>606</v>
      </c>
      <c r="C433" s="10" t="s">
        <v>608</v>
      </c>
      <c r="D433" s="10" t="s">
        <v>609</v>
      </c>
      <c r="E433" s="10" t="s">
        <v>2846</v>
      </c>
      <c r="F433" s="10" t="s">
        <v>2901</v>
      </c>
      <c r="G433" s="10" t="s">
        <v>1126</v>
      </c>
      <c r="H433" s="10" t="s">
        <v>2775</v>
      </c>
      <c r="I433" s="11" t="s">
        <v>2902</v>
      </c>
    </row>
    <row r="434" spans="1:9" ht="45" customHeight="1">
      <c r="A434" s="8" t="s">
        <v>2752</v>
      </c>
      <c r="B434" s="8" t="s">
        <v>2753</v>
      </c>
      <c r="C434" s="8" t="s">
        <v>2766</v>
      </c>
      <c r="D434" s="8" t="s">
        <v>2766</v>
      </c>
      <c r="E434" s="8" t="s">
        <v>2766</v>
      </c>
      <c r="F434" s="8" t="s">
        <v>2767</v>
      </c>
      <c r="G434" s="8" t="s">
        <v>1126</v>
      </c>
      <c r="H434" s="8" t="s">
        <v>2768</v>
      </c>
      <c r="I434" s="9" t="s">
        <v>2769</v>
      </c>
    </row>
    <row r="435" spans="1:9" ht="45" customHeight="1">
      <c r="A435" s="10" t="s">
        <v>2755</v>
      </c>
      <c r="B435" s="10" t="s">
        <v>2756</v>
      </c>
      <c r="C435" s="10" t="s">
        <v>2766</v>
      </c>
      <c r="D435" s="10" t="s">
        <v>2766</v>
      </c>
      <c r="E435" s="10" t="s">
        <v>2766</v>
      </c>
      <c r="F435" s="10" t="s">
        <v>2767</v>
      </c>
      <c r="G435" s="10" t="s">
        <v>1126</v>
      </c>
      <c r="H435" s="10" t="s">
        <v>2768</v>
      </c>
      <c r="I435" s="11" t="s">
        <v>2769</v>
      </c>
    </row>
  </sheetData>
  <autoFilter ref="A5:I435"/>
  <mergeCells count="2">
    <mergeCell ref="A1:I2"/>
    <mergeCell ref="A3:I3"/>
  </mergeCells>
  <hyperlinks>
    <hyperlink ref="I6" location="'90_公式出典'!A25" display="S20 S53"/>
    <hyperlink ref="I7" location="'90_公式出典'!A25" display="S20 S53"/>
    <hyperlink ref="I8" location="'90_公式出典'!A25" display="S20 S53"/>
    <hyperlink ref="I9" location="'90_公式出典'!A25" display="S20 S53"/>
    <hyperlink ref="I10" location="'90_公式出典'!A25" display="S20"/>
    <hyperlink ref="I11" location="'90_公式出典'!A25" display="S20 S53"/>
    <hyperlink ref="I12" location="'90_公式出典'!A28" display="S23"/>
    <hyperlink ref="I13" location="'90_公式出典'!A25" display="S20 S53"/>
    <hyperlink ref="I14" location="'90_公式出典'!A25" display="S20 S53"/>
    <hyperlink ref="I15" location="'90_公式出典'!A58" display="S53 S54"/>
    <hyperlink ref="I16" location="'90_公式出典'!A25" display="S20 S53"/>
    <hyperlink ref="I17" location="'90_公式出典'!A25" display="S20 S53"/>
    <hyperlink ref="I18" location="'90_公式出典'!A25" display="S20 S53"/>
    <hyperlink ref="I19" location="'90_公式出典'!A25" display="S20 S53"/>
    <hyperlink ref="I20" location="'90_公式出典'!A22" display="S17 S38"/>
    <hyperlink ref="I21" location="'90_公式出典'!A25" display="S20"/>
    <hyperlink ref="I22" location="'90_公式出典'!A25" display="S20"/>
    <hyperlink ref="I23" location="'90_公式出典'!A25" display="S20"/>
    <hyperlink ref="I24" location="'90_公式出典'!A66" display="S61"/>
    <hyperlink ref="I25" location="'90_公式出典'!A25" display="S20"/>
    <hyperlink ref="I26" location="'90_公式出典'!A9" display="S04"/>
    <hyperlink ref="I27" location="'90_公式出典'!A25" display="S20 S53"/>
    <hyperlink ref="I28" location="'90_公式出典'!A61" display="S56 S57"/>
    <hyperlink ref="I29" location="'90_公式出典'!A25" display="S20 S53"/>
    <hyperlink ref="I30" location="'90_公式出典'!A27" display="S22"/>
    <hyperlink ref="I31" location="'90_公式出典'!A15" display="S10"/>
    <hyperlink ref="I32" location="'90_公式出典'!A25" display="S20 S53"/>
    <hyperlink ref="I33" location="'90_公式出典'!A25" display="S20 S53"/>
    <hyperlink ref="I34" location="'90_公式出典'!A25" display="S20 S53"/>
    <hyperlink ref="I35" location="'90_公式出典'!A25" display="S20"/>
    <hyperlink ref="I36" location="'90_公式出典'!A25" display="S20"/>
    <hyperlink ref="I37" location="'90_公式出典'!A25" display="S20"/>
    <hyperlink ref="I38" location="'90_公式出典'!A25" display="S20"/>
    <hyperlink ref="I39" location="'90_公式出典'!A25" display="S20"/>
    <hyperlink ref="I40" location="'90_公式出典'!A25" display="S20"/>
    <hyperlink ref="I41" location="'90_公式出典'!A25" display="S20 S53"/>
    <hyperlink ref="I42" location="'90_公式出典'!A25" display="S20 S53"/>
    <hyperlink ref="I43" location="'90_公式出典'!A25" display="S20 S15"/>
    <hyperlink ref="I44" location="'90_公式出典'!A25" display="S20 S15"/>
    <hyperlink ref="I45" location="'90_公式出典'!A25" display="S20 S15"/>
    <hyperlink ref="I46" location="'90_公式出典'!A25" display="S20 S15"/>
    <hyperlink ref="I47" location="'90_公式出典'!A25" display="S20 S15"/>
    <hyperlink ref="I48" location="'90_公式出典'!A20" display="S15 S20"/>
    <hyperlink ref="I49" location="'90_公式出典'!A25" display="S20 S15"/>
    <hyperlink ref="I50" location="'90_公式出典'!A25" display="S20 S15"/>
    <hyperlink ref="I51" location="'90_公式出典'!A25" display="S20 S15"/>
    <hyperlink ref="I52" location="'90_公式出典'!A25" display="S20 S15"/>
    <hyperlink ref="I53" location="'90_公式出典'!A25" display="S20 S15"/>
    <hyperlink ref="I54" location="'90_公式出典'!A25" display="S20 S15"/>
    <hyperlink ref="I55" location="'90_公式出典'!A25" display="S20 S15"/>
    <hyperlink ref="I56" location="'90_公式出典'!A25" display="S20 S15"/>
    <hyperlink ref="I57" location="'90_公式出典'!A25" display="S20 S15"/>
    <hyperlink ref="I58" location="'90_公式出典'!A25" display="S20 S15"/>
    <hyperlink ref="I59" location="'90_公式出典'!A25" display="S20 S15"/>
    <hyperlink ref="I60" location="'90_公式出典'!A25" display="S20 S15"/>
    <hyperlink ref="I61" location="'90_公式出典'!A25" display="S20 S15"/>
    <hyperlink ref="I62" location="'90_公式出典'!A25" display="S20 S15"/>
    <hyperlink ref="I63" location="'90_公式出典'!A25" display="S20 S53"/>
    <hyperlink ref="I64" location="'90_公式出典'!A32" display="S27"/>
    <hyperlink ref="I65" location="'90_公式出典'!A32" display="S27"/>
    <hyperlink ref="I66" location="'90_公式出典'!A58" display="S53"/>
    <hyperlink ref="I67" location="'90_公式出典'!A25" display="S20 S53"/>
    <hyperlink ref="I68" location="'90_公式出典'!A32" display="S27"/>
    <hyperlink ref="I69" location="'90_公式出典'!A58" display="S53"/>
    <hyperlink ref="I70" location="'90_公式出典'!A25" display="S20 S53"/>
    <hyperlink ref="I71" location="'90_公式出典'!A32" display="S27 S53"/>
    <hyperlink ref="I72" location="'90_公式出典'!A58" display="S53"/>
    <hyperlink ref="I73" location="'90_公式出典'!A25" display="S20 S53"/>
    <hyperlink ref="I74" location="'90_公式出典'!A25" display="S20 S53"/>
    <hyperlink ref="I75" location="'90_公式出典'!A58" display="S53"/>
    <hyperlink ref="I76" location="'90_公式出典'!A25" display="S20 S53"/>
    <hyperlink ref="I77" location="'90_公式出典'!A58" display="S53"/>
    <hyperlink ref="I78" location="'90_公式出典'!A25" display="S20 S53"/>
    <hyperlink ref="I79" location="'90_公式出典'!A27" display="S22 S33"/>
    <hyperlink ref="I80" location="'90_公式出典'!A25" display="S20 S53"/>
    <hyperlink ref="I81" location="'90_公式出典'!A25" display="S20 S53"/>
    <hyperlink ref="I82" location="'90_公式出典'!A25" display="S20 S53"/>
    <hyperlink ref="I83" location="'90_公式出典'!A25" display="S20 S53"/>
    <hyperlink ref="I84" location="'90_公式出典'!A25" display="S20 S53"/>
    <hyperlink ref="I85" location="'90_公式出典'!A25" display="S20 S53"/>
    <hyperlink ref="I86" location="'90_公式出典'!A25" display="S20 S53"/>
    <hyperlink ref="I87" location="'90_公式出典'!A25" display="S20 S53"/>
    <hyperlink ref="I88" location="'90_公式出典'!A25" display="S20 S53"/>
    <hyperlink ref="I89" location="'90_公式出典'!A25" display="S20 S53"/>
    <hyperlink ref="I90" location="'90_公式出典'!A25" display="S20 S53"/>
    <hyperlink ref="I91" location="'90_公式出典'!A25" display="S20 S53"/>
    <hyperlink ref="I92" location="'90_公式出典'!A58" display="S53"/>
    <hyperlink ref="I93" location="'90_公式出典'!A58" display="S53"/>
    <hyperlink ref="I94" location="'90_公式出典'!A25" display="S20 S53"/>
    <hyperlink ref="I95" location="'90_公式出典'!A25" display="S20 S53"/>
    <hyperlink ref="I96" location="'90_公式出典'!A25" display="S20 S53"/>
    <hyperlink ref="I97" location="'90_公式出典'!A25" display="S20 S53"/>
    <hyperlink ref="I98" location="'90_公式出典'!A25" display="S20 S53"/>
    <hyperlink ref="I99" location="'90_公式出典'!A25" display="S20 S53"/>
    <hyperlink ref="I100" location="'90_公式出典'!A25" display="S20 S53"/>
    <hyperlink ref="I101" location="'90_公式出典'!A25" display="S20 S53"/>
    <hyperlink ref="I102" location="'90_公式出典'!A25" display="S20 S53"/>
    <hyperlink ref="I103" location="'90_公式出典'!A25" display="S20"/>
    <hyperlink ref="I104" location="'90_公式出典'!A25" display="S20"/>
    <hyperlink ref="I105" location="'90_公式出典'!A28" display="S23"/>
    <hyperlink ref="I106" location="'90_公式出典'!A25" display="S20 S53"/>
    <hyperlink ref="I107" location="'90_公式出典'!A25" display="S20 S15"/>
    <hyperlink ref="I108" location="'90_公式出典'!A25" display="S20 S15"/>
    <hyperlink ref="I109" location="'90_公式出典'!A25" display="S20 S15"/>
    <hyperlink ref="I110" location="'90_公式出典'!A58" display="S53"/>
    <hyperlink ref="I111" location="'90_公式出典'!A22" display="S17 S38"/>
    <hyperlink ref="I112" location="'90_公式出典'!A25" display="S20 S53"/>
    <hyperlink ref="I113" location="'90_公式出典'!A13" display="S08"/>
    <hyperlink ref="I114" location="'90_公式出典'!A59" display="S54 S35"/>
    <hyperlink ref="I115" location="'90_公式出典'!A59" display="S54 S35"/>
    <hyperlink ref="I116" location="'90_公式出典'!A59" display="S54 S35"/>
    <hyperlink ref="I117" location="'90_公式出典'!A59" display="S54 S35"/>
    <hyperlink ref="I118" location="'90_公式出典'!A59" display="S54 S35"/>
    <hyperlink ref="I119" location="'90_公式出典'!A59" display="S54 S35"/>
    <hyperlink ref="I120" location="'90_公式出典'!A59" display="S54 S35"/>
    <hyperlink ref="I121" location="'90_公式出典'!A59" display="S54 S35"/>
    <hyperlink ref="I122" location="'90_公式出典'!A22" display="S17 S38"/>
    <hyperlink ref="I123" location="'90_公式出典'!A22" display="S17 S38"/>
    <hyperlink ref="I124" location="'90_公式出典'!A22" display="S17 S38"/>
    <hyperlink ref="I125" location="'90_公式出典'!A22" display="S17 S38"/>
    <hyperlink ref="I126" location="'90_公式出典'!A22" display="S17 S38"/>
    <hyperlink ref="I127" location="'90_公式出典'!A22" display="S17 S38"/>
    <hyperlink ref="I128" location="'90_公式出典'!A22" display="S17"/>
    <hyperlink ref="I129" location="'90_公式出典'!A22" display="S17 S38"/>
    <hyperlink ref="I130" location="'90_公式出典'!A59" display="S54 S35"/>
    <hyperlink ref="I131" location="'90_公式出典'!A59" display="S54 S35"/>
    <hyperlink ref="I132" location="'90_公式出典'!A59" display="S54 S35"/>
    <hyperlink ref="I133" location="'90_公式出典'!A59" display="S54 S35"/>
    <hyperlink ref="I134" location="'90_公式出典'!A59" display="S54"/>
    <hyperlink ref="I135" location="'90_公式出典'!A59" display="S54"/>
    <hyperlink ref="I136" location="'90_公式出典'!A59" display="S54 S35"/>
    <hyperlink ref="I137" location="'90_公式出典'!A42" display="S37"/>
    <hyperlink ref="I138" location="'90_公式出典'!A59" display="S54 S35"/>
    <hyperlink ref="I139" location="'90_公式出典'!A59" display="S54 S35"/>
    <hyperlink ref="I140" location="'90_公式出典'!A58" display="S53 S54"/>
    <hyperlink ref="I141" location="'90_公式出典'!A25" display="S20"/>
    <hyperlink ref="I142" location="'90_公式出典'!A59" display="S54 S35"/>
    <hyperlink ref="I143" location="'90_公式出典'!A59" display="S54 S35"/>
    <hyperlink ref="I144" location="'90_公式出典'!A59" display="S54 S35"/>
    <hyperlink ref="I145" location="'90_公式出典'!A59" display="S54"/>
    <hyperlink ref="I146" location="'90_公式出典'!A59" display="S54"/>
    <hyperlink ref="I147" location="'90_公式出典'!A59" display="S54"/>
    <hyperlink ref="I148" location="'90_公式出典'!A59" display="S54"/>
    <hyperlink ref="I149" location="'90_公式出典'!A59" display="S54"/>
    <hyperlink ref="I150" location="'90_公式出典'!A59" display="S54"/>
    <hyperlink ref="I151" location="'90_公式出典'!A59" display="S54"/>
    <hyperlink ref="I152" location="'90_公式出典'!A59" display="S54"/>
    <hyperlink ref="I153" location="'90_公式出典'!A59" display="S54"/>
    <hyperlink ref="I154" location="'90_公式出典'!A59" display="S54 S35"/>
    <hyperlink ref="I155" location="'90_公式出典'!A59" display="S54 S35"/>
    <hyperlink ref="I156" location="'90_公式出典'!A59" display="S54"/>
    <hyperlink ref="I157" location="'90_公式出典'!A59" display="S54 S35"/>
    <hyperlink ref="I158" location="'90_公式出典'!A59" display="S54 S35"/>
    <hyperlink ref="I159" location="'90_公式出典'!A59" display="S54 S35"/>
    <hyperlink ref="I160" location="'90_公式出典'!A59" display="S54 S35"/>
    <hyperlink ref="I161" location="'90_公式出典'!A59" display="S54 S35"/>
    <hyperlink ref="I162" location="'90_公式出典'!A59" display="S54 S35"/>
    <hyperlink ref="I163" location="'90_公式出典'!A59" display="S54 S35"/>
    <hyperlink ref="I164" location="'90_公式出典'!A59" display="S54 S35"/>
    <hyperlink ref="I165" location="'90_公式出典'!A59" display="S54 S35"/>
    <hyperlink ref="I166" location="'90_公式出典'!A59" display="S54 S35"/>
    <hyperlink ref="I167" location="'90_公式出典'!A59" display="S54 S35"/>
    <hyperlink ref="I168" location="'90_公式出典'!A59" display="S54 S35"/>
    <hyperlink ref="I169" location="'90_公式出典'!A59" display="S54 S35"/>
    <hyperlink ref="I170" location="'90_公式出典'!A59" display="S54 S35"/>
    <hyperlink ref="I171" location="'90_公式出典'!A59" display="S54 S35"/>
    <hyperlink ref="I172" location="'90_公式出典'!A59" display="S54 S35"/>
    <hyperlink ref="I173" location="'90_公式出典'!A59" display="S54 S35"/>
    <hyperlink ref="I174" location="'90_公式出典'!A25" display="S20"/>
    <hyperlink ref="I175" location="'90_公式出典'!A59" display="S54 S35"/>
    <hyperlink ref="I176" location="'90_公式出典'!A22" display="S17"/>
    <hyperlink ref="I177" location="'90_公式出典'!A59" display="S54 S35"/>
    <hyperlink ref="I178" location="'90_公式出典'!A59" display="S54 S35"/>
    <hyperlink ref="I179" location="'90_公式出典'!A59" display="S54 S35"/>
    <hyperlink ref="I180" location="'90_公式出典'!A59" display="S54"/>
    <hyperlink ref="I181" location="'90_公式出典'!A59" display="S54 S35"/>
    <hyperlink ref="I182" location="'90_公式出典'!A22" display="S17 S38"/>
    <hyperlink ref="I183" location="'90_公式出典'!A59" display="S54 S35"/>
    <hyperlink ref="I184" location="'90_公式出典'!A59" display="S54 S35"/>
    <hyperlink ref="I185" location="'90_公式出典'!A7" display="S02 S54"/>
    <hyperlink ref="I186" location="'90_公式出典'!A59" display="S54 S35"/>
    <hyperlink ref="I187" location="'90_公式出典'!A59" display="S54 S35"/>
    <hyperlink ref="I188" location="'90_公式出典'!A59" display="S54"/>
    <hyperlink ref="I189" location="'90_公式出典'!A59" display="S54"/>
    <hyperlink ref="I190" location="'90_公式出典'!A59" display="S54 S35"/>
    <hyperlink ref="I191" location="'90_公式出典'!A59" display="S54 S35"/>
    <hyperlink ref="I192" location="'90_公式出典'!A59" display="S54 S35"/>
    <hyperlink ref="I193" location="'90_公式出典'!A59" display="S54 S35"/>
    <hyperlink ref="I194" location="'90_公式出典'!A59" display="S54"/>
    <hyperlink ref="I195" location="'90_公式出典'!A59" display="S54 S35"/>
    <hyperlink ref="I196" location="'90_公式出典'!A59" display="S54 S35"/>
    <hyperlink ref="I197" location="'90_公式出典'!A59" display="S54 S35"/>
    <hyperlink ref="I198" location="'90_公式出典'!A59" display="S54 S35"/>
    <hyperlink ref="I199" location="'90_公式出典'!A59" display="S54 S35"/>
    <hyperlink ref="I200" location="'90_公式出典'!A25" display="S20"/>
    <hyperlink ref="I201" location="'90_公式出典'!A59" display="S54 S35"/>
    <hyperlink ref="I202" location="'90_公式出典'!A59" display="S54 S35"/>
    <hyperlink ref="I203" location="'90_公式出典'!A59" display="S54 S35"/>
    <hyperlink ref="I204" location="'90_公式出典'!A32" display="S27 S53"/>
    <hyperlink ref="I205" location="'90_公式出典'!A25" display="S20 S53"/>
    <hyperlink ref="I206" location="'90_公式出典'!A22" display="S17 S38"/>
    <hyperlink ref="I207" location="'90_公式出典'!A25" display="S20 S53"/>
    <hyperlink ref="I208" location="'90_公式出典'!A22" display="S17 S38"/>
    <hyperlink ref="I209" location="'90_公式出典'!A25" display="S20 S53"/>
    <hyperlink ref="I210" location="'90_公式出典'!A25" display="S20 S53"/>
    <hyperlink ref="I211" location="'90_公式出典'!A25" display="S20 S53"/>
    <hyperlink ref="I212" location="'90_公式出典'!A25" display="S20 S53"/>
    <hyperlink ref="I213" location="'90_公式出典'!A58" display="S53"/>
    <hyperlink ref="I214" location="'90_公式出典'!A58" display="S53"/>
    <hyperlink ref="I215" location="'90_公式出典'!A25" display="S20"/>
    <hyperlink ref="I216" location="'90_公式出典'!A25" display="S20"/>
    <hyperlink ref="I217" location="'90_公式出典'!A25" display="S20"/>
    <hyperlink ref="I218" location="'90_公式出典'!A25" display="S20"/>
    <hyperlink ref="I219" location="'90_公式出典'!A25" display="S20"/>
    <hyperlink ref="I220" location="'90_公式出典'!A25" display="S20"/>
    <hyperlink ref="I221" location="'90_公式出典'!A58" display="S53"/>
    <hyperlink ref="I222" location="'90_公式出典'!A25" display="S20"/>
    <hyperlink ref="I223" location="'90_公式出典'!A58" display="S53"/>
    <hyperlink ref="I224" location="'90_公式出典'!A25" display="S20"/>
    <hyperlink ref="I225" location="'90_公式出典'!A25" display="S20"/>
    <hyperlink ref="I226" location="'90_公式出典'!A25" display="S20"/>
    <hyperlink ref="I227" location="'90_公式出典'!A58" display="S53"/>
    <hyperlink ref="I228" location="'90_公式出典'!A25" display="S20"/>
    <hyperlink ref="I229" location="'90_公式出典'!A25" display="S20 S53"/>
    <hyperlink ref="I230" location="'90_公式出典'!A25" display="S20 S53"/>
    <hyperlink ref="I231" location="'90_公式出典'!A14" display="S09 S53"/>
    <hyperlink ref="I232" location="'90_公式出典'!A22" display="S17 S38"/>
    <hyperlink ref="I233" location="'90_公式出典'!A25" display="S20 S53"/>
    <hyperlink ref="I234" location="'90_公式出典'!A22" display="S17 S38"/>
    <hyperlink ref="I235" location="'90_公式出典'!A25" display="S20 S53"/>
    <hyperlink ref="I236" location="'90_公式出典'!A22" display="S17 S08"/>
    <hyperlink ref="I237" location="'90_公式出典'!A25" display="S20 S53"/>
    <hyperlink ref="I238" location="'90_公式出典'!A25" display="S20 S53"/>
    <hyperlink ref="I239" location="'90_公式出典'!A25" display="S20 S53"/>
    <hyperlink ref="I240" location="'90_公式出典'!A58" display="S53"/>
    <hyperlink ref="I241" location="'90_公式出典'!A22" display="S17 S38"/>
    <hyperlink ref="I242" location="'90_公式出典'!A25" display="S20 S53"/>
    <hyperlink ref="I243" location="'90_公式出典'!A58" display="S53"/>
    <hyperlink ref="I244" location="'90_公式出典'!A25" display="S20 S53"/>
    <hyperlink ref="I245" location="'90_公式出典'!A25" display="S20 S53"/>
    <hyperlink ref="I246" location="'90_公式出典'!A25" display="S20 S53"/>
    <hyperlink ref="I247" location="'90_公式出典'!A25" display="S20 S53"/>
    <hyperlink ref="I248" location="'90_公式出典'!A25" display="S20 S53"/>
    <hyperlink ref="I249" location="'90_公式出典'!A58" display="S53 S07"/>
    <hyperlink ref="I250" location="'90_公式出典'!A25" display="S20 S53"/>
    <hyperlink ref="I251" location="'90_公式出典'!A25" display="S20 S53"/>
    <hyperlink ref="I252" location="'90_公式出典'!A25" display="S20 S53"/>
    <hyperlink ref="I253" location="'90_公式出典'!A25" display="S20 S53"/>
    <hyperlink ref="I254" location="'90_公式出典'!A25" display="S20 S53"/>
    <hyperlink ref="I255" location="'90_公式出典'!A25" display="S20 S53"/>
    <hyperlink ref="I256" location="'90_公式出典'!A25" display="S20 S53"/>
    <hyperlink ref="I257" location="'90_公式出典'!A25" display="S20 S53"/>
    <hyperlink ref="I258" location="'90_公式出典'!A27" display="S22 S23"/>
    <hyperlink ref="I259" location="'90_公式出典'!A27" display="S22 S23"/>
    <hyperlink ref="I260" location="'90_公式出典'!A22" display="S17 S38"/>
    <hyperlink ref="I261" location="'90_公式出典'!A58" display="S53"/>
    <hyperlink ref="I262" location="'90_公式出典'!A58" display="S53 S54"/>
    <hyperlink ref="I263" location="'90_公式出典'!A58" display="S53"/>
    <hyperlink ref="I264" location="'90_公式出典'!A59" display="S54"/>
    <hyperlink ref="I265" location="'90_公式出典'!A58" display="S53"/>
    <hyperlink ref="I266" location="'90_公式出典'!A58" display="S53"/>
    <hyperlink ref="I267" location="'90_公式出典'!A58" display="S53"/>
    <hyperlink ref="I268" location="'90_公式出典'!A58" display="S53"/>
    <hyperlink ref="I269" location="'90_公式出典'!A58" display="S53"/>
    <hyperlink ref="I270" location="'90_公式出典'!A58" display="S53"/>
    <hyperlink ref="I271" location="'90_公式出典'!A58" display="S53"/>
    <hyperlink ref="I272" location="'90_公式出典'!A58" display="S53"/>
    <hyperlink ref="I273" location="'90_公式出典'!A25" display="S20 S53"/>
    <hyperlink ref="I274" location="'90_公式出典'!A27" display="S22 S23"/>
    <hyperlink ref="I275" location="'90_公式出典'!A27" display="S22 S23"/>
    <hyperlink ref="I276" location="'90_公式出典'!A27" display="S22 S23"/>
    <hyperlink ref="I277" location="'90_公式出典'!A50" display="S45 S46"/>
    <hyperlink ref="I278" location="'90_公式出典'!A60" display="S55 S46"/>
    <hyperlink ref="I279" location="'90_公式出典'!A60" display="S55 S46"/>
    <hyperlink ref="I280" location="'90_公式出典'!A60" display="S55 S46"/>
    <hyperlink ref="I281" location="'90_公式出典'!A60" display="S55 S46"/>
    <hyperlink ref="I282" location="'90_公式出典'!A60" display="S55 S46"/>
    <hyperlink ref="I283" location="'90_公式出典'!A60" display="S55 S46"/>
    <hyperlink ref="I284" location="'90_公式出典'!A60" display="S55 S46"/>
    <hyperlink ref="I285" location="'90_公式出典'!A60" display="S55 S46"/>
    <hyperlink ref="I286" location="'90_公式出典'!A60" display="S55 S46"/>
    <hyperlink ref="I287" location="'90_公式出典'!A60" display="S55 S46"/>
    <hyperlink ref="I288" location="'90_公式出典'!A60" display="S55 S46"/>
    <hyperlink ref="I289" location="'90_公式出典'!A60" display="S55 S46"/>
    <hyperlink ref="I290" location="'90_公式出典'!A60" display="S55 S46"/>
    <hyperlink ref="I291" location="'90_公式出典'!A60" display="S55 S46"/>
    <hyperlink ref="I292" location="'90_公式出典'!A60" display="S55 S46"/>
    <hyperlink ref="I293" location="'90_公式出典'!A60" display="S55 S46"/>
    <hyperlink ref="I294" location="'90_公式出典'!A60" display="S55 S46"/>
    <hyperlink ref="I295" location="'90_公式出典'!A60" display="S55 S46"/>
    <hyperlink ref="I296" location="'90_公式出典'!A60" display="S55 S46"/>
    <hyperlink ref="I297" location="'90_公式出典'!A60" display="S55 S46"/>
    <hyperlink ref="I298" location="'90_公式出典'!A60" display="S55 S46"/>
    <hyperlink ref="I299" location="'90_公式出典'!A60" display="S55 S46"/>
    <hyperlink ref="I300" location="'90_公式出典'!A60" display="S55 S46"/>
    <hyperlink ref="I301" location="'90_公式出典'!A60" display="S55 S46"/>
    <hyperlink ref="I302" location="'90_公式出典'!A60" display="S55 S46"/>
    <hyperlink ref="I303" location="'90_公式出典'!A60" display="S55 S46"/>
    <hyperlink ref="I304" location="'90_公式出典'!A60" display="S55 S46"/>
    <hyperlink ref="I305" location="'90_公式出典'!A60" display="S55 S46"/>
    <hyperlink ref="I306" location="'90_公式出典'!A60" display="S55 S46"/>
    <hyperlink ref="I307" location="'90_公式出典'!A60" display="S55 S46"/>
    <hyperlink ref="I308" location="'90_公式出典'!A60" display="S55 S46"/>
    <hyperlink ref="I309" location="'90_公式出典'!A60" display="S55 S46"/>
    <hyperlink ref="I310" location="'90_公式出典'!A60" display="S55 S46"/>
    <hyperlink ref="I311" location="'90_公式出典'!A60" display="S55 S46"/>
    <hyperlink ref="I312" location="'90_公式出典'!A60" display="S55 S46"/>
    <hyperlink ref="I313" location="'90_公式出典'!A60" display="S55 S46"/>
    <hyperlink ref="I314" location="'90_公式出典'!A60" display="S55 S46"/>
    <hyperlink ref="I315" location="'90_公式出典'!A60" display="S55 S46"/>
    <hyperlink ref="I316" location="'90_公式出典'!A60" display="S55 S46"/>
    <hyperlink ref="I317" location="'90_公式出典'!A60" display="S55 S46"/>
    <hyperlink ref="I318" location="'90_公式出典'!A60" display="S55 S46"/>
    <hyperlink ref="I319" location="'90_公式出典'!A60" display="S55 S46"/>
    <hyperlink ref="I320" location="'90_公式出典'!A60" display="S55 S46"/>
    <hyperlink ref="I321" location="'90_公式出典'!A60" display="S55 S46"/>
    <hyperlink ref="I322" location="'90_公式出典'!A60" display="S55 S46"/>
    <hyperlink ref="I323" location="'90_公式出典'!A60" display="S55 S46"/>
    <hyperlink ref="I324" location="'90_公式出典'!A60" display="S55 S46"/>
    <hyperlink ref="I325" location="'90_公式出典'!A60" display="S55 S46"/>
    <hyperlink ref="I326" location="'90_公式出典'!A60" display="S55 S46"/>
    <hyperlink ref="I327" location="'90_公式出典'!A60" display="S55 S46"/>
    <hyperlink ref="I328" location="'90_公式出典'!A60" display="S55 S46"/>
    <hyperlink ref="I329" location="'90_公式出典'!A60" display="S55 S46"/>
    <hyperlink ref="I330" location="'90_公式出典'!A60" display="S55 S46"/>
    <hyperlink ref="I331" location="'90_公式出典'!A60" display="S55 S46"/>
    <hyperlink ref="I332" location="'90_公式出典'!A60" display="S55 S46"/>
    <hyperlink ref="I333" location="'90_公式出典'!A60" display="S55 S46"/>
    <hyperlink ref="I334" location="'90_公式出典'!A25" display="S20 S53"/>
    <hyperlink ref="I335" location="'90_公式出典'!A25" display="S20 S53"/>
    <hyperlink ref="I336" location="'90_公式出典'!A25" display="S20 S53"/>
    <hyperlink ref="I337" location="'90_公式出典'!A22" display="S17 S38"/>
    <hyperlink ref="I338" location="'90_公式出典'!A25" display="S20 S53"/>
    <hyperlink ref="I339" location="'90_公式出典'!A25" display="S20 S53"/>
    <hyperlink ref="I340" location="'90_公式出典'!A25" display="S20 S53"/>
    <hyperlink ref="I341" location="'90_公式出典'!A58" display="S53"/>
    <hyperlink ref="I342" location="'90_公式出典'!A58" display="S53"/>
    <hyperlink ref="I343" location="'90_公式出典'!A22" display="S17 S38"/>
    <hyperlink ref="I344" location="'90_公式出典'!A9" display="S04 S20"/>
    <hyperlink ref="I345" location="'90_公式出典'!A22" display="S17 S38"/>
    <hyperlink ref="I346" location="'90_公式出典'!A58" display="S53"/>
    <hyperlink ref="I347" location="'90_公式出典'!A58" display="S53"/>
    <hyperlink ref="I348" location="'90_公式出典'!A25" display="S20 S15"/>
    <hyperlink ref="I349" location="'90_公式出典'!A25" display="S20 S15"/>
    <hyperlink ref="I350" location="'90_公式出典'!A25" display="S20 S15"/>
    <hyperlink ref="I351" location="'90_公式出典'!A25" display="S20 S15"/>
    <hyperlink ref="I352" location="'90_公式出典'!A25" display="S20 S15"/>
    <hyperlink ref="I353" location="'90_公式出典'!A25" display="S20 S15"/>
    <hyperlink ref="I354" location="'90_公式出典'!A25" display="S20 S15"/>
    <hyperlink ref="I355" location="'90_公式出典'!A25" display="S20 S15"/>
    <hyperlink ref="I356" location="'90_公式出典'!A25" display="S20 S15"/>
    <hyperlink ref="I357" location="'90_公式出典'!A25" display="S20 S15"/>
    <hyperlink ref="I358" location="'90_公式出典'!A25" display="S20 S15"/>
    <hyperlink ref="I359" location="'90_公式出典'!A25" display="S20 S15"/>
    <hyperlink ref="I360" location="'90_公式出典'!A25" display="S20 S15"/>
    <hyperlink ref="I361" location="'90_公式出典'!A25" display="S20 S15"/>
    <hyperlink ref="I362" location="'90_公式出典'!A25" display="S20 S15"/>
    <hyperlink ref="I363" location="'90_公式出典'!A25" display="S20 S15"/>
    <hyperlink ref="I364" location="'90_公式出典'!A25" display="S20 S15"/>
    <hyperlink ref="I365" location="'90_公式出典'!A25" display="S20 S15"/>
    <hyperlink ref="I366" location="'90_公式出典'!A25" display="S20 S15"/>
    <hyperlink ref="I367" location="'90_公式出典'!A27" display="S22 S30"/>
    <hyperlink ref="I368" location="'90_公式出典'!A7" display="S02"/>
    <hyperlink ref="I369" location="'90_公式出典'!A25" display="S20 S53"/>
    <hyperlink ref="I370" location="'90_公式出典'!A25" display="S20 S53"/>
    <hyperlink ref="I371" location="'90_公式出典'!A22" display="S17 S38"/>
    <hyperlink ref="I372" location="'90_公式出典'!A25" display="S20 S53"/>
    <hyperlink ref="I373" location="'90_公式出典'!A25" display="S20"/>
    <hyperlink ref="I374" location="'90_公式出典'!A25" display="S20"/>
    <hyperlink ref="I375" location="'90_公式出典'!A25" display="S20"/>
    <hyperlink ref="I376" location="'90_公式出典'!A25" display="S20"/>
    <hyperlink ref="I377" location="'90_公式出典'!A25" display="S20"/>
    <hyperlink ref="I378" location="'90_公式出典'!A25" display="S20"/>
    <hyperlink ref="I379" location="'90_公式出典'!A25" display="S20 S53"/>
    <hyperlink ref="I380" location="'90_公式出典'!A25" display="S20 S53"/>
    <hyperlink ref="I381" location="'90_公式出典'!A25" display="S20 S53"/>
    <hyperlink ref="I382" location="'90_公式出典'!A25" display="S20 S53"/>
    <hyperlink ref="I383" location="'90_公式出典'!A25" display="S20 S53"/>
    <hyperlink ref="I384" location="'90_公式出典'!A25" display="S20 S53"/>
    <hyperlink ref="I385" location="'90_公式出典'!A25" display="S20 S53"/>
    <hyperlink ref="I386" location="'90_公式出典'!A25" display="S20"/>
    <hyperlink ref="I387" location="'90_公式出典'!A25" display="S20"/>
    <hyperlink ref="I388" location="'90_公式出典'!A25" display="S20"/>
    <hyperlink ref="I389" location="'90_公式出典'!A25" display="S20 S53"/>
    <hyperlink ref="I390" location="'90_公式出典'!A22" display="S17 S38"/>
    <hyperlink ref="I391" location="'90_公式出典'!A25" display="S20 S53"/>
    <hyperlink ref="I392" location="'90_公式出典'!A58" display="S53"/>
    <hyperlink ref="I393" location="'90_公式出典'!A58" display="S53"/>
    <hyperlink ref="I394" location="'90_公式出典'!A58" display="S53"/>
    <hyperlink ref="I395" location="'90_公式出典'!A27" display="S22 S23"/>
    <hyperlink ref="I396" location="'90_公式出典'!A27" display="S22 S23"/>
    <hyperlink ref="I397" location="'90_公式出典'!A27" display="S22 S23"/>
    <hyperlink ref="I398" location="'90_公式出典'!A22" display="S17 S38"/>
    <hyperlink ref="I399" location="'90_公式出典'!A22" display="S17 S38"/>
    <hyperlink ref="I400" location="'90_公式出典'!A25" display="S20 S53"/>
    <hyperlink ref="I401" location="'90_公式出典'!A25" display="S20 S15"/>
    <hyperlink ref="I402" location="'90_公式出典'!A25" display="S20 S15"/>
    <hyperlink ref="I403" location="'90_公式出典'!A25" display="S20 S53"/>
    <hyperlink ref="I404" location="'90_公式出典'!A22" display="S17 S38"/>
    <hyperlink ref="I405" location="'90_公式出典'!A22" display="S17"/>
    <hyperlink ref="I406" location="'90_公式出典'!A22" display="S17"/>
    <hyperlink ref="I407" location="'90_公式出典'!A22" display="S17 S38"/>
    <hyperlink ref="I408" location="'90_公式出典'!A22" display="S17 S38"/>
    <hyperlink ref="I409" location="'90_公式出典'!A22" display="S17 S38"/>
    <hyperlink ref="I410" location="'90_公式出典'!A22" display="S17 S38"/>
    <hyperlink ref="I411" location="'90_公式出典'!A22" display="S17 S38"/>
    <hyperlink ref="I412" location="'90_公式出典'!A22" display="S17 S38"/>
    <hyperlink ref="I413" location="'90_公式出典'!A25" display="S20 S53"/>
    <hyperlink ref="I414" location="'90_公式出典'!A25" display="S20 S53"/>
    <hyperlink ref="I415" location="'90_公式出典'!A58" display="S53"/>
    <hyperlink ref="I416" location="'90_公式出典'!A27" display="S22 S23"/>
    <hyperlink ref="I417" location="'90_公式出典'!A27" display="S22 S30"/>
    <hyperlink ref="I418" location="'90_公式出典'!A25" display="S20 S53"/>
    <hyperlink ref="I419" location="'90_公式出典'!A22" display="S17 S38"/>
    <hyperlink ref="I420" location="'90_公式出典'!A25" display="S20 S53"/>
    <hyperlink ref="I421" location="'90_公式出典'!A58" display="S53"/>
    <hyperlink ref="I422" location="'90_公式出典'!A25" display="S20 S53"/>
    <hyperlink ref="I423" location="'90_公式出典'!A25" display="S20 S53"/>
    <hyperlink ref="I424" location="'90_公式出典'!A27" display="S22 S23"/>
    <hyperlink ref="I425" location="'90_公式出典'!A27" display="S22 S23"/>
    <hyperlink ref="I426" location="'90_公式出典'!A28" display="S23"/>
    <hyperlink ref="I427" location="'90_公式出典'!A27" display="S22 S23"/>
    <hyperlink ref="I428" location="'90_公式出典'!A28" display="S23"/>
    <hyperlink ref="I429" location="'90_公式出典'!A27" display="S22 S23"/>
    <hyperlink ref="I430" location="'90_公式出典'!A27" display="S22 S23"/>
    <hyperlink ref="I431" location="'90_公式出典'!A28" display="S23"/>
    <hyperlink ref="I432" location="'90_公式出典'!A27" display="S22 S23"/>
    <hyperlink ref="I433" location="'90_公式出典'!A12" display="S07 S53"/>
    <hyperlink ref="I434" location="'90_公式出典'!A25" display="S20 S53"/>
    <hyperlink ref="I435" location="'90_公式出典'!A25" display="S20 S53"/>
  </hyperlinks>
  <pageMargins left="0.3" right="0.3" top="0.45" bottom="0.45" header="0.3" footer="0.3"/>
  <pageSetup paperSize="8" fitToWidth="2"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20.xml><?xml version="1.0" encoding="utf-8"?>
<worksheet xmlns="http://schemas.openxmlformats.org/spreadsheetml/2006/main" xmlns:r="http://schemas.openxmlformats.org/officeDocument/2006/relationships">
  <sheetPr>
    <tabColor rgb="FF777777"/>
    <pageSetUpPr fitToPage="1"/>
  </sheetPr>
  <dimension ref="A1:M304"/>
  <sheetViews>
    <sheetView showGridLines="0" zoomScale="80" zoomScaleNormal="8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9.7109375" customWidth="1"/>
    <col min="2" max="2" width="44.7109375" customWidth="1"/>
    <col min="3" max="3" width="36.7109375" customWidth="1"/>
    <col min="4" max="4" width="44.7109375" customWidth="1"/>
    <col min="5" max="5" width="45.7109375" customWidth="1"/>
    <col min="6" max="6" width="24.7109375" customWidth="1"/>
    <col min="7" max="7" width="10.7109375" customWidth="1"/>
    <col min="8" max="8" width="24.7109375" customWidth="1"/>
    <col min="9" max="9" width="12.7109375" customWidth="1"/>
    <col min="10" max="10" width="52.7109375" customWidth="1"/>
    <col min="11" max="11" width="22.7109375" customWidth="1"/>
    <col min="12" max="12" width="44.7109375" customWidth="1"/>
    <col min="13" max="13" width="20.7109375" customWidth="1"/>
  </cols>
  <sheetData>
    <row r="1" spans="1:13" ht="26" customHeight="1">
      <c r="A1" s="5" t="s">
        <v>2903</v>
      </c>
      <c r="B1" s="5"/>
      <c r="C1" s="5"/>
      <c r="D1" s="5"/>
      <c r="E1" s="5"/>
      <c r="F1" s="5"/>
      <c r="G1" s="5"/>
      <c r="H1" s="5"/>
      <c r="I1" s="5"/>
      <c r="J1" s="5"/>
      <c r="K1" s="5"/>
      <c r="L1" s="5"/>
      <c r="M1" s="5"/>
    </row>
    <row r="2" spans="1:13" ht="26" customHeight="1">
      <c r="A2" s="5"/>
      <c r="B2" s="5"/>
      <c r="C2" s="5"/>
      <c r="D2" s="5"/>
      <c r="E2" s="5"/>
      <c r="F2" s="5"/>
      <c r="G2" s="5"/>
      <c r="H2" s="5"/>
      <c r="I2" s="5"/>
      <c r="J2" s="5"/>
      <c r="K2" s="5"/>
      <c r="L2" s="5"/>
      <c r="M2" s="5"/>
    </row>
    <row r="3" spans="1:13" ht="48" customHeight="1">
      <c r="A3" s="6" t="s">
        <v>1102</v>
      </c>
      <c r="B3" s="6"/>
      <c r="C3" s="6"/>
      <c r="D3" s="6"/>
      <c r="E3" s="6"/>
      <c r="F3" s="6"/>
      <c r="G3" s="6"/>
      <c r="H3" s="6"/>
      <c r="I3" s="6"/>
      <c r="J3" s="6"/>
      <c r="K3" s="6"/>
      <c r="L3" s="6"/>
      <c r="M3" s="6"/>
    </row>
    <row r="4" spans="1:13" ht="12" customHeight="1"/>
    <row r="5" spans="1:13" ht="38" customHeight="1">
      <c r="A5" s="7" t="s">
        <v>1103</v>
      </c>
      <c r="B5" s="7" t="s">
        <v>1104</v>
      </c>
      <c r="C5" s="7" t="s">
        <v>1105</v>
      </c>
      <c r="D5" s="7" t="s">
        <v>1106</v>
      </c>
      <c r="E5" s="7" t="s">
        <v>1107</v>
      </c>
      <c r="F5" s="7" t="s">
        <v>1108</v>
      </c>
      <c r="G5" s="7" t="s">
        <v>1109</v>
      </c>
      <c r="H5" s="7" t="s">
        <v>1110</v>
      </c>
      <c r="I5" s="7" t="s">
        <v>1111</v>
      </c>
      <c r="J5" s="7" t="s">
        <v>1112</v>
      </c>
      <c r="K5" s="7" t="s">
        <v>1113</v>
      </c>
      <c r="L5" s="7" t="s">
        <v>1114</v>
      </c>
      <c r="M5" s="7" t="s">
        <v>33</v>
      </c>
    </row>
    <row r="6" spans="1:13" ht="62" customHeight="1">
      <c r="A6" s="8" t="s">
        <v>2904</v>
      </c>
      <c r="B6" s="8" t="s">
        <v>1116</v>
      </c>
      <c r="C6" s="8" t="s">
        <v>1117</v>
      </c>
      <c r="D6" s="8" t="s">
        <v>1118</v>
      </c>
      <c r="E6" s="8" t="s">
        <v>1119</v>
      </c>
      <c r="F6" s="8" t="s">
        <v>2905</v>
      </c>
      <c r="G6" s="8" t="s">
        <v>1121</v>
      </c>
      <c r="H6" s="8" t="s">
        <v>1122</v>
      </c>
      <c r="I6" s="8" t="s">
        <v>1123</v>
      </c>
      <c r="J6" s="8" t="s">
        <v>1124</v>
      </c>
      <c r="K6" s="8" t="s">
        <v>1125</v>
      </c>
      <c r="L6" s="8" t="s">
        <v>1126</v>
      </c>
      <c r="M6" s="9" t="s">
        <v>2906</v>
      </c>
    </row>
    <row r="7" spans="1:13" ht="62" customHeight="1">
      <c r="A7" s="10" t="s">
        <v>2907</v>
      </c>
      <c r="B7" s="10" t="s">
        <v>1129</v>
      </c>
      <c r="C7" s="10" t="s">
        <v>1130</v>
      </c>
      <c r="D7" s="10" t="s">
        <v>1131</v>
      </c>
      <c r="E7" s="10" t="s">
        <v>1132</v>
      </c>
      <c r="F7" s="10" t="s">
        <v>2905</v>
      </c>
      <c r="G7" s="10" t="s">
        <v>1133</v>
      </c>
      <c r="H7" s="10" t="s">
        <v>1134</v>
      </c>
      <c r="I7" s="10" t="s">
        <v>1123</v>
      </c>
      <c r="J7" s="10" t="s">
        <v>1124</v>
      </c>
      <c r="K7" s="10" t="s">
        <v>1135</v>
      </c>
      <c r="L7" s="12" t="s">
        <v>1136</v>
      </c>
      <c r="M7" s="11" t="s">
        <v>2906</v>
      </c>
    </row>
    <row r="8" spans="1:13" ht="62" customHeight="1">
      <c r="A8" s="8" t="s">
        <v>2908</v>
      </c>
      <c r="B8" s="8" t="s">
        <v>1144</v>
      </c>
      <c r="C8" s="8" t="s">
        <v>1145</v>
      </c>
      <c r="D8" s="8" t="s">
        <v>1131</v>
      </c>
      <c r="E8" s="8" t="s">
        <v>1132</v>
      </c>
      <c r="F8" s="8" t="s">
        <v>2905</v>
      </c>
      <c r="G8" s="8" t="s">
        <v>1121</v>
      </c>
      <c r="H8" s="8" t="s">
        <v>1122</v>
      </c>
      <c r="I8" s="8" t="s">
        <v>1141</v>
      </c>
      <c r="J8" s="8" t="s">
        <v>1146</v>
      </c>
      <c r="K8" s="8" t="s">
        <v>1135</v>
      </c>
      <c r="L8" s="8" t="s">
        <v>1126</v>
      </c>
      <c r="M8" s="9" t="s">
        <v>2906</v>
      </c>
    </row>
    <row r="9" spans="1:13" ht="62" customHeight="1">
      <c r="A9" s="10" t="s">
        <v>2909</v>
      </c>
      <c r="B9" s="10" t="s">
        <v>1148</v>
      </c>
      <c r="C9" s="10" t="s">
        <v>1149</v>
      </c>
      <c r="D9" s="10" t="s">
        <v>1131</v>
      </c>
      <c r="E9" s="10" t="s">
        <v>1132</v>
      </c>
      <c r="F9" s="10" t="s">
        <v>2905</v>
      </c>
      <c r="G9" s="10" t="s">
        <v>1121</v>
      </c>
      <c r="H9" s="10" t="s">
        <v>1122</v>
      </c>
      <c r="I9" s="10" t="s">
        <v>1123</v>
      </c>
      <c r="J9" s="10" t="s">
        <v>1124</v>
      </c>
      <c r="K9" s="10" t="s">
        <v>1135</v>
      </c>
      <c r="L9" s="10" t="s">
        <v>1126</v>
      </c>
      <c r="M9" s="11" t="s">
        <v>2910</v>
      </c>
    </row>
    <row r="10" spans="1:13" ht="62" customHeight="1">
      <c r="A10" s="8" t="s">
        <v>2911</v>
      </c>
      <c r="B10" s="8" t="s">
        <v>1177</v>
      </c>
      <c r="C10" s="8" t="s">
        <v>1178</v>
      </c>
      <c r="D10" s="8" t="s">
        <v>1179</v>
      </c>
      <c r="E10" s="8" t="s">
        <v>1132</v>
      </c>
      <c r="F10" s="8" t="s">
        <v>2905</v>
      </c>
      <c r="G10" s="8" t="s">
        <v>1121</v>
      </c>
      <c r="H10" s="8" t="s">
        <v>1122</v>
      </c>
      <c r="I10" s="8" t="s">
        <v>1180</v>
      </c>
      <c r="J10" s="8" t="s">
        <v>1181</v>
      </c>
      <c r="K10" s="8" t="s">
        <v>1135</v>
      </c>
      <c r="L10" s="8" t="s">
        <v>1126</v>
      </c>
      <c r="M10" s="9" t="s">
        <v>2906</v>
      </c>
    </row>
    <row r="11" spans="1:13" ht="62" customHeight="1">
      <c r="A11" s="10" t="s">
        <v>2912</v>
      </c>
      <c r="B11" s="10" t="s">
        <v>1183</v>
      </c>
      <c r="C11" s="10" t="s">
        <v>1184</v>
      </c>
      <c r="D11" s="10" t="s">
        <v>1131</v>
      </c>
      <c r="E11" s="10" t="s">
        <v>1132</v>
      </c>
      <c r="F11" s="10" t="s">
        <v>2905</v>
      </c>
      <c r="G11" s="10" t="s">
        <v>1121</v>
      </c>
      <c r="H11" s="10" t="s">
        <v>1122</v>
      </c>
      <c r="I11" s="10" t="s">
        <v>1123</v>
      </c>
      <c r="J11" s="10" t="s">
        <v>1124</v>
      </c>
      <c r="K11" s="10" t="s">
        <v>1135</v>
      </c>
      <c r="L11" s="10" t="s">
        <v>1126</v>
      </c>
      <c r="M11" s="11" t="s">
        <v>2906</v>
      </c>
    </row>
    <row r="12" spans="1:13" ht="62" customHeight="1">
      <c r="A12" s="8" t="s">
        <v>2913</v>
      </c>
      <c r="B12" s="8" t="s">
        <v>1186</v>
      </c>
      <c r="C12" s="8" t="s">
        <v>1187</v>
      </c>
      <c r="D12" s="8" t="s">
        <v>1131</v>
      </c>
      <c r="E12" s="8" t="s">
        <v>1132</v>
      </c>
      <c r="F12" s="8" t="s">
        <v>2905</v>
      </c>
      <c r="G12" s="8" t="s">
        <v>1121</v>
      </c>
      <c r="H12" s="8" t="s">
        <v>1122</v>
      </c>
      <c r="I12" s="8" t="s">
        <v>1141</v>
      </c>
      <c r="J12" s="8" t="s">
        <v>1188</v>
      </c>
      <c r="K12" s="8" t="s">
        <v>1135</v>
      </c>
      <c r="L12" s="8" t="s">
        <v>1126</v>
      </c>
      <c r="M12" s="9" t="s">
        <v>2906</v>
      </c>
    </row>
    <row r="13" spans="1:13" ht="62" customHeight="1">
      <c r="A13" s="10" t="s">
        <v>2914</v>
      </c>
      <c r="B13" s="10" t="s">
        <v>1190</v>
      </c>
      <c r="C13" s="10" t="s">
        <v>1191</v>
      </c>
      <c r="D13" s="10" t="s">
        <v>1131</v>
      </c>
      <c r="E13" s="10" t="s">
        <v>1132</v>
      </c>
      <c r="F13" s="10" t="s">
        <v>2905</v>
      </c>
      <c r="G13" s="10" t="s">
        <v>1121</v>
      </c>
      <c r="H13" s="10" t="s">
        <v>1122</v>
      </c>
      <c r="I13" s="10" t="s">
        <v>1123</v>
      </c>
      <c r="J13" s="10" t="s">
        <v>1124</v>
      </c>
      <c r="K13" s="10" t="s">
        <v>1135</v>
      </c>
      <c r="L13" s="10" t="s">
        <v>1126</v>
      </c>
      <c r="M13" s="11" t="s">
        <v>2915</v>
      </c>
    </row>
    <row r="14" spans="1:13" ht="62" customHeight="1">
      <c r="A14" s="8" t="s">
        <v>2916</v>
      </c>
      <c r="B14" s="8" t="s">
        <v>1203</v>
      </c>
      <c r="C14" s="8" t="s">
        <v>1204</v>
      </c>
      <c r="D14" s="8" t="s">
        <v>1131</v>
      </c>
      <c r="E14" s="8" t="s">
        <v>1132</v>
      </c>
      <c r="F14" s="8" t="s">
        <v>2905</v>
      </c>
      <c r="G14" s="8" t="s">
        <v>1121</v>
      </c>
      <c r="H14" s="8" t="s">
        <v>1122</v>
      </c>
      <c r="I14" s="8" t="s">
        <v>1180</v>
      </c>
      <c r="J14" s="8" t="s">
        <v>1205</v>
      </c>
      <c r="K14" s="8" t="s">
        <v>1135</v>
      </c>
      <c r="L14" s="8" t="s">
        <v>1126</v>
      </c>
      <c r="M14" s="9" t="s">
        <v>2910</v>
      </c>
    </row>
    <row r="15" spans="1:13" ht="62" customHeight="1">
      <c r="A15" s="10" t="s">
        <v>2917</v>
      </c>
      <c r="B15" s="10" t="s">
        <v>1207</v>
      </c>
      <c r="C15" s="10" t="s">
        <v>1208</v>
      </c>
      <c r="D15" s="10" t="s">
        <v>1131</v>
      </c>
      <c r="E15" s="10" t="s">
        <v>1132</v>
      </c>
      <c r="F15" s="10" t="s">
        <v>2905</v>
      </c>
      <c r="G15" s="10" t="s">
        <v>1121</v>
      </c>
      <c r="H15" s="10" t="s">
        <v>1122</v>
      </c>
      <c r="I15" s="10" t="s">
        <v>1123</v>
      </c>
      <c r="J15" s="10" t="s">
        <v>1124</v>
      </c>
      <c r="K15" s="10" t="s">
        <v>1135</v>
      </c>
      <c r="L15" s="10" t="s">
        <v>1209</v>
      </c>
      <c r="M15" s="11" t="s">
        <v>2918</v>
      </c>
    </row>
    <row r="16" spans="1:13" ht="62" customHeight="1">
      <c r="A16" s="8" t="s">
        <v>2919</v>
      </c>
      <c r="B16" s="8" t="s">
        <v>1216</v>
      </c>
      <c r="C16" s="8" t="s">
        <v>1217</v>
      </c>
      <c r="D16" s="8" t="s">
        <v>1131</v>
      </c>
      <c r="E16" s="8" t="s">
        <v>1132</v>
      </c>
      <c r="F16" s="8" t="s">
        <v>2905</v>
      </c>
      <c r="G16" s="8" t="s">
        <v>1121</v>
      </c>
      <c r="H16" s="8" t="s">
        <v>1122</v>
      </c>
      <c r="I16" s="8" t="s">
        <v>1180</v>
      </c>
      <c r="J16" s="8" t="s">
        <v>1218</v>
      </c>
      <c r="K16" s="8" t="s">
        <v>1135</v>
      </c>
      <c r="L16" s="8" t="s">
        <v>1126</v>
      </c>
      <c r="M16" s="9" t="s">
        <v>2920</v>
      </c>
    </row>
    <row r="17" spans="1:13" ht="62" customHeight="1">
      <c r="A17" s="10" t="s">
        <v>2921</v>
      </c>
      <c r="B17" s="10" t="s">
        <v>1221</v>
      </c>
      <c r="C17" s="10" t="s">
        <v>1222</v>
      </c>
      <c r="D17" s="10" t="s">
        <v>1131</v>
      </c>
      <c r="E17" s="10" t="s">
        <v>1132</v>
      </c>
      <c r="F17" s="10" t="s">
        <v>2905</v>
      </c>
      <c r="G17" s="10" t="s">
        <v>1121</v>
      </c>
      <c r="H17" s="10" t="s">
        <v>1122</v>
      </c>
      <c r="I17" s="10" t="s">
        <v>1123</v>
      </c>
      <c r="J17" s="10" t="s">
        <v>1124</v>
      </c>
      <c r="K17" s="10" t="s">
        <v>1135</v>
      </c>
      <c r="L17" s="10" t="s">
        <v>1126</v>
      </c>
      <c r="M17" s="11" t="s">
        <v>2906</v>
      </c>
    </row>
    <row r="18" spans="1:13" ht="62" customHeight="1">
      <c r="A18" s="8" t="s">
        <v>2922</v>
      </c>
      <c r="B18" s="8" t="s">
        <v>644</v>
      </c>
      <c r="C18" s="8" t="s">
        <v>1224</v>
      </c>
      <c r="D18" s="8" t="s">
        <v>1131</v>
      </c>
      <c r="E18" s="8" t="s">
        <v>1132</v>
      </c>
      <c r="F18" s="12" t="s">
        <v>2923</v>
      </c>
      <c r="G18" s="8" t="s">
        <v>1121</v>
      </c>
      <c r="H18" s="8" t="s">
        <v>1122</v>
      </c>
      <c r="I18" s="8" t="s">
        <v>1141</v>
      </c>
      <c r="J18" s="8" t="s">
        <v>1226</v>
      </c>
      <c r="K18" s="8" t="s">
        <v>1135</v>
      </c>
      <c r="L18" s="12" t="s">
        <v>1227</v>
      </c>
      <c r="M18" s="9" t="s">
        <v>2924</v>
      </c>
    </row>
    <row r="19" spans="1:13" ht="62" customHeight="1">
      <c r="A19" s="10" t="s">
        <v>2925</v>
      </c>
      <c r="B19" s="10" t="s">
        <v>1230</v>
      </c>
      <c r="C19" s="10" t="s">
        <v>1231</v>
      </c>
      <c r="D19" s="10" t="s">
        <v>1131</v>
      </c>
      <c r="E19" s="10" t="s">
        <v>1132</v>
      </c>
      <c r="F19" s="10" t="s">
        <v>2905</v>
      </c>
      <c r="G19" s="10" t="s">
        <v>1121</v>
      </c>
      <c r="H19" s="10" t="s">
        <v>1122</v>
      </c>
      <c r="I19" s="10" t="s">
        <v>1123</v>
      </c>
      <c r="J19" s="10" t="s">
        <v>1124</v>
      </c>
      <c r="K19" s="10" t="s">
        <v>1135</v>
      </c>
      <c r="L19" s="10" t="s">
        <v>1126</v>
      </c>
      <c r="M19" s="11" t="s">
        <v>2906</v>
      </c>
    </row>
    <row r="20" spans="1:13" ht="62" customHeight="1">
      <c r="A20" s="8" t="s">
        <v>2926</v>
      </c>
      <c r="B20" s="8" t="s">
        <v>1233</v>
      </c>
      <c r="C20" s="8" t="s">
        <v>1234</v>
      </c>
      <c r="D20" s="8" t="s">
        <v>1235</v>
      </c>
      <c r="E20" s="8" t="s">
        <v>1236</v>
      </c>
      <c r="F20" s="8" t="s">
        <v>2905</v>
      </c>
      <c r="G20" s="8" t="s">
        <v>1121</v>
      </c>
      <c r="H20" s="8" t="s">
        <v>1122</v>
      </c>
      <c r="I20" s="8" t="s">
        <v>1180</v>
      </c>
      <c r="J20" s="8" t="s">
        <v>1237</v>
      </c>
      <c r="K20" s="8" t="s">
        <v>1125</v>
      </c>
      <c r="L20" s="8" t="s">
        <v>1126</v>
      </c>
      <c r="M20" s="9" t="s">
        <v>2927</v>
      </c>
    </row>
    <row r="21" spans="1:13" ht="62" customHeight="1">
      <c r="A21" s="10" t="s">
        <v>2928</v>
      </c>
      <c r="B21" s="10" t="s">
        <v>1240</v>
      </c>
      <c r="C21" s="10" t="s">
        <v>1241</v>
      </c>
      <c r="D21" s="10" t="s">
        <v>1131</v>
      </c>
      <c r="E21" s="10" t="s">
        <v>1242</v>
      </c>
      <c r="F21" s="10" t="s">
        <v>2905</v>
      </c>
      <c r="G21" s="10" t="s">
        <v>1121</v>
      </c>
      <c r="H21" s="10" t="s">
        <v>1122</v>
      </c>
      <c r="I21" s="10" t="s">
        <v>1123</v>
      </c>
      <c r="J21" s="10" t="s">
        <v>1124</v>
      </c>
      <c r="K21" s="10" t="s">
        <v>1243</v>
      </c>
      <c r="L21" s="10" t="s">
        <v>1126</v>
      </c>
      <c r="M21" s="11" t="s">
        <v>2929</v>
      </c>
    </row>
    <row r="22" spans="1:13" ht="62" customHeight="1">
      <c r="A22" s="8" t="s">
        <v>2930</v>
      </c>
      <c r="B22" s="8" t="s">
        <v>1253</v>
      </c>
      <c r="C22" s="8" t="s">
        <v>1254</v>
      </c>
      <c r="D22" s="8" t="s">
        <v>1131</v>
      </c>
      <c r="E22" s="8" t="s">
        <v>1242</v>
      </c>
      <c r="F22" s="8" t="s">
        <v>2905</v>
      </c>
      <c r="G22" s="8" t="s">
        <v>1121</v>
      </c>
      <c r="H22" s="8" t="s">
        <v>1122</v>
      </c>
      <c r="I22" s="8" t="s">
        <v>1123</v>
      </c>
      <c r="J22" s="8" t="s">
        <v>1124</v>
      </c>
      <c r="K22" s="8" t="s">
        <v>1125</v>
      </c>
      <c r="L22" s="8" t="s">
        <v>1126</v>
      </c>
      <c r="M22" s="9" t="s">
        <v>2906</v>
      </c>
    </row>
    <row r="23" spans="1:13" ht="62" customHeight="1">
      <c r="A23" s="10" t="s">
        <v>2931</v>
      </c>
      <c r="B23" s="10" t="s">
        <v>1274</v>
      </c>
      <c r="C23" s="10" t="s">
        <v>1275</v>
      </c>
      <c r="D23" s="10" t="s">
        <v>1131</v>
      </c>
      <c r="E23" s="10" t="s">
        <v>1276</v>
      </c>
      <c r="F23" s="10" t="s">
        <v>2905</v>
      </c>
      <c r="G23" s="10" t="s">
        <v>1121</v>
      </c>
      <c r="H23" s="10" t="s">
        <v>1134</v>
      </c>
      <c r="I23" s="10" t="s">
        <v>1141</v>
      </c>
      <c r="J23" s="10" t="s">
        <v>1248</v>
      </c>
      <c r="K23" s="10" t="s">
        <v>1125</v>
      </c>
      <c r="L23" s="10" t="s">
        <v>1161</v>
      </c>
      <c r="M23" s="11" t="s">
        <v>2906</v>
      </c>
    </row>
    <row r="24" spans="1:13" ht="62" customHeight="1">
      <c r="A24" s="8" t="s">
        <v>2932</v>
      </c>
      <c r="B24" s="8" t="s">
        <v>1278</v>
      </c>
      <c r="C24" s="8" t="s">
        <v>1279</v>
      </c>
      <c r="D24" s="8" t="s">
        <v>1280</v>
      </c>
      <c r="E24" s="8" t="s">
        <v>1281</v>
      </c>
      <c r="F24" s="8" t="s">
        <v>2905</v>
      </c>
      <c r="G24" s="8" t="s">
        <v>1133</v>
      </c>
      <c r="H24" s="8" t="s">
        <v>1134</v>
      </c>
      <c r="I24" s="8" t="s">
        <v>1180</v>
      </c>
      <c r="J24" s="8" t="s">
        <v>1205</v>
      </c>
      <c r="K24" s="8" t="s">
        <v>1125</v>
      </c>
      <c r="L24" s="12" t="s">
        <v>1136</v>
      </c>
      <c r="M24" s="9" t="s">
        <v>2906</v>
      </c>
    </row>
    <row r="25" spans="1:13" ht="62" customHeight="1">
      <c r="A25" s="10" t="s">
        <v>2933</v>
      </c>
      <c r="B25" s="10" t="s">
        <v>1288</v>
      </c>
      <c r="C25" s="10" t="s">
        <v>1289</v>
      </c>
      <c r="D25" s="10" t="s">
        <v>1290</v>
      </c>
      <c r="E25" s="10" t="s">
        <v>1291</v>
      </c>
      <c r="F25" s="10" t="s">
        <v>2905</v>
      </c>
      <c r="G25" s="10" t="s">
        <v>1121</v>
      </c>
      <c r="H25" s="10" t="s">
        <v>1122</v>
      </c>
      <c r="I25" s="10" t="s">
        <v>1141</v>
      </c>
      <c r="J25" s="10" t="s">
        <v>1292</v>
      </c>
      <c r="K25" s="10" t="s">
        <v>1125</v>
      </c>
      <c r="L25" s="10" t="s">
        <v>1126</v>
      </c>
      <c r="M25" s="11" t="s">
        <v>2934</v>
      </c>
    </row>
    <row r="26" spans="1:13" ht="62" customHeight="1">
      <c r="A26" s="8" t="s">
        <v>2935</v>
      </c>
      <c r="B26" s="8" t="s">
        <v>1326</v>
      </c>
      <c r="C26" s="8" t="s">
        <v>1327</v>
      </c>
      <c r="D26" s="8" t="s">
        <v>1131</v>
      </c>
      <c r="E26" s="8" t="s">
        <v>1316</v>
      </c>
      <c r="F26" s="8" t="s">
        <v>2905</v>
      </c>
      <c r="G26" s="8" t="s">
        <v>1121</v>
      </c>
      <c r="H26" s="8" t="s">
        <v>1122</v>
      </c>
      <c r="I26" s="8" t="s">
        <v>1141</v>
      </c>
      <c r="J26" s="8" t="s">
        <v>1321</v>
      </c>
      <c r="K26" s="8" t="s">
        <v>1125</v>
      </c>
      <c r="L26" s="8" t="s">
        <v>1126</v>
      </c>
      <c r="M26" s="9" t="s">
        <v>2934</v>
      </c>
    </row>
    <row r="27" spans="1:13" ht="62" customHeight="1">
      <c r="A27" s="10" t="s">
        <v>2936</v>
      </c>
      <c r="B27" s="10" t="s">
        <v>1329</v>
      </c>
      <c r="C27" s="10" t="s">
        <v>1330</v>
      </c>
      <c r="D27" s="10" t="s">
        <v>1131</v>
      </c>
      <c r="E27" s="10" t="s">
        <v>1242</v>
      </c>
      <c r="F27" s="10" t="s">
        <v>2905</v>
      </c>
      <c r="G27" s="10" t="s">
        <v>1121</v>
      </c>
      <c r="H27" s="10" t="s">
        <v>1122</v>
      </c>
      <c r="I27" s="10" t="s">
        <v>1123</v>
      </c>
      <c r="J27" s="10" t="s">
        <v>1124</v>
      </c>
      <c r="K27" s="10" t="s">
        <v>1125</v>
      </c>
      <c r="L27" s="10" t="s">
        <v>1126</v>
      </c>
      <c r="M27" s="11" t="s">
        <v>2934</v>
      </c>
    </row>
    <row r="28" spans="1:13" ht="62" customHeight="1">
      <c r="A28" s="8" t="s">
        <v>2937</v>
      </c>
      <c r="B28" s="8" t="s">
        <v>1353</v>
      </c>
      <c r="C28" s="8" t="s">
        <v>1354</v>
      </c>
      <c r="D28" s="8" t="s">
        <v>1131</v>
      </c>
      <c r="E28" s="8" t="s">
        <v>1291</v>
      </c>
      <c r="F28" s="8" t="s">
        <v>2905</v>
      </c>
      <c r="G28" s="8" t="s">
        <v>1121</v>
      </c>
      <c r="H28" s="8" t="s">
        <v>1122</v>
      </c>
      <c r="I28" s="8" t="s">
        <v>1141</v>
      </c>
      <c r="J28" s="8" t="s">
        <v>1292</v>
      </c>
      <c r="K28" s="8" t="s">
        <v>1125</v>
      </c>
      <c r="L28" s="8" t="s">
        <v>1126</v>
      </c>
      <c r="M28" s="9" t="s">
        <v>2934</v>
      </c>
    </row>
    <row r="29" spans="1:13" ht="62" customHeight="1">
      <c r="A29" s="10" t="s">
        <v>2938</v>
      </c>
      <c r="B29" s="10" t="s">
        <v>1356</v>
      </c>
      <c r="C29" s="10" t="s">
        <v>1357</v>
      </c>
      <c r="D29" s="10" t="s">
        <v>1131</v>
      </c>
      <c r="E29" s="10" t="s">
        <v>1119</v>
      </c>
      <c r="F29" s="10" t="s">
        <v>2905</v>
      </c>
      <c r="G29" s="10" t="s">
        <v>1121</v>
      </c>
      <c r="H29" s="10" t="s">
        <v>1122</v>
      </c>
      <c r="I29" s="10" t="s">
        <v>1180</v>
      </c>
      <c r="J29" s="10" t="s">
        <v>1214</v>
      </c>
      <c r="K29" s="10" t="s">
        <v>1243</v>
      </c>
      <c r="L29" s="10" t="s">
        <v>1126</v>
      </c>
      <c r="M29" s="11" t="s">
        <v>2934</v>
      </c>
    </row>
    <row r="30" spans="1:13" ht="62" customHeight="1">
      <c r="A30" s="8" t="s">
        <v>2939</v>
      </c>
      <c r="B30" s="8" t="s">
        <v>1359</v>
      </c>
      <c r="C30" s="8" t="s">
        <v>1360</v>
      </c>
      <c r="D30" s="8" t="s">
        <v>1131</v>
      </c>
      <c r="E30" s="8" t="s">
        <v>1361</v>
      </c>
      <c r="F30" s="8" t="s">
        <v>2905</v>
      </c>
      <c r="G30" s="8" t="s">
        <v>1121</v>
      </c>
      <c r="H30" s="8" t="s">
        <v>1122</v>
      </c>
      <c r="I30" s="8" t="s">
        <v>1141</v>
      </c>
      <c r="J30" s="8" t="s">
        <v>1362</v>
      </c>
      <c r="K30" s="8" t="s">
        <v>1243</v>
      </c>
      <c r="L30" s="8" t="s">
        <v>1126</v>
      </c>
      <c r="M30" s="9" t="s">
        <v>2934</v>
      </c>
    </row>
    <row r="31" spans="1:13" ht="62" customHeight="1">
      <c r="A31" s="10" t="s">
        <v>2940</v>
      </c>
      <c r="B31" s="10" t="s">
        <v>1369</v>
      </c>
      <c r="C31" s="10" t="s">
        <v>1370</v>
      </c>
      <c r="D31" s="10" t="s">
        <v>1131</v>
      </c>
      <c r="E31" s="10" t="s">
        <v>1371</v>
      </c>
      <c r="F31" s="10" t="s">
        <v>2905</v>
      </c>
      <c r="G31" s="10" t="s">
        <v>1121</v>
      </c>
      <c r="H31" s="10" t="s">
        <v>1122</v>
      </c>
      <c r="I31" s="10" t="s">
        <v>1141</v>
      </c>
      <c r="J31" s="10" t="s">
        <v>1372</v>
      </c>
      <c r="K31" s="10" t="s">
        <v>1243</v>
      </c>
      <c r="L31" s="10" t="s">
        <v>1126</v>
      </c>
      <c r="M31" s="11" t="s">
        <v>2906</v>
      </c>
    </row>
    <row r="32" spans="1:13" ht="62" customHeight="1">
      <c r="A32" s="8" t="s">
        <v>2941</v>
      </c>
      <c r="B32" s="8" t="s">
        <v>1415</v>
      </c>
      <c r="C32" s="8" t="s">
        <v>1416</v>
      </c>
      <c r="D32" s="8" t="s">
        <v>1131</v>
      </c>
      <c r="E32" s="8" t="s">
        <v>1417</v>
      </c>
      <c r="F32" s="8" t="s">
        <v>2905</v>
      </c>
      <c r="G32" s="8" t="s">
        <v>1121</v>
      </c>
      <c r="H32" s="8" t="s">
        <v>1122</v>
      </c>
      <c r="I32" s="8" t="s">
        <v>1141</v>
      </c>
      <c r="J32" s="8" t="s">
        <v>1413</v>
      </c>
      <c r="K32" s="8" t="s">
        <v>1125</v>
      </c>
      <c r="L32" s="8" t="s">
        <v>1126</v>
      </c>
      <c r="M32" s="9" t="s">
        <v>2906</v>
      </c>
    </row>
    <row r="33" spans="1:13" ht="62" customHeight="1">
      <c r="A33" s="10" t="s">
        <v>2942</v>
      </c>
      <c r="B33" s="10" t="s">
        <v>601</v>
      </c>
      <c r="C33" s="10" t="s">
        <v>1419</v>
      </c>
      <c r="D33" s="10" t="s">
        <v>1131</v>
      </c>
      <c r="E33" s="10" t="s">
        <v>1420</v>
      </c>
      <c r="F33" s="10" t="s">
        <v>2905</v>
      </c>
      <c r="G33" s="10" t="s">
        <v>1121</v>
      </c>
      <c r="H33" s="10" t="s">
        <v>1122</v>
      </c>
      <c r="I33" s="10" t="s">
        <v>1141</v>
      </c>
      <c r="J33" s="10" t="s">
        <v>1421</v>
      </c>
      <c r="K33" s="10" t="s">
        <v>1125</v>
      </c>
      <c r="L33" s="10" t="s">
        <v>1126</v>
      </c>
      <c r="M33" s="11" t="s">
        <v>2943</v>
      </c>
    </row>
    <row r="34" spans="1:13" ht="62" customHeight="1">
      <c r="A34" s="8" t="s">
        <v>2944</v>
      </c>
      <c r="B34" s="8" t="s">
        <v>1423</v>
      </c>
      <c r="C34" s="8" t="s">
        <v>1424</v>
      </c>
      <c r="D34" s="8" t="s">
        <v>1131</v>
      </c>
      <c r="E34" s="8" t="s">
        <v>1119</v>
      </c>
      <c r="F34" s="8" t="s">
        <v>2905</v>
      </c>
      <c r="G34" s="8" t="s">
        <v>1133</v>
      </c>
      <c r="H34" s="8" t="s">
        <v>1134</v>
      </c>
      <c r="I34" s="8" t="s">
        <v>1123</v>
      </c>
      <c r="J34" s="8" t="s">
        <v>1124</v>
      </c>
      <c r="K34" s="8" t="s">
        <v>1125</v>
      </c>
      <c r="L34" s="12" t="s">
        <v>1136</v>
      </c>
      <c r="M34" s="9" t="s">
        <v>2906</v>
      </c>
    </row>
    <row r="35" spans="1:13" ht="62" customHeight="1">
      <c r="A35" s="10" t="s">
        <v>2945</v>
      </c>
      <c r="B35" s="10" t="s">
        <v>1426</v>
      </c>
      <c r="C35" s="10" t="s">
        <v>1427</v>
      </c>
      <c r="D35" s="10" t="s">
        <v>1131</v>
      </c>
      <c r="E35" s="10" t="s">
        <v>1428</v>
      </c>
      <c r="F35" s="10" t="s">
        <v>2905</v>
      </c>
      <c r="G35" s="10" t="s">
        <v>1121</v>
      </c>
      <c r="H35" s="10" t="s">
        <v>1122</v>
      </c>
      <c r="I35" s="10" t="s">
        <v>1141</v>
      </c>
      <c r="J35" s="10" t="s">
        <v>1429</v>
      </c>
      <c r="K35" s="10" t="s">
        <v>1243</v>
      </c>
      <c r="L35" s="10" t="s">
        <v>1126</v>
      </c>
      <c r="M35" s="11" t="s">
        <v>2943</v>
      </c>
    </row>
    <row r="36" spans="1:13" ht="62" customHeight="1">
      <c r="A36" s="8" t="s">
        <v>2946</v>
      </c>
      <c r="B36" s="8" t="s">
        <v>1431</v>
      </c>
      <c r="C36" s="8" t="s">
        <v>1432</v>
      </c>
      <c r="D36" s="8" t="s">
        <v>1433</v>
      </c>
      <c r="E36" s="8" t="s">
        <v>1132</v>
      </c>
      <c r="F36" s="8" t="s">
        <v>2905</v>
      </c>
      <c r="G36" s="8" t="s">
        <v>1133</v>
      </c>
      <c r="H36" s="8" t="s">
        <v>1134</v>
      </c>
      <c r="I36" s="8" t="s">
        <v>1180</v>
      </c>
      <c r="J36" s="8" t="s">
        <v>1205</v>
      </c>
      <c r="K36" s="8" t="s">
        <v>1135</v>
      </c>
      <c r="L36" s="12" t="s">
        <v>1136</v>
      </c>
      <c r="M36" s="9" t="s">
        <v>2906</v>
      </c>
    </row>
    <row r="37" spans="1:13" ht="62" customHeight="1">
      <c r="A37" s="10" t="s">
        <v>2947</v>
      </c>
      <c r="B37" s="10" t="s">
        <v>1446</v>
      </c>
      <c r="C37" s="10" t="s">
        <v>1447</v>
      </c>
      <c r="D37" s="10" t="s">
        <v>1131</v>
      </c>
      <c r="E37" s="10" t="s">
        <v>1132</v>
      </c>
      <c r="F37" s="10" t="s">
        <v>2905</v>
      </c>
      <c r="G37" s="10" t="s">
        <v>1133</v>
      </c>
      <c r="H37" s="10" t="s">
        <v>1134</v>
      </c>
      <c r="I37" s="10" t="s">
        <v>1180</v>
      </c>
      <c r="J37" s="10" t="s">
        <v>1205</v>
      </c>
      <c r="K37" s="10" t="s">
        <v>1135</v>
      </c>
      <c r="L37" s="12" t="s">
        <v>1136</v>
      </c>
      <c r="M37" s="11" t="s">
        <v>2906</v>
      </c>
    </row>
    <row r="38" spans="1:13" ht="62" customHeight="1">
      <c r="A38" s="8" t="s">
        <v>2948</v>
      </c>
      <c r="B38" s="8" t="s">
        <v>1449</v>
      </c>
      <c r="C38" s="8" t="s">
        <v>1450</v>
      </c>
      <c r="D38" s="8" t="s">
        <v>1442</v>
      </c>
      <c r="E38" s="8" t="s">
        <v>1443</v>
      </c>
      <c r="F38" s="8" t="s">
        <v>2905</v>
      </c>
      <c r="G38" s="8" t="s">
        <v>1121</v>
      </c>
      <c r="H38" s="8" t="s">
        <v>1134</v>
      </c>
      <c r="I38" s="8" t="s">
        <v>1180</v>
      </c>
      <c r="J38" s="8" t="s">
        <v>1451</v>
      </c>
      <c r="K38" s="8" t="s">
        <v>1243</v>
      </c>
      <c r="L38" s="8" t="s">
        <v>1161</v>
      </c>
      <c r="M38" s="9" t="s">
        <v>2906</v>
      </c>
    </row>
    <row r="39" spans="1:13" ht="62" customHeight="1">
      <c r="A39" s="10" t="s">
        <v>2949</v>
      </c>
      <c r="B39" s="10" t="s">
        <v>1453</v>
      </c>
      <c r="C39" s="10" t="s">
        <v>1454</v>
      </c>
      <c r="D39" s="10" t="s">
        <v>1131</v>
      </c>
      <c r="E39" s="10" t="s">
        <v>1316</v>
      </c>
      <c r="F39" s="10" t="s">
        <v>2905</v>
      </c>
      <c r="G39" s="10" t="s">
        <v>1121</v>
      </c>
      <c r="H39" s="10" t="s">
        <v>1122</v>
      </c>
      <c r="I39" s="10" t="s">
        <v>1141</v>
      </c>
      <c r="J39" s="10" t="s">
        <v>1455</v>
      </c>
      <c r="K39" s="10" t="s">
        <v>1243</v>
      </c>
      <c r="L39" s="10" t="s">
        <v>1126</v>
      </c>
      <c r="M39" s="11" t="s">
        <v>2906</v>
      </c>
    </row>
    <row r="40" spans="1:13" ht="62" customHeight="1">
      <c r="A40" s="8" t="s">
        <v>2950</v>
      </c>
      <c r="B40" s="8" t="s">
        <v>1457</v>
      </c>
      <c r="C40" s="8" t="s">
        <v>1458</v>
      </c>
      <c r="D40" s="8" t="s">
        <v>1131</v>
      </c>
      <c r="E40" s="8" t="s">
        <v>1459</v>
      </c>
      <c r="F40" s="8" t="s">
        <v>2905</v>
      </c>
      <c r="G40" s="8" t="s">
        <v>1121</v>
      </c>
      <c r="H40" s="8" t="s">
        <v>1122</v>
      </c>
      <c r="I40" s="8" t="s">
        <v>1141</v>
      </c>
      <c r="J40" s="8" t="s">
        <v>1460</v>
      </c>
      <c r="K40" s="8" t="s">
        <v>1125</v>
      </c>
      <c r="L40" s="8" t="s">
        <v>1126</v>
      </c>
      <c r="M40" s="9" t="s">
        <v>2906</v>
      </c>
    </row>
    <row r="41" spans="1:13" ht="62" customHeight="1">
      <c r="A41" s="10" t="s">
        <v>2951</v>
      </c>
      <c r="B41" s="10" t="s">
        <v>1462</v>
      </c>
      <c r="C41" s="10" t="s">
        <v>1463</v>
      </c>
      <c r="D41" s="10" t="s">
        <v>1131</v>
      </c>
      <c r="E41" s="10" t="s">
        <v>1464</v>
      </c>
      <c r="F41" s="10" t="s">
        <v>2905</v>
      </c>
      <c r="G41" s="10" t="s">
        <v>1121</v>
      </c>
      <c r="H41" s="10" t="s">
        <v>1122</v>
      </c>
      <c r="I41" s="10" t="s">
        <v>1141</v>
      </c>
      <c r="J41" s="10" t="s">
        <v>1465</v>
      </c>
      <c r="K41" s="10" t="s">
        <v>1125</v>
      </c>
      <c r="L41" s="10" t="s">
        <v>1126</v>
      </c>
      <c r="M41" s="11" t="s">
        <v>2906</v>
      </c>
    </row>
    <row r="42" spans="1:13" ht="62" customHeight="1">
      <c r="A42" s="8" t="s">
        <v>2952</v>
      </c>
      <c r="B42" s="8" t="s">
        <v>1467</v>
      </c>
      <c r="C42" s="8" t="s">
        <v>1468</v>
      </c>
      <c r="D42" s="8" t="s">
        <v>1131</v>
      </c>
      <c r="E42" s="8" t="s">
        <v>1428</v>
      </c>
      <c r="F42" s="8" t="s">
        <v>2905</v>
      </c>
      <c r="G42" s="8" t="s">
        <v>1121</v>
      </c>
      <c r="H42" s="8" t="s">
        <v>1122</v>
      </c>
      <c r="I42" s="8" t="s">
        <v>1141</v>
      </c>
      <c r="J42" s="8" t="s">
        <v>1460</v>
      </c>
      <c r="K42" s="8" t="s">
        <v>1125</v>
      </c>
      <c r="L42" s="8" t="s">
        <v>1126</v>
      </c>
      <c r="M42" s="9" t="s">
        <v>2906</v>
      </c>
    </row>
    <row r="43" spans="1:13" ht="62" customHeight="1">
      <c r="A43" s="10" t="s">
        <v>2953</v>
      </c>
      <c r="B43" s="10" t="s">
        <v>1470</v>
      </c>
      <c r="C43" s="10" t="s">
        <v>1471</v>
      </c>
      <c r="D43" s="10" t="s">
        <v>1131</v>
      </c>
      <c r="E43" s="10" t="s">
        <v>1242</v>
      </c>
      <c r="F43" s="10" t="s">
        <v>2905</v>
      </c>
      <c r="G43" s="10" t="s">
        <v>1121</v>
      </c>
      <c r="H43" s="10" t="s">
        <v>1122</v>
      </c>
      <c r="I43" s="10" t="s">
        <v>1180</v>
      </c>
      <c r="J43" s="10" t="s">
        <v>1472</v>
      </c>
      <c r="K43" s="10" t="s">
        <v>1125</v>
      </c>
      <c r="L43" s="10" t="s">
        <v>1126</v>
      </c>
      <c r="M43" s="11" t="s">
        <v>2906</v>
      </c>
    </row>
    <row r="44" spans="1:13" ht="62" customHeight="1">
      <c r="A44" s="8" t="s">
        <v>2954</v>
      </c>
      <c r="B44" s="8" t="s">
        <v>1477</v>
      </c>
      <c r="C44" s="8" t="s">
        <v>1478</v>
      </c>
      <c r="D44" s="8" t="s">
        <v>1131</v>
      </c>
      <c r="E44" s="8" t="s">
        <v>1479</v>
      </c>
      <c r="F44" s="8" t="s">
        <v>2905</v>
      </c>
      <c r="G44" s="8" t="s">
        <v>1121</v>
      </c>
      <c r="H44" s="8" t="s">
        <v>1122</v>
      </c>
      <c r="I44" s="8" t="s">
        <v>1141</v>
      </c>
      <c r="J44" s="8" t="s">
        <v>1480</v>
      </c>
      <c r="K44" s="8" t="s">
        <v>1243</v>
      </c>
      <c r="L44" s="8" t="s">
        <v>1126</v>
      </c>
      <c r="M44" s="9" t="s">
        <v>2906</v>
      </c>
    </row>
    <row r="45" spans="1:13" ht="62" customHeight="1">
      <c r="A45" s="10" t="s">
        <v>2955</v>
      </c>
      <c r="B45" s="10" t="s">
        <v>1482</v>
      </c>
      <c r="C45" s="10" t="s">
        <v>1483</v>
      </c>
      <c r="D45" s="10" t="s">
        <v>1131</v>
      </c>
      <c r="E45" s="10" t="s">
        <v>1119</v>
      </c>
      <c r="F45" s="10" t="s">
        <v>2905</v>
      </c>
      <c r="G45" s="10" t="s">
        <v>1121</v>
      </c>
      <c r="H45" s="10" t="s">
        <v>1122</v>
      </c>
      <c r="I45" s="10" t="s">
        <v>1123</v>
      </c>
      <c r="J45" s="10" t="s">
        <v>1124</v>
      </c>
      <c r="K45" s="10" t="s">
        <v>1243</v>
      </c>
      <c r="L45" s="10" t="s">
        <v>1126</v>
      </c>
      <c r="M45" s="11" t="s">
        <v>2906</v>
      </c>
    </row>
    <row r="46" spans="1:13" ht="62" customHeight="1">
      <c r="A46" s="8" t="s">
        <v>2956</v>
      </c>
      <c r="B46" s="8" t="s">
        <v>1489</v>
      </c>
      <c r="C46" s="8" t="s">
        <v>1490</v>
      </c>
      <c r="D46" s="8" t="s">
        <v>1131</v>
      </c>
      <c r="E46" s="8" t="s">
        <v>1491</v>
      </c>
      <c r="F46" s="8" t="s">
        <v>2905</v>
      </c>
      <c r="G46" s="8" t="s">
        <v>1121</v>
      </c>
      <c r="H46" s="8" t="s">
        <v>1122</v>
      </c>
      <c r="I46" s="8" t="s">
        <v>1141</v>
      </c>
      <c r="J46" s="8" t="s">
        <v>1429</v>
      </c>
      <c r="K46" s="8" t="s">
        <v>1243</v>
      </c>
      <c r="L46" s="8" t="s">
        <v>1126</v>
      </c>
      <c r="M46" s="9" t="s">
        <v>2943</v>
      </c>
    </row>
    <row r="47" spans="1:13" ht="62" customHeight="1">
      <c r="A47" s="10" t="s">
        <v>2957</v>
      </c>
      <c r="B47" s="10" t="s">
        <v>1496</v>
      </c>
      <c r="C47" s="10" t="s">
        <v>1497</v>
      </c>
      <c r="D47" s="10" t="s">
        <v>1131</v>
      </c>
      <c r="E47" s="10" t="s">
        <v>1498</v>
      </c>
      <c r="F47" s="10" t="s">
        <v>2905</v>
      </c>
      <c r="G47" s="10" t="s">
        <v>1121</v>
      </c>
      <c r="H47" s="10" t="s">
        <v>1122</v>
      </c>
      <c r="I47" s="10" t="s">
        <v>1180</v>
      </c>
      <c r="J47" s="10" t="s">
        <v>1499</v>
      </c>
      <c r="K47" s="10" t="s">
        <v>1243</v>
      </c>
      <c r="L47" s="10" t="s">
        <v>1126</v>
      </c>
      <c r="M47" s="11" t="s">
        <v>2906</v>
      </c>
    </row>
    <row r="48" spans="1:13" ht="62" customHeight="1">
      <c r="A48" s="8" t="s">
        <v>2958</v>
      </c>
      <c r="B48" s="8" t="s">
        <v>1501</v>
      </c>
      <c r="C48" s="8" t="s">
        <v>1502</v>
      </c>
      <c r="D48" s="8" t="s">
        <v>1285</v>
      </c>
      <c r="E48" s="8" t="s">
        <v>1242</v>
      </c>
      <c r="F48" s="8" t="s">
        <v>2905</v>
      </c>
      <c r="G48" s="8" t="s">
        <v>1121</v>
      </c>
      <c r="H48" s="8" t="s">
        <v>1134</v>
      </c>
      <c r="I48" s="8" t="s">
        <v>1123</v>
      </c>
      <c r="J48" s="8" t="s">
        <v>1124</v>
      </c>
      <c r="K48" s="8" t="s">
        <v>1243</v>
      </c>
      <c r="L48" s="8" t="s">
        <v>1161</v>
      </c>
      <c r="M48" s="9" t="s">
        <v>2906</v>
      </c>
    </row>
    <row r="49" spans="1:13" ht="62" customHeight="1">
      <c r="A49" s="10" t="s">
        <v>2959</v>
      </c>
      <c r="B49" s="10" t="s">
        <v>1504</v>
      </c>
      <c r="C49" s="10" t="s">
        <v>1505</v>
      </c>
      <c r="D49" s="10" t="s">
        <v>1131</v>
      </c>
      <c r="E49" s="10" t="s">
        <v>1119</v>
      </c>
      <c r="F49" s="10" t="s">
        <v>2905</v>
      </c>
      <c r="G49" s="10" t="s">
        <v>1133</v>
      </c>
      <c r="H49" s="10" t="s">
        <v>1122</v>
      </c>
      <c r="I49" s="10" t="s">
        <v>1123</v>
      </c>
      <c r="J49" s="10" t="s">
        <v>1124</v>
      </c>
      <c r="K49" s="10" t="s">
        <v>1125</v>
      </c>
      <c r="L49" s="12" t="s">
        <v>1136</v>
      </c>
      <c r="M49" s="11" t="s">
        <v>2906</v>
      </c>
    </row>
    <row r="50" spans="1:13" ht="62" customHeight="1">
      <c r="A50" s="8" t="s">
        <v>2960</v>
      </c>
      <c r="B50" s="8" t="s">
        <v>1507</v>
      </c>
      <c r="C50" s="8" t="s">
        <v>1508</v>
      </c>
      <c r="D50" s="8" t="s">
        <v>1131</v>
      </c>
      <c r="E50" s="8" t="s">
        <v>1316</v>
      </c>
      <c r="F50" s="8" t="s">
        <v>2905</v>
      </c>
      <c r="G50" s="8" t="s">
        <v>1121</v>
      </c>
      <c r="H50" s="8" t="s">
        <v>1122</v>
      </c>
      <c r="I50" s="8" t="s">
        <v>1141</v>
      </c>
      <c r="J50" s="8" t="s">
        <v>1509</v>
      </c>
      <c r="K50" s="8" t="s">
        <v>1125</v>
      </c>
      <c r="L50" s="8" t="s">
        <v>1126</v>
      </c>
      <c r="M50" s="9" t="s">
        <v>2906</v>
      </c>
    </row>
    <row r="51" spans="1:13" ht="62" customHeight="1">
      <c r="A51" s="10" t="s">
        <v>2961</v>
      </c>
      <c r="B51" s="10" t="s">
        <v>1511</v>
      </c>
      <c r="C51" s="10" t="s">
        <v>1512</v>
      </c>
      <c r="D51" s="10" t="s">
        <v>1131</v>
      </c>
      <c r="E51" s="10" t="s">
        <v>1513</v>
      </c>
      <c r="F51" s="10" t="s">
        <v>2905</v>
      </c>
      <c r="G51" s="10" t="s">
        <v>1133</v>
      </c>
      <c r="H51" s="10" t="s">
        <v>1122</v>
      </c>
      <c r="I51" s="10" t="s">
        <v>1180</v>
      </c>
      <c r="J51" s="10" t="s">
        <v>1205</v>
      </c>
      <c r="K51" s="10" t="s">
        <v>1125</v>
      </c>
      <c r="L51" s="12" t="s">
        <v>1136</v>
      </c>
      <c r="M51" s="11" t="s">
        <v>2906</v>
      </c>
    </row>
    <row r="52" spans="1:13" ht="62" customHeight="1">
      <c r="A52" s="8" t="s">
        <v>2962</v>
      </c>
      <c r="B52" s="8" t="s">
        <v>1515</v>
      </c>
      <c r="C52" s="8" t="s">
        <v>1516</v>
      </c>
      <c r="D52" s="8" t="s">
        <v>1131</v>
      </c>
      <c r="E52" s="8" t="s">
        <v>1517</v>
      </c>
      <c r="F52" s="8" t="s">
        <v>2905</v>
      </c>
      <c r="G52" s="8" t="s">
        <v>1121</v>
      </c>
      <c r="H52" s="8" t="s">
        <v>1134</v>
      </c>
      <c r="I52" s="8" t="s">
        <v>1141</v>
      </c>
      <c r="J52" s="8" t="s">
        <v>1518</v>
      </c>
      <c r="K52" s="8" t="s">
        <v>1125</v>
      </c>
      <c r="L52" s="8" t="s">
        <v>1161</v>
      </c>
      <c r="M52" s="9" t="s">
        <v>2906</v>
      </c>
    </row>
    <row r="53" spans="1:13" ht="62" customHeight="1">
      <c r="A53" s="10" t="s">
        <v>2963</v>
      </c>
      <c r="B53" s="10" t="s">
        <v>1520</v>
      </c>
      <c r="C53" s="10" t="s">
        <v>1521</v>
      </c>
      <c r="D53" s="10" t="s">
        <v>1131</v>
      </c>
      <c r="E53" s="10" t="s">
        <v>1479</v>
      </c>
      <c r="F53" s="10" t="s">
        <v>2905</v>
      </c>
      <c r="G53" s="10" t="s">
        <v>1121</v>
      </c>
      <c r="H53" s="10" t="s">
        <v>1134</v>
      </c>
      <c r="I53" s="10" t="s">
        <v>1141</v>
      </c>
      <c r="J53" s="10" t="s">
        <v>1522</v>
      </c>
      <c r="K53" s="10" t="s">
        <v>1125</v>
      </c>
      <c r="L53" s="10" t="s">
        <v>1161</v>
      </c>
      <c r="M53" s="11" t="s">
        <v>2906</v>
      </c>
    </row>
    <row r="54" spans="1:13" ht="62" customHeight="1">
      <c r="A54" s="8" t="s">
        <v>2964</v>
      </c>
      <c r="B54" s="8" t="s">
        <v>1524</v>
      </c>
      <c r="C54" s="8" t="s">
        <v>1525</v>
      </c>
      <c r="D54" s="8" t="s">
        <v>1131</v>
      </c>
      <c r="E54" s="8" t="s">
        <v>1526</v>
      </c>
      <c r="F54" s="8" t="s">
        <v>2905</v>
      </c>
      <c r="G54" s="8" t="s">
        <v>1121</v>
      </c>
      <c r="H54" s="8" t="s">
        <v>1134</v>
      </c>
      <c r="I54" s="8" t="s">
        <v>1141</v>
      </c>
      <c r="J54" s="8" t="s">
        <v>1527</v>
      </c>
      <c r="K54" s="8" t="s">
        <v>1125</v>
      </c>
      <c r="L54" s="8" t="s">
        <v>1161</v>
      </c>
      <c r="M54" s="9" t="s">
        <v>2906</v>
      </c>
    </row>
    <row r="55" spans="1:13" ht="62" customHeight="1">
      <c r="A55" s="10" t="s">
        <v>2965</v>
      </c>
      <c r="B55" s="10" t="s">
        <v>1529</v>
      </c>
      <c r="C55" s="10" t="s">
        <v>1530</v>
      </c>
      <c r="D55" s="10" t="s">
        <v>1131</v>
      </c>
      <c r="E55" s="10" t="s">
        <v>1132</v>
      </c>
      <c r="F55" s="10" t="s">
        <v>2905</v>
      </c>
      <c r="G55" s="10" t="s">
        <v>1121</v>
      </c>
      <c r="H55" s="10" t="s">
        <v>1134</v>
      </c>
      <c r="I55" s="10" t="s">
        <v>1180</v>
      </c>
      <c r="J55" s="10" t="s">
        <v>1531</v>
      </c>
      <c r="K55" s="10" t="s">
        <v>1135</v>
      </c>
      <c r="L55" s="10" t="s">
        <v>1161</v>
      </c>
      <c r="M55" s="11" t="s">
        <v>2906</v>
      </c>
    </row>
    <row r="56" spans="1:13" ht="62" customHeight="1">
      <c r="A56" s="8" t="s">
        <v>2966</v>
      </c>
      <c r="B56" s="8" t="s">
        <v>1533</v>
      </c>
      <c r="C56" s="8" t="s">
        <v>1534</v>
      </c>
      <c r="D56" s="8" t="s">
        <v>1131</v>
      </c>
      <c r="E56" s="8" t="s">
        <v>1119</v>
      </c>
      <c r="F56" s="8" t="s">
        <v>2905</v>
      </c>
      <c r="G56" s="8" t="s">
        <v>1121</v>
      </c>
      <c r="H56" s="8" t="s">
        <v>1122</v>
      </c>
      <c r="I56" s="8" t="s">
        <v>1123</v>
      </c>
      <c r="J56" s="8" t="s">
        <v>1124</v>
      </c>
      <c r="K56" s="8" t="s">
        <v>1125</v>
      </c>
      <c r="L56" s="8" t="s">
        <v>1126</v>
      </c>
      <c r="M56" s="9" t="s">
        <v>2910</v>
      </c>
    </row>
    <row r="57" spans="1:13" ht="62" customHeight="1">
      <c r="A57" s="10" t="s">
        <v>2967</v>
      </c>
      <c r="B57" s="10" t="s">
        <v>1536</v>
      </c>
      <c r="C57" s="10" t="s">
        <v>1537</v>
      </c>
      <c r="D57" s="10" t="s">
        <v>1538</v>
      </c>
      <c r="E57" s="10" t="s">
        <v>1539</v>
      </c>
      <c r="F57" s="10" t="s">
        <v>2905</v>
      </c>
      <c r="G57" s="10" t="s">
        <v>1133</v>
      </c>
      <c r="H57" s="10" t="s">
        <v>1122</v>
      </c>
      <c r="I57" s="10" t="s">
        <v>1180</v>
      </c>
      <c r="J57" s="10" t="s">
        <v>1205</v>
      </c>
      <c r="K57" s="10" t="s">
        <v>1125</v>
      </c>
      <c r="L57" s="12" t="s">
        <v>1136</v>
      </c>
      <c r="M57" s="11" t="s">
        <v>2910</v>
      </c>
    </row>
    <row r="58" spans="1:13" ht="62" customHeight="1">
      <c r="A58" s="8" t="s">
        <v>2968</v>
      </c>
      <c r="B58" s="8" t="s">
        <v>1546</v>
      </c>
      <c r="C58" s="8" t="s">
        <v>1547</v>
      </c>
      <c r="D58" s="8" t="s">
        <v>1131</v>
      </c>
      <c r="E58" s="8" t="s">
        <v>1548</v>
      </c>
      <c r="F58" s="8" t="s">
        <v>2905</v>
      </c>
      <c r="G58" s="8" t="s">
        <v>1121</v>
      </c>
      <c r="H58" s="8" t="s">
        <v>1122</v>
      </c>
      <c r="I58" s="8" t="s">
        <v>1141</v>
      </c>
      <c r="J58" s="8" t="s">
        <v>1549</v>
      </c>
      <c r="K58" s="8" t="s">
        <v>1243</v>
      </c>
      <c r="L58" s="8" t="s">
        <v>1126</v>
      </c>
      <c r="M58" s="9" t="s">
        <v>2906</v>
      </c>
    </row>
    <row r="59" spans="1:13" ht="62" customHeight="1">
      <c r="A59" s="10" t="s">
        <v>2969</v>
      </c>
      <c r="B59" s="10" t="s">
        <v>1562</v>
      </c>
      <c r="C59" s="10" t="s">
        <v>1563</v>
      </c>
      <c r="D59" s="10" t="s">
        <v>1131</v>
      </c>
      <c r="E59" s="10" t="s">
        <v>1564</v>
      </c>
      <c r="F59" s="10" t="s">
        <v>2905</v>
      </c>
      <c r="G59" s="10" t="s">
        <v>1121</v>
      </c>
      <c r="H59" s="10" t="s">
        <v>1122</v>
      </c>
      <c r="I59" s="10" t="s">
        <v>1141</v>
      </c>
      <c r="J59" s="10" t="s">
        <v>1565</v>
      </c>
      <c r="K59" s="10" t="s">
        <v>1243</v>
      </c>
      <c r="L59" s="10" t="s">
        <v>1126</v>
      </c>
      <c r="M59" s="11" t="s">
        <v>2943</v>
      </c>
    </row>
    <row r="60" spans="1:13" ht="62" customHeight="1">
      <c r="A60" s="8" t="s">
        <v>2970</v>
      </c>
      <c r="B60" s="8" t="s">
        <v>1567</v>
      </c>
      <c r="C60" s="8" t="s">
        <v>1568</v>
      </c>
      <c r="D60" s="8" t="s">
        <v>1131</v>
      </c>
      <c r="E60" s="8" t="s">
        <v>1276</v>
      </c>
      <c r="F60" s="8" t="s">
        <v>2905</v>
      </c>
      <c r="G60" s="8" t="s">
        <v>1121</v>
      </c>
      <c r="H60" s="8" t="s">
        <v>1122</v>
      </c>
      <c r="I60" s="8" t="s">
        <v>1141</v>
      </c>
      <c r="J60" s="8" t="s">
        <v>1569</v>
      </c>
      <c r="K60" s="8" t="s">
        <v>1125</v>
      </c>
      <c r="L60" s="8" t="s">
        <v>1126</v>
      </c>
      <c r="M60" s="9" t="s">
        <v>2915</v>
      </c>
    </row>
    <row r="61" spans="1:13" ht="62" customHeight="1">
      <c r="A61" s="10" t="s">
        <v>2971</v>
      </c>
      <c r="B61" s="10" t="s">
        <v>1571</v>
      </c>
      <c r="C61" s="10" t="s">
        <v>1572</v>
      </c>
      <c r="D61" s="10" t="s">
        <v>1131</v>
      </c>
      <c r="E61" s="10" t="s">
        <v>1573</v>
      </c>
      <c r="F61" s="10" t="s">
        <v>2905</v>
      </c>
      <c r="G61" s="10" t="s">
        <v>1121</v>
      </c>
      <c r="H61" s="10" t="s">
        <v>1122</v>
      </c>
      <c r="I61" s="10" t="s">
        <v>1141</v>
      </c>
      <c r="J61" s="10" t="s">
        <v>1509</v>
      </c>
      <c r="K61" s="10" t="s">
        <v>1243</v>
      </c>
      <c r="L61" s="10" t="s">
        <v>1126</v>
      </c>
      <c r="M61" s="11" t="s">
        <v>2906</v>
      </c>
    </row>
    <row r="62" spans="1:13" ht="62" customHeight="1">
      <c r="A62" s="8" t="s">
        <v>2972</v>
      </c>
      <c r="B62" s="8" t="s">
        <v>1575</v>
      </c>
      <c r="C62" s="8" t="s">
        <v>1576</v>
      </c>
      <c r="D62" s="8" t="s">
        <v>1131</v>
      </c>
      <c r="E62" s="8" t="s">
        <v>1132</v>
      </c>
      <c r="F62" s="8" t="s">
        <v>2905</v>
      </c>
      <c r="G62" s="8" t="s">
        <v>1121</v>
      </c>
      <c r="H62" s="8" t="s">
        <v>1122</v>
      </c>
      <c r="I62" s="8" t="s">
        <v>1180</v>
      </c>
      <c r="J62" s="8" t="s">
        <v>1205</v>
      </c>
      <c r="K62" s="8" t="s">
        <v>1135</v>
      </c>
      <c r="L62" s="8" t="s">
        <v>1126</v>
      </c>
      <c r="M62" s="9" t="s">
        <v>2973</v>
      </c>
    </row>
    <row r="63" spans="1:13" ht="62" customHeight="1">
      <c r="A63" s="10" t="s">
        <v>2974</v>
      </c>
      <c r="B63" s="10" t="s">
        <v>1579</v>
      </c>
      <c r="C63" s="10" t="s">
        <v>1580</v>
      </c>
      <c r="D63" s="10" t="s">
        <v>1131</v>
      </c>
      <c r="E63" s="10" t="s">
        <v>1242</v>
      </c>
      <c r="F63" s="10" t="s">
        <v>2905</v>
      </c>
      <c r="G63" s="10" t="s">
        <v>1121</v>
      </c>
      <c r="H63" s="10" t="s">
        <v>1122</v>
      </c>
      <c r="I63" s="10" t="s">
        <v>1123</v>
      </c>
      <c r="J63" s="10" t="s">
        <v>1124</v>
      </c>
      <c r="K63" s="10" t="s">
        <v>1125</v>
      </c>
      <c r="L63" s="10" t="s">
        <v>1126</v>
      </c>
      <c r="M63" s="11" t="s">
        <v>2975</v>
      </c>
    </row>
    <row r="64" spans="1:13" ht="62" customHeight="1">
      <c r="A64" s="8" t="s">
        <v>2976</v>
      </c>
      <c r="B64" s="8" t="s">
        <v>1591</v>
      </c>
      <c r="C64" s="8" t="s">
        <v>1592</v>
      </c>
      <c r="D64" s="8" t="s">
        <v>1131</v>
      </c>
      <c r="E64" s="8" t="s">
        <v>1593</v>
      </c>
      <c r="F64" s="8" t="s">
        <v>2905</v>
      </c>
      <c r="G64" s="8" t="s">
        <v>1121</v>
      </c>
      <c r="H64" s="8" t="s">
        <v>1122</v>
      </c>
      <c r="I64" s="8" t="s">
        <v>1141</v>
      </c>
      <c r="J64" s="8" t="s">
        <v>1317</v>
      </c>
      <c r="K64" s="8" t="s">
        <v>1125</v>
      </c>
      <c r="L64" s="8" t="s">
        <v>1126</v>
      </c>
      <c r="M64" s="9" t="s">
        <v>2975</v>
      </c>
    </row>
    <row r="65" spans="1:13" ht="62" customHeight="1">
      <c r="A65" s="10" t="s">
        <v>2977</v>
      </c>
      <c r="B65" s="10" t="s">
        <v>1598</v>
      </c>
      <c r="C65" s="10" t="s">
        <v>1599</v>
      </c>
      <c r="D65" s="10" t="s">
        <v>1118</v>
      </c>
      <c r="E65" s="10" t="s">
        <v>1132</v>
      </c>
      <c r="F65" s="10" t="s">
        <v>2905</v>
      </c>
      <c r="G65" s="10" t="s">
        <v>1121</v>
      </c>
      <c r="H65" s="10" t="s">
        <v>1122</v>
      </c>
      <c r="I65" s="10" t="s">
        <v>1141</v>
      </c>
      <c r="J65" s="10" t="s">
        <v>1600</v>
      </c>
      <c r="K65" s="10" t="s">
        <v>1135</v>
      </c>
      <c r="L65" s="10" t="s">
        <v>1126</v>
      </c>
      <c r="M65" s="11" t="s">
        <v>2975</v>
      </c>
    </row>
    <row r="66" spans="1:13" ht="62" customHeight="1">
      <c r="A66" s="8" t="s">
        <v>2978</v>
      </c>
      <c r="B66" s="8" t="s">
        <v>1611</v>
      </c>
      <c r="C66" s="8" t="s">
        <v>1612</v>
      </c>
      <c r="D66" s="8" t="s">
        <v>1118</v>
      </c>
      <c r="E66" s="8" t="s">
        <v>1242</v>
      </c>
      <c r="F66" s="8" t="s">
        <v>2905</v>
      </c>
      <c r="G66" s="8" t="s">
        <v>1133</v>
      </c>
      <c r="H66" s="8" t="s">
        <v>1122</v>
      </c>
      <c r="I66" s="8" t="s">
        <v>1123</v>
      </c>
      <c r="J66" s="8" t="s">
        <v>1124</v>
      </c>
      <c r="K66" s="8" t="s">
        <v>1125</v>
      </c>
      <c r="L66" s="12" t="s">
        <v>1136</v>
      </c>
      <c r="M66" s="9" t="s">
        <v>2915</v>
      </c>
    </row>
    <row r="67" spans="1:13" ht="62" customHeight="1">
      <c r="A67" s="10" t="s">
        <v>2979</v>
      </c>
      <c r="B67" s="10" t="s">
        <v>1614</v>
      </c>
      <c r="C67" s="10" t="s">
        <v>1615</v>
      </c>
      <c r="D67" s="10" t="s">
        <v>1131</v>
      </c>
      <c r="E67" s="10" t="s">
        <v>1119</v>
      </c>
      <c r="F67" s="10" t="s">
        <v>2905</v>
      </c>
      <c r="G67" s="10" t="s">
        <v>1133</v>
      </c>
      <c r="H67" s="10" t="s">
        <v>1122</v>
      </c>
      <c r="I67" s="10" t="s">
        <v>1123</v>
      </c>
      <c r="J67" s="10" t="s">
        <v>1124</v>
      </c>
      <c r="K67" s="10" t="s">
        <v>1125</v>
      </c>
      <c r="L67" s="12" t="s">
        <v>1136</v>
      </c>
      <c r="M67" s="11" t="s">
        <v>2915</v>
      </c>
    </row>
    <row r="68" spans="1:13" ht="62" customHeight="1">
      <c r="A68" s="8" t="s">
        <v>2980</v>
      </c>
      <c r="B68" s="8" t="s">
        <v>1617</v>
      </c>
      <c r="C68" s="8" t="s">
        <v>1618</v>
      </c>
      <c r="D68" s="8" t="s">
        <v>1131</v>
      </c>
      <c r="E68" s="8" t="s">
        <v>1619</v>
      </c>
      <c r="F68" s="8" t="s">
        <v>2905</v>
      </c>
      <c r="G68" s="8" t="s">
        <v>1133</v>
      </c>
      <c r="H68" s="8" t="s">
        <v>1122</v>
      </c>
      <c r="I68" s="8" t="s">
        <v>1180</v>
      </c>
      <c r="J68" s="8" t="s">
        <v>1205</v>
      </c>
      <c r="K68" s="8" t="s">
        <v>1125</v>
      </c>
      <c r="L68" s="12" t="s">
        <v>1136</v>
      </c>
      <c r="M68" s="9" t="s">
        <v>2915</v>
      </c>
    </row>
    <row r="69" spans="1:13" ht="62" customHeight="1">
      <c r="A69" s="10" t="s">
        <v>2981</v>
      </c>
      <c r="B69" s="10" t="s">
        <v>1621</v>
      </c>
      <c r="C69" s="10" t="s">
        <v>1622</v>
      </c>
      <c r="D69" s="10" t="s">
        <v>1131</v>
      </c>
      <c r="E69" s="10" t="s">
        <v>1119</v>
      </c>
      <c r="F69" s="10" t="s">
        <v>2905</v>
      </c>
      <c r="G69" s="10" t="s">
        <v>1133</v>
      </c>
      <c r="H69" s="10" t="s">
        <v>1122</v>
      </c>
      <c r="I69" s="10" t="s">
        <v>1123</v>
      </c>
      <c r="J69" s="10" t="s">
        <v>1124</v>
      </c>
      <c r="K69" s="10" t="s">
        <v>1125</v>
      </c>
      <c r="L69" s="12" t="s">
        <v>1136</v>
      </c>
      <c r="M69" s="11" t="s">
        <v>2915</v>
      </c>
    </row>
    <row r="70" spans="1:13" ht="62" customHeight="1">
      <c r="A70" s="8" t="s">
        <v>2982</v>
      </c>
      <c r="B70" s="8" t="s">
        <v>1624</v>
      </c>
      <c r="C70" s="8" t="s">
        <v>1625</v>
      </c>
      <c r="D70" s="8" t="s">
        <v>1118</v>
      </c>
      <c r="E70" s="8" t="s">
        <v>1242</v>
      </c>
      <c r="F70" s="8" t="s">
        <v>2905</v>
      </c>
      <c r="G70" s="8" t="s">
        <v>1133</v>
      </c>
      <c r="H70" s="8" t="s">
        <v>1134</v>
      </c>
      <c r="I70" s="8" t="s">
        <v>1123</v>
      </c>
      <c r="J70" s="8" t="s">
        <v>1124</v>
      </c>
      <c r="K70" s="8" t="s">
        <v>1125</v>
      </c>
      <c r="L70" s="12" t="s">
        <v>1136</v>
      </c>
      <c r="M70" s="9" t="s">
        <v>2915</v>
      </c>
    </row>
    <row r="71" spans="1:13" ht="62" customHeight="1">
      <c r="A71" s="10" t="s">
        <v>2983</v>
      </c>
      <c r="B71" s="10" t="s">
        <v>1627</v>
      </c>
      <c r="C71" s="10" t="s">
        <v>1628</v>
      </c>
      <c r="D71" s="10" t="s">
        <v>1131</v>
      </c>
      <c r="E71" s="10" t="s">
        <v>1119</v>
      </c>
      <c r="F71" s="10" t="s">
        <v>2905</v>
      </c>
      <c r="G71" s="10" t="s">
        <v>1133</v>
      </c>
      <c r="H71" s="10" t="s">
        <v>1122</v>
      </c>
      <c r="I71" s="10" t="s">
        <v>1123</v>
      </c>
      <c r="J71" s="10" t="s">
        <v>1124</v>
      </c>
      <c r="K71" s="10" t="s">
        <v>1125</v>
      </c>
      <c r="L71" s="12" t="s">
        <v>1136</v>
      </c>
      <c r="M71" s="11" t="s">
        <v>2915</v>
      </c>
    </row>
    <row r="72" spans="1:13" ht="62" customHeight="1">
      <c r="A72" s="8" t="s">
        <v>2984</v>
      </c>
      <c r="B72" s="8" t="s">
        <v>1630</v>
      </c>
      <c r="C72" s="8" t="s">
        <v>1631</v>
      </c>
      <c r="D72" s="8" t="s">
        <v>1632</v>
      </c>
      <c r="E72" s="8" t="s">
        <v>1633</v>
      </c>
      <c r="F72" s="8" t="s">
        <v>2905</v>
      </c>
      <c r="G72" s="8" t="s">
        <v>1121</v>
      </c>
      <c r="H72" s="8" t="s">
        <v>1134</v>
      </c>
      <c r="I72" s="8" t="s">
        <v>1141</v>
      </c>
      <c r="J72" s="8" t="s">
        <v>1634</v>
      </c>
      <c r="K72" s="8" t="s">
        <v>1125</v>
      </c>
      <c r="L72" s="8" t="s">
        <v>1635</v>
      </c>
      <c r="M72" s="9" t="s">
        <v>2985</v>
      </c>
    </row>
    <row r="73" spans="1:13" ht="62" customHeight="1">
      <c r="A73" s="10" t="s">
        <v>2986</v>
      </c>
      <c r="B73" s="10" t="s">
        <v>1638</v>
      </c>
      <c r="C73" s="10" t="s">
        <v>1639</v>
      </c>
      <c r="D73" s="10" t="s">
        <v>1131</v>
      </c>
      <c r="E73" s="10" t="s">
        <v>1640</v>
      </c>
      <c r="F73" s="10" t="s">
        <v>2905</v>
      </c>
      <c r="G73" s="10" t="s">
        <v>1133</v>
      </c>
      <c r="H73" s="10" t="s">
        <v>1122</v>
      </c>
      <c r="I73" s="10" t="s">
        <v>1141</v>
      </c>
      <c r="J73" s="10" t="s">
        <v>1641</v>
      </c>
      <c r="K73" s="10" t="s">
        <v>1125</v>
      </c>
      <c r="L73" s="12" t="s">
        <v>1136</v>
      </c>
      <c r="M73" s="11" t="s">
        <v>2915</v>
      </c>
    </row>
    <row r="74" spans="1:13" ht="62" customHeight="1">
      <c r="A74" s="8" t="s">
        <v>2987</v>
      </c>
      <c r="B74" s="8" t="s">
        <v>1652</v>
      </c>
      <c r="C74" s="8" t="s">
        <v>1653</v>
      </c>
      <c r="D74" s="8" t="s">
        <v>1131</v>
      </c>
      <c r="E74" s="8" t="s">
        <v>1654</v>
      </c>
      <c r="F74" s="8" t="s">
        <v>2905</v>
      </c>
      <c r="G74" s="8" t="s">
        <v>1121</v>
      </c>
      <c r="H74" s="8" t="s">
        <v>1122</v>
      </c>
      <c r="I74" s="8" t="s">
        <v>1141</v>
      </c>
      <c r="J74" s="8" t="s">
        <v>1655</v>
      </c>
      <c r="K74" s="8" t="s">
        <v>1125</v>
      </c>
      <c r="L74" s="8" t="s">
        <v>1126</v>
      </c>
      <c r="M74" s="9" t="s">
        <v>2975</v>
      </c>
    </row>
    <row r="75" spans="1:13" ht="62" customHeight="1">
      <c r="A75" s="10" t="s">
        <v>2988</v>
      </c>
      <c r="B75" s="10" t="s">
        <v>1660</v>
      </c>
      <c r="C75" s="10" t="s">
        <v>1661</v>
      </c>
      <c r="D75" s="10" t="s">
        <v>1662</v>
      </c>
      <c r="E75" s="10" t="s">
        <v>1242</v>
      </c>
      <c r="F75" s="10" t="s">
        <v>2905</v>
      </c>
      <c r="G75" s="10" t="s">
        <v>1121</v>
      </c>
      <c r="H75" s="10" t="s">
        <v>1122</v>
      </c>
      <c r="I75" s="10" t="s">
        <v>1180</v>
      </c>
      <c r="J75" s="10" t="s">
        <v>1214</v>
      </c>
      <c r="K75" s="10" t="s">
        <v>1125</v>
      </c>
      <c r="L75" s="10" t="s">
        <v>1126</v>
      </c>
      <c r="M75" s="11" t="s">
        <v>2989</v>
      </c>
    </row>
    <row r="76" spans="1:13" ht="62" customHeight="1">
      <c r="A76" s="8" t="s">
        <v>2990</v>
      </c>
      <c r="B76" s="8" t="s">
        <v>1681</v>
      </c>
      <c r="C76" s="8" t="s">
        <v>1682</v>
      </c>
      <c r="D76" s="8" t="s">
        <v>1131</v>
      </c>
      <c r="E76" s="8" t="s">
        <v>1683</v>
      </c>
      <c r="F76" s="8" t="s">
        <v>2905</v>
      </c>
      <c r="G76" s="8" t="s">
        <v>1133</v>
      </c>
      <c r="H76" s="8" t="s">
        <v>1122</v>
      </c>
      <c r="I76" s="8" t="s">
        <v>1141</v>
      </c>
      <c r="J76" s="8" t="s">
        <v>1605</v>
      </c>
      <c r="K76" s="8" t="s">
        <v>1125</v>
      </c>
      <c r="L76" s="12" t="s">
        <v>1136</v>
      </c>
      <c r="M76" s="9" t="s">
        <v>2975</v>
      </c>
    </row>
    <row r="77" spans="1:13" ht="62" customHeight="1">
      <c r="A77" s="10" t="s">
        <v>2991</v>
      </c>
      <c r="B77" s="10" t="s">
        <v>1685</v>
      </c>
      <c r="C77" s="10" t="s">
        <v>1686</v>
      </c>
      <c r="D77" s="10" t="s">
        <v>1131</v>
      </c>
      <c r="E77" s="10" t="s">
        <v>1687</v>
      </c>
      <c r="F77" s="10" t="s">
        <v>2905</v>
      </c>
      <c r="G77" s="10" t="s">
        <v>1133</v>
      </c>
      <c r="H77" s="10" t="s">
        <v>1122</v>
      </c>
      <c r="I77" s="10" t="s">
        <v>1141</v>
      </c>
      <c r="J77" s="10" t="s">
        <v>1688</v>
      </c>
      <c r="K77" s="10" t="s">
        <v>1125</v>
      </c>
      <c r="L77" s="12" t="s">
        <v>1136</v>
      </c>
      <c r="M77" s="11" t="s">
        <v>2992</v>
      </c>
    </row>
    <row r="78" spans="1:13" ht="62" customHeight="1">
      <c r="A78" s="8" t="s">
        <v>2993</v>
      </c>
      <c r="B78" s="8" t="s">
        <v>1693</v>
      </c>
      <c r="C78" s="8" t="s">
        <v>1694</v>
      </c>
      <c r="D78" s="8" t="s">
        <v>1695</v>
      </c>
      <c r="E78" s="8" t="s">
        <v>1696</v>
      </c>
      <c r="F78" s="8" t="s">
        <v>2905</v>
      </c>
      <c r="G78" s="8" t="s">
        <v>1133</v>
      </c>
      <c r="H78" s="8" t="s">
        <v>1134</v>
      </c>
      <c r="I78" s="8" t="s">
        <v>1180</v>
      </c>
      <c r="J78" s="8" t="s">
        <v>1695</v>
      </c>
      <c r="K78" s="8" t="s">
        <v>1125</v>
      </c>
      <c r="L78" s="12" t="s">
        <v>1136</v>
      </c>
      <c r="M78" s="9" t="s">
        <v>2975</v>
      </c>
    </row>
    <row r="79" spans="1:13" ht="62" customHeight="1">
      <c r="A79" s="10" t="s">
        <v>2994</v>
      </c>
      <c r="B79" s="10" t="s">
        <v>1698</v>
      </c>
      <c r="C79" s="10" t="s">
        <v>1699</v>
      </c>
      <c r="D79" s="10" t="s">
        <v>1131</v>
      </c>
      <c r="E79" s="10" t="s">
        <v>1316</v>
      </c>
      <c r="F79" s="10" t="s">
        <v>2905</v>
      </c>
      <c r="G79" s="10" t="s">
        <v>1133</v>
      </c>
      <c r="H79" s="10" t="s">
        <v>1122</v>
      </c>
      <c r="I79" s="10" t="s">
        <v>1141</v>
      </c>
      <c r="J79" s="10" t="s">
        <v>1413</v>
      </c>
      <c r="K79" s="10" t="s">
        <v>1125</v>
      </c>
      <c r="L79" s="12" t="s">
        <v>1136</v>
      </c>
      <c r="M79" s="11" t="s">
        <v>2975</v>
      </c>
    </row>
    <row r="80" spans="1:13" ht="62" customHeight="1">
      <c r="A80" s="8" t="s">
        <v>2995</v>
      </c>
      <c r="B80" s="8" t="s">
        <v>1701</v>
      </c>
      <c r="C80" s="8" t="s">
        <v>1702</v>
      </c>
      <c r="D80" s="8" t="s">
        <v>1131</v>
      </c>
      <c r="E80" s="8" t="s">
        <v>1119</v>
      </c>
      <c r="F80" s="8" t="s">
        <v>2905</v>
      </c>
      <c r="G80" s="8" t="s">
        <v>1133</v>
      </c>
      <c r="H80" s="8" t="s">
        <v>1134</v>
      </c>
      <c r="I80" s="8" t="s">
        <v>1123</v>
      </c>
      <c r="J80" s="8" t="s">
        <v>1124</v>
      </c>
      <c r="K80" s="8" t="s">
        <v>1125</v>
      </c>
      <c r="L80" s="12" t="s">
        <v>1136</v>
      </c>
      <c r="M80" s="9" t="s">
        <v>2975</v>
      </c>
    </row>
    <row r="81" spans="1:13" ht="62" customHeight="1">
      <c r="A81" s="10" t="s">
        <v>2996</v>
      </c>
      <c r="B81" s="10" t="s">
        <v>1704</v>
      </c>
      <c r="C81" s="10" t="s">
        <v>1705</v>
      </c>
      <c r="D81" s="10" t="s">
        <v>1131</v>
      </c>
      <c r="E81" s="10" t="s">
        <v>1132</v>
      </c>
      <c r="F81" s="10" t="s">
        <v>2905</v>
      </c>
      <c r="G81" s="10" t="s">
        <v>1121</v>
      </c>
      <c r="H81" s="10" t="s">
        <v>1122</v>
      </c>
      <c r="I81" s="10" t="s">
        <v>1180</v>
      </c>
      <c r="J81" s="10" t="s">
        <v>1205</v>
      </c>
      <c r="K81" s="10" t="s">
        <v>1135</v>
      </c>
      <c r="L81" s="10" t="s">
        <v>1126</v>
      </c>
      <c r="M81" s="11" t="s">
        <v>2989</v>
      </c>
    </row>
    <row r="82" spans="1:13" ht="62" customHeight="1">
      <c r="A82" s="8" t="s">
        <v>2997</v>
      </c>
      <c r="B82" s="8" t="s">
        <v>1707</v>
      </c>
      <c r="C82" s="8" t="s">
        <v>1708</v>
      </c>
      <c r="D82" s="8" t="s">
        <v>1131</v>
      </c>
      <c r="E82" s="8" t="s">
        <v>1709</v>
      </c>
      <c r="F82" s="8" t="s">
        <v>2905</v>
      </c>
      <c r="G82" s="8" t="s">
        <v>1121</v>
      </c>
      <c r="H82" s="8" t="s">
        <v>1134</v>
      </c>
      <c r="I82" s="8" t="s">
        <v>1141</v>
      </c>
      <c r="J82" s="8" t="s">
        <v>1429</v>
      </c>
      <c r="K82" s="8" t="s">
        <v>1125</v>
      </c>
      <c r="L82" s="8" t="s">
        <v>1161</v>
      </c>
      <c r="M82" s="9" t="s">
        <v>2989</v>
      </c>
    </row>
    <row r="83" spans="1:13" ht="62" customHeight="1">
      <c r="A83" s="10" t="s">
        <v>2998</v>
      </c>
      <c r="B83" s="10" t="s">
        <v>1711</v>
      </c>
      <c r="C83" s="10" t="s">
        <v>1712</v>
      </c>
      <c r="D83" s="10" t="s">
        <v>1131</v>
      </c>
      <c r="E83" s="10" t="s">
        <v>1242</v>
      </c>
      <c r="F83" s="10" t="s">
        <v>2905</v>
      </c>
      <c r="G83" s="10" t="s">
        <v>1121</v>
      </c>
      <c r="H83" s="10" t="s">
        <v>1122</v>
      </c>
      <c r="I83" s="10" t="s">
        <v>1123</v>
      </c>
      <c r="J83" s="10" t="s">
        <v>1124</v>
      </c>
      <c r="K83" s="10" t="s">
        <v>1243</v>
      </c>
      <c r="L83" s="10" t="s">
        <v>1126</v>
      </c>
      <c r="M83" s="11" t="s">
        <v>2989</v>
      </c>
    </row>
    <row r="84" spans="1:13" ht="62" customHeight="1">
      <c r="A84" s="8" t="s">
        <v>2999</v>
      </c>
      <c r="B84" s="8" t="s">
        <v>1726</v>
      </c>
      <c r="C84" s="8" t="s">
        <v>1727</v>
      </c>
      <c r="D84" s="8" t="s">
        <v>1131</v>
      </c>
      <c r="E84" s="8" t="s">
        <v>1728</v>
      </c>
      <c r="F84" s="8" t="s">
        <v>2905</v>
      </c>
      <c r="G84" s="8" t="s">
        <v>1121</v>
      </c>
      <c r="H84" s="8" t="s">
        <v>1122</v>
      </c>
      <c r="I84" s="8" t="s">
        <v>1180</v>
      </c>
      <c r="J84" s="8" t="s">
        <v>1205</v>
      </c>
      <c r="K84" s="8" t="s">
        <v>1125</v>
      </c>
      <c r="L84" s="8" t="s">
        <v>1126</v>
      </c>
      <c r="M84" s="9" t="s">
        <v>2989</v>
      </c>
    </row>
    <row r="85" spans="1:13" ht="62" customHeight="1">
      <c r="A85" s="10" t="s">
        <v>3000</v>
      </c>
      <c r="B85" s="10" t="s">
        <v>1734</v>
      </c>
      <c r="C85" s="10" t="s">
        <v>1735</v>
      </c>
      <c r="D85" s="10" t="s">
        <v>1131</v>
      </c>
      <c r="E85" s="10" t="s">
        <v>1728</v>
      </c>
      <c r="F85" s="10" t="s">
        <v>2905</v>
      </c>
      <c r="G85" s="10" t="s">
        <v>1121</v>
      </c>
      <c r="H85" s="10" t="s">
        <v>1122</v>
      </c>
      <c r="I85" s="10" t="s">
        <v>1180</v>
      </c>
      <c r="J85" s="10" t="s">
        <v>1205</v>
      </c>
      <c r="K85" s="10" t="s">
        <v>1243</v>
      </c>
      <c r="L85" s="10" t="s">
        <v>1126</v>
      </c>
      <c r="M85" s="11" t="s">
        <v>2989</v>
      </c>
    </row>
    <row r="86" spans="1:13" ht="62" customHeight="1">
      <c r="A86" s="8" t="s">
        <v>3001</v>
      </c>
      <c r="B86" s="8" t="s">
        <v>1737</v>
      </c>
      <c r="C86" s="8" t="s">
        <v>1738</v>
      </c>
      <c r="D86" s="8" t="s">
        <v>1131</v>
      </c>
      <c r="E86" s="8" t="s">
        <v>1739</v>
      </c>
      <c r="F86" s="8" t="s">
        <v>2905</v>
      </c>
      <c r="G86" s="8" t="s">
        <v>1133</v>
      </c>
      <c r="H86" s="8" t="s">
        <v>1122</v>
      </c>
      <c r="I86" s="8" t="s">
        <v>1141</v>
      </c>
      <c r="J86" s="8" t="s">
        <v>1740</v>
      </c>
      <c r="K86" s="8" t="s">
        <v>1125</v>
      </c>
      <c r="L86" s="12" t="s">
        <v>1136</v>
      </c>
      <c r="M86" s="9" t="s">
        <v>2975</v>
      </c>
    </row>
    <row r="87" spans="1:13" ht="62" customHeight="1">
      <c r="A87" s="10" t="s">
        <v>3002</v>
      </c>
      <c r="B87" s="10" t="s">
        <v>1742</v>
      </c>
      <c r="C87" s="10" t="s">
        <v>1743</v>
      </c>
      <c r="D87" s="10" t="s">
        <v>1131</v>
      </c>
      <c r="E87" s="10" t="s">
        <v>1744</v>
      </c>
      <c r="F87" s="10" t="s">
        <v>2905</v>
      </c>
      <c r="G87" s="10" t="s">
        <v>1133</v>
      </c>
      <c r="H87" s="10" t="s">
        <v>1122</v>
      </c>
      <c r="I87" s="10" t="s">
        <v>1141</v>
      </c>
      <c r="J87" s="10" t="s">
        <v>1745</v>
      </c>
      <c r="K87" s="10" t="s">
        <v>1125</v>
      </c>
      <c r="L87" s="12" t="s">
        <v>1136</v>
      </c>
      <c r="M87" s="11" t="s">
        <v>2975</v>
      </c>
    </row>
    <row r="88" spans="1:13" ht="62" customHeight="1">
      <c r="A88" s="8" t="s">
        <v>3003</v>
      </c>
      <c r="B88" s="8" t="s">
        <v>616</v>
      </c>
      <c r="C88" s="8" t="s">
        <v>1747</v>
      </c>
      <c r="D88" s="8" t="s">
        <v>1131</v>
      </c>
      <c r="E88" s="8" t="s">
        <v>1748</v>
      </c>
      <c r="F88" s="8" t="s">
        <v>2905</v>
      </c>
      <c r="G88" s="8" t="s">
        <v>1121</v>
      </c>
      <c r="H88" s="8" t="s">
        <v>1122</v>
      </c>
      <c r="I88" s="8" t="s">
        <v>1141</v>
      </c>
      <c r="J88" s="8" t="s">
        <v>1749</v>
      </c>
      <c r="K88" s="8" t="s">
        <v>1243</v>
      </c>
      <c r="L88" s="8" t="s">
        <v>1126</v>
      </c>
      <c r="M88" s="9" t="s">
        <v>2989</v>
      </c>
    </row>
    <row r="89" spans="1:13" ht="62" customHeight="1">
      <c r="A89" s="10" t="s">
        <v>3004</v>
      </c>
      <c r="B89" s="10" t="s">
        <v>1751</v>
      </c>
      <c r="C89" s="10" t="s">
        <v>1752</v>
      </c>
      <c r="D89" s="10" t="s">
        <v>1131</v>
      </c>
      <c r="E89" s="10" t="s">
        <v>1242</v>
      </c>
      <c r="F89" s="10" t="s">
        <v>2905</v>
      </c>
      <c r="G89" s="10" t="s">
        <v>1133</v>
      </c>
      <c r="H89" s="10" t="s">
        <v>1122</v>
      </c>
      <c r="I89" s="10" t="s">
        <v>1123</v>
      </c>
      <c r="J89" s="10" t="s">
        <v>1124</v>
      </c>
      <c r="K89" s="10" t="s">
        <v>1125</v>
      </c>
      <c r="L89" s="12" t="s">
        <v>1136</v>
      </c>
      <c r="M89" s="11" t="s">
        <v>2975</v>
      </c>
    </row>
    <row r="90" spans="1:13" ht="62" customHeight="1">
      <c r="A90" s="8" t="s">
        <v>3005</v>
      </c>
      <c r="B90" s="8" t="s">
        <v>1754</v>
      </c>
      <c r="C90" s="8" t="s">
        <v>1755</v>
      </c>
      <c r="D90" s="8" t="s">
        <v>1131</v>
      </c>
      <c r="E90" s="8" t="s">
        <v>1548</v>
      </c>
      <c r="F90" s="8" t="s">
        <v>2905</v>
      </c>
      <c r="G90" s="8" t="s">
        <v>1121</v>
      </c>
      <c r="H90" s="8" t="s">
        <v>1122</v>
      </c>
      <c r="I90" s="8" t="s">
        <v>1141</v>
      </c>
      <c r="J90" s="8" t="s">
        <v>1740</v>
      </c>
      <c r="K90" s="8" t="s">
        <v>1125</v>
      </c>
      <c r="L90" s="8" t="s">
        <v>1126</v>
      </c>
      <c r="M90" s="9" t="s">
        <v>2975</v>
      </c>
    </row>
    <row r="91" spans="1:13" ht="62" customHeight="1">
      <c r="A91" s="10" t="s">
        <v>3006</v>
      </c>
      <c r="B91" s="10" t="s">
        <v>1757</v>
      </c>
      <c r="C91" s="10" t="s">
        <v>1758</v>
      </c>
      <c r="D91" s="10" t="s">
        <v>1131</v>
      </c>
      <c r="E91" s="10" t="s">
        <v>1759</v>
      </c>
      <c r="F91" s="10" t="s">
        <v>2905</v>
      </c>
      <c r="G91" s="10" t="s">
        <v>1121</v>
      </c>
      <c r="H91" s="10" t="s">
        <v>1122</v>
      </c>
      <c r="I91" s="10" t="s">
        <v>1141</v>
      </c>
      <c r="J91" s="10" t="s">
        <v>1760</v>
      </c>
      <c r="K91" s="10" t="s">
        <v>1125</v>
      </c>
      <c r="L91" s="10" t="s">
        <v>1126</v>
      </c>
      <c r="M91" s="11" t="s">
        <v>2975</v>
      </c>
    </row>
    <row r="92" spans="1:13" ht="62" customHeight="1">
      <c r="A92" s="8" t="s">
        <v>3007</v>
      </c>
      <c r="B92" s="8" t="s">
        <v>1762</v>
      </c>
      <c r="C92" s="8" t="s">
        <v>1763</v>
      </c>
      <c r="D92" s="8" t="s">
        <v>1131</v>
      </c>
      <c r="E92" s="8" t="s">
        <v>1316</v>
      </c>
      <c r="F92" s="8" t="s">
        <v>2905</v>
      </c>
      <c r="G92" s="8" t="s">
        <v>1121</v>
      </c>
      <c r="H92" s="8" t="s">
        <v>1122</v>
      </c>
      <c r="I92" s="8" t="s">
        <v>1141</v>
      </c>
      <c r="J92" s="8" t="s">
        <v>1429</v>
      </c>
      <c r="K92" s="8" t="s">
        <v>1125</v>
      </c>
      <c r="L92" s="8" t="s">
        <v>1126</v>
      </c>
      <c r="M92" s="9" t="s">
        <v>2975</v>
      </c>
    </row>
    <row r="93" spans="1:13" ht="62" customHeight="1">
      <c r="A93" s="10" t="s">
        <v>3008</v>
      </c>
      <c r="B93" s="10" t="s">
        <v>1765</v>
      </c>
      <c r="C93" s="10" t="s">
        <v>1766</v>
      </c>
      <c r="D93" s="10" t="s">
        <v>1131</v>
      </c>
      <c r="E93" s="10" t="s">
        <v>1316</v>
      </c>
      <c r="F93" s="10" t="s">
        <v>2905</v>
      </c>
      <c r="G93" s="10" t="s">
        <v>1121</v>
      </c>
      <c r="H93" s="10" t="s">
        <v>1122</v>
      </c>
      <c r="I93" s="10" t="s">
        <v>1141</v>
      </c>
      <c r="J93" s="10" t="s">
        <v>1188</v>
      </c>
      <c r="K93" s="10" t="s">
        <v>1125</v>
      </c>
      <c r="L93" s="10" t="s">
        <v>1126</v>
      </c>
      <c r="M93" s="11" t="s">
        <v>2975</v>
      </c>
    </row>
    <row r="94" spans="1:13" ht="62" customHeight="1">
      <c r="A94" s="8" t="s">
        <v>3009</v>
      </c>
      <c r="B94" s="8" t="s">
        <v>1768</v>
      </c>
      <c r="C94" s="8" t="s">
        <v>1769</v>
      </c>
      <c r="D94" s="8" t="s">
        <v>1131</v>
      </c>
      <c r="E94" s="8" t="s">
        <v>1132</v>
      </c>
      <c r="F94" s="8" t="s">
        <v>2905</v>
      </c>
      <c r="G94" s="8" t="s">
        <v>1121</v>
      </c>
      <c r="H94" s="8" t="s">
        <v>1122</v>
      </c>
      <c r="I94" s="8" t="s">
        <v>1180</v>
      </c>
      <c r="J94" s="8" t="s">
        <v>1205</v>
      </c>
      <c r="K94" s="8" t="s">
        <v>1135</v>
      </c>
      <c r="L94" s="8" t="s">
        <v>1126</v>
      </c>
      <c r="M94" s="9" t="s">
        <v>2975</v>
      </c>
    </row>
    <row r="95" spans="1:13" ht="62" customHeight="1">
      <c r="A95" s="10" t="s">
        <v>3010</v>
      </c>
      <c r="B95" s="10" t="s">
        <v>1771</v>
      </c>
      <c r="C95" s="10" t="s">
        <v>1772</v>
      </c>
      <c r="D95" s="10" t="s">
        <v>1131</v>
      </c>
      <c r="E95" s="10" t="s">
        <v>1132</v>
      </c>
      <c r="F95" s="10" t="s">
        <v>2905</v>
      </c>
      <c r="G95" s="10" t="s">
        <v>1121</v>
      </c>
      <c r="H95" s="10" t="s">
        <v>1122</v>
      </c>
      <c r="I95" s="10" t="s">
        <v>1180</v>
      </c>
      <c r="J95" s="10" t="s">
        <v>1205</v>
      </c>
      <c r="K95" s="10" t="s">
        <v>1135</v>
      </c>
      <c r="L95" s="10" t="s">
        <v>1126</v>
      </c>
      <c r="M95" s="11" t="s">
        <v>2975</v>
      </c>
    </row>
    <row r="96" spans="1:13" ht="62" customHeight="1">
      <c r="A96" s="8" t="s">
        <v>3011</v>
      </c>
      <c r="B96" s="8" t="s">
        <v>1774</v>
      </c>
      <c r="C96" s="8" t="s">
        <v>1775</v>
      </c>
      <c r="D96" s="8" t="s">
        <v>1131</v>
      </c>
      <c r="E96" s="8" t="s">
        <v>1728</v>
      </c>
      <c r="F96" s="8" t="s">
        <v>2905</v>
      </c>
      <c r="G96" s="8" t="s">
        <v>1121</v>
      </c>
      <c r="H96" s="8" t="s">
        <v>1122</v>
      </c>
      <c r="I96" s="8" t="s">
        <v>1180</v>
      </c>
      <c r="J96" s="8" t="s">
        <v>1205</v>
      </c>
      <c r="K96" s="8" t="s">
        <v>1125</v>
      </c>
      <c r="L96" s="8" t="s">
        <v>1126</v>
      </c>
      <c r="M96" s="9" t="s">
        <v>2975</v>
      </c>
    </row>
    <row r="97" spans="1:13" ht="62" customHeight="1">
      <c r="A97" s="10" t="s">
        <v>3012</v>
      </c>
      <c r="B97" s="10" t="s">
        <v>1777</v>
      </c>
      <c r="C97" s="10" t="s">
        <v>1778</v>
      </c>
      <c r="D97" s="10" t="s">
        <v>1131</v>
      </c>
      <c r="E97" s="10" t="s">
        <v>1728</v>
      </c>
      <c r="F97" s="10" t="s">
        <v>2905</v>
      </c>
      <c r="G97" s="10" t="s">
        <v>1121</v>
      </c>
      <c r="H97" s="10" t="s">
        <v>1122</v>
      </c>
      <c r="I97" s="10" t="s">
        <v>1180</v>
      </c>
      <c r="J97" s="10" t="s">
        <v>1205</v>
      </c>
      <c r="K97" s="10" t="s">
        <v>1125</v>
      </c>
      <c r="L97" s="10" t="s">
        <v>1126</v>
      </c>
      <c r="M97" s="11" t="s">
        <v>2975</v>
      </c>
    </row>
    <row r="98" spans="1:13" ht="62" customHeight="1">
      <c r="A98" s="8" t="s">
        <v>3013</v>
      </c>
      <c r="B98" s="8" t="s">
        <v>1780</v>
      </c>
      <c r="C98" s="8" t="s">
        <v>1781</v>
      </c>
      <c r="D98" s="8" t="s">
        <v>1131</v>
      </c>
      <c r="E98" s="8" t="s">
        <v>1782</v>
      </c>
      <c r="F98" s="8" t="s">
        <v>2905</v>
      </c>
      <c r="G98" s="8" t="s">
        <v>1121</v>
      </c>
      <c r="H98" s="8" t="s">
        <v>1122</v>
      </c>
      <c r="I98" s="8" t="s">
        <v>1141</v>
      </c>
      <c r="J98" s="8" t="s">
        <v>1783</v>
      </c>
      <c r="K98" s="8" t="s">
        <v>1125</v>
      </c>
      <c r="L98" s="8" t="s">
        <v>1126</v>
      </c>
      <c r="M98" s="9" t="s">
        <v>2975</v>
      </c>
    </row>
    <row r="99" spans="1:13" ht="62" customHeight="1">
      <c r="A99" s="10" t="s">
        <v>3014</v>
      </c>
      <c r="B99" s="10" t="s">
        <v>1785</v>
      </c>
      <c r="C99" s="10" t="s">
        <v>1786</v>
      </c>
      <c r="D99" s="10" t="s">
        <v>1131</v>
      </c>
      <c r="E99" s="10" t="s">
        <v>1428</v>
      </c>
      <c r="F99" s="10" t="s">
        <v>2905</v>
      </c>
      <c r="G99" s="10" t="s">
        <v>1121</v>
      </c>
      <c r="H99" s="10" t="s">
        <v>1122</v>
      </c>
      <c r="I99" s="10" t="s">
        <v>1141</v>
      </c>
      <c r="J99" s="10" t="s">
        <v>1429</v>
      </c>
      <c r="K99" s="10" t="s">
        <v>1125</v>
      </c>
      <c r="L99" s="10" t="s">
        <v>1126</v>
      </c>
      <c r="M99" s="11" t="s">
        <v>2975</v>
      </c>
    </row>
    <row r="100" spans="1:13" ht="62" customHeight="1">
      <c r="A100" s="8" t="s">
        <v>3015</v>
      </c>
      <c r="B100" s="8" t="s">
        <v>1792</v>
      </c>
      <c r="C100" s="8" t="s">
        <v>1793</v>
      </c>
      <c r="D100" s="8" t="s">
        <v>1131</v>
      </c>
      <c r="E100" s="8" t="s">
        <v>1276</v>
      </c>
      <c r="F100" s="8" t="s">
        <v>2905</v>
      </c>
      <c r="G100" s="8" t="s">
        <v>1121</v>
      </c>
      <c r="H100" s="8" t="s">
        <v>1134</v>
      </c>
      <c r="I100" s="8" t="s">
        <v>1141</v>
      </c>
      <c r="J100" s="8" t="s">
        <v>1794</v>
      </c>
      <c r="K100" s="8" t="s">
        <v>1125</v>
      </c>
      <c r="L100" s="8" t="s">
        <v>1161</v>
      </c>
      <c r="M100" s="9" t="s">
        <v>2975</v>
      </c>
    </row>
    <row r="101" spans="1:13" ht="62" customHeight="1">
      <c r="A101" s="10" t="s">
        <v>3016</v>
      </c>
      <c r="B101" s="10" t="s">
        <v>1808</v>
      </c>
      <c r="C101" s="10" t="s">
        <v>1809</v>
      </c>
      <c r="D101" s="10" t="s">
        <v>1131</v>
      </c>
      <c r="E101" s="10" t="s">
        <v>1810</v>
      </c>
      <c r="F101" s="10" t="s">
        <v>2905</v>
      </c>
      <c r="G101" s="10" t="s">
        <v>1121</v>
      </c>
      <c r="H101" s="10" t="s">
        <v>1122</v>
      </c>
      <c r="I101" s="10" t="s">
        <v>1141</v>
      </c>
      <c r="J101" s="10" t="s">
        <v>1811</v>
      </c>
      <c r="K101" s="10" t="s">
        <v>1812</v>
      </c>
      <c r="L101" s="10" t="s">
        <v>1126</v>
      </c>
      <c r="M101" s="11" t="s">
        <v>2975</v>
      </c>
    </row>
    <row r="102" spans="1:13" ht="62" customHeight="1">
      <c r="A102" s="8" t="s">
        <v>3017</v>
      </c>
      <c r="B102" s="8" t="s">
        <v>1814</v>
      </c>
      <c r="C102" s="8" t="s">
        <v>1815</v>
      </c>
      <c r="D102" s="8" t="s">
        <v>1131</v>
      </c>
      <c r="E102" s="8" t="s">
        <v>1119</v>
      </c>
      <c r="F102" s="8" t="s">
        <v>2905</v>
      </c>
      <c r="G102" s="8" t="s">
        <v>1121</v>
      </c>
      <c r="H102" s="8" t="s">
        <v>1122</v>
      </c>
      <c r="I102" s="8" t="s">
        <v>1123</v>
      </c>
      <c r="J102" s="8" t="s">
        <v>1124</v>
      </c>
      <c r="K102" s="8" t="s">
        <v>1125</v>
      </c>
      <c r="L102" s="8" t="s">
        <v>1126</v>
      </c>
      <c r="M102" s="9" t="s">
        <v>2910</v>
      </c>
    </row>
    <row r="103" spans="1:13" ht="62" customHeight="1">
      <c r="A103" s="10" t="s">
        <v>3018</v>
      </c>
      <c r="B103" s="10" t="s">
        <v>1825</v>
      </c>
      <c r="C103" s="10" t="s">
        <v>1826</v>
      </c>
      <c r="D103" s="10" t="s">
        <v>1131</v>
      </c>
      <c r="E103" s="10" t="s">
        <v>1827</v>
      </c>
      <c r="F103" s="10" t="s">
        <v>2905</v>
      </c>
      <c r="G103" s="10" t="s">
        <v>1133</v>
      </c>
      <c r="H103" s="10" t="s">
        <v>1134</v>
      </c>
      <c r="I103" s="10" t="s">
        <v>1141</v>
      </c>
      <c r="J103" s="10" t="s">
        <v>1802</v>
      </c>
      <c r="K103" s="10" t="s">
        <v>1125</v>
      </c>
      <c r="L103" s="12" t="s">
        <v>1136</v>
      </c>
      <c r="M103" s="11" t="s">
        <v>2975</v>
      </c>
    </row>
    <row r="104" spans="1:13" ht="62" customHeight="1">
      <c r="A104" s="8" t="s">
        <v>3019</v>
      </c>
      <c r="B104" s="8" t="s">
        <v>1829</v>
      </c>
      <c r="C104" s="8" t="s">
        <v>1830</v>
      </c>
      <c r="D104" s="8" t="s">
        <v>1131</v>
      </c>
      <c r="E104" s="8" t="s">
        <v>1119</v>
      </c>
      <c r="F104" s="8" t="s">
        <v>2905</v>
      </c>
      <c r="G104" s="8" t="s">
        <v>1133</v>
      </c>
      <c r="H104" s="8" t="s">
        <v>1134</v>
      </c>
      <c r="I104" s="8" t="s">
        <v>1123</v>
      </c>
      <c r="J104" s="8" t="s">
        <v>1124</v>
      </c>
      <c r="K104" s="8" t="s">
        <v>1125</v>
      </c>
      <c r="L104" s="12" t="s">
        <v>1136</v>
      </c>
      <c r="M104" s="9" t="s">
        <v>2975</v>
      </c>
    </row>
    <row r="105" spans="1:13" ht="62" customHeight="1">
      <c r="A105" s="10" t="s">
        <v>3020</v>
      </c>
      <c r="B105" s="10" t="s">
        <v>1832</v>
      </c>
      <c r="C105" s="10" t="s">
        <v>1833</v>
      </c>
      <c r="D105" s="10" t="s">
        <v>1131</v>
      </c>
      <c r="E105" s="10" t="s">
        <v>1316</v>
      </c>
      <c r="F105" s="10" t="s">
        <v>2905</v>
      </c>
      <c r="G105" s="10" t="s">
        <v>1121</v>
      </c>
      <c r="H105" s="10" t="s">
        <v>1122</v>
      </c>
      <c r="I105" s="10" t="s">
        <v>1141</v>
      </c>
      <c r="J105" s="10" t="s">
        <v>1429</v>
      </c>
      <c r="K105" s="10" t="s">
        <v>1125</v>
      </c>
      <c r="L105" s="10" t="s">
        <v>1126</v>
      </c>
      <c r="M105" s="11" t="s">
        <v>2975</v>
      </c>
    </row>
    <row r="106" spans="1:13" ht="62" customHeight="1">
      <c r="A106" s="8" t="s">
        <v>3021</v>
      </c>
      <c r="B106" s="8" t="s">
        <v>1842</v>
      </c>
      <c r="C106" s="8" t="s">
        <v>1843</v>
      </c>
      <c r="D106" s="8" t="s">
        <v>1131</v>
      </c>
      <c r="E106" s="8" t="s">
        <v>1844</v>
      </c>
      <c r="F106" s="8" t="s">
        <v>2905</v>
      </c>
      <c r="G106" s="8" t="s">
        <v>1121</v>
      </c>
      <c r="H106" s="8" t="s">
        <v>1134</v>
      </c>
      <c r="I106" s="8" t="s">
        <v>1141</v>
      </c>
      <c r="J106" s="8" t="s">
        <v>1845</v>
      </c>
      <c r="K106" s="8" t="s">
        <v>1125</v>
      </c>
      <c r="L106" s="8" t="s">
        <v>1161</v>
      </c>
      <c r="M106" s="9" t="s">
        <v>2915</v>
      </c>
    </row>
    <row r="107" spans="1:13" ht="62" customHeight="1">
      <c r="A107" s="10" t="s">
        <v>3022</v>
      </c>
      <c r="B107" s="10" t="s">
        <v>1851</v>
      </c>
      <c r="C107" s="10" t="s">
        <v>1852</v>
      </c>
      <c r="D107" s="10" t="s">
        <v>1131</v>
      </c>
      <c r="E107" s="10" t="s">
        <v>1748</v>
      </c>
      <c r="F107" s="10" t="s">
        <v>2905</v>
      </c>
      <c r="G107" s="10" t="s">
        <v>1121</v>
      </c>
      <c r="H107" s="10" t="s">
        <v>1122</v>
      </c>
      <c r="I107" s="10" t="s">
        <v>1141</v>
      </c>
      <c r="J107" s="10" t="s">
        <v>1853</v>
      </c>
      <c r="K107" s="10" t="s">
        <v>1125</v>
      </c>
      <c r="L107" s="10" t="s">
        <v>1126</v>
      </c>
      <c r="M107" s="11" t="s">
        <v>2975</v>
      </c>
    </row>
    <row r="108" spans="1:13" ht="62" customHeight="1">
      <c r="A108" s="8" t="s">
        <v>3023</v>
      </c>
      <c r="B108" s="8" t="s">
        <v>1855</v>
      </c>
      <c r="C108" s="8" t="s">
        <v>1856</v>
      </c>
      <c r="D108" s="8" t="s">
        <v>1131</v>
      </c>
      <c r="E108" s="8" t="s">
        <v>1242</v>
      </c>
      <c r="F108" s="8" t="s">
        <v>2905</v>
      </c>
      <c r="G108" s="8" t="s">
        <v>1121</v>
      </c>
      <c r="H108" s="8" t="s">
        <v>1122</v>
      </c>
      <c r="I108" s="8" t="s">
        <v>1123</v>
      </c>
      <c r="J108" s="8" t="s">
        <v>1124</v>
      </c>
      <c r="K108" s="8" t="s">
        <v>1125</v>
      </c>
      <c r="L108" s="8" t="s">
        <v>1126</v>
      </c>
      <c r="M108" s="9" t="s">
        <v>3024</v>
      </c>
    </row>
    <row r="109" spans="1:13" ht="62" customHeight="1">
      <c r="A109" s="10" t="s">
        <v>3025</v>
      </c>
      <c r="B109" s="10" t="s">
        <v>1862</v>
      </c>
      <c r="C109" s="10" t="s">
        <v>1863</v>
      </c>
      <c r="D109" s="10" t="s">
        <v>1131</v>
      </c>
      <c r="E109" s="10" t="s">
        <v>1864</v>
      </c>
      <c r="F109" s="10" t="s">
        <v>2905</v>
      </c>
      <c r="G109" s="10" t="s">
        <v>1121</v>
      </c>
      <c r="H109" s="10" t="s">
        <v>1122</v>
      </c>
      <c r="I109" s="10" t="s">
        <v>1180</v>
      </c>
      <c r="J109" s="10" t="s">
        <v>1865</v>
      </c>
      <c r="K109" s="10" t="s">
        <v>1125</v>
      </c>
      <c r="L109" s="10" t="s">
        <v>1126</v>
      </c>
      <c r="M109" s="11" t="s">
        <v>2975</v>
      </c>
    </row>
    <row r="110" spans="1:13" ht="62" customHeight="1">
      <c r="A110" s="8" t="s">
        <v>3026</v>
      </c>
      <c r="B110" s="8" t="s">
        <v>1867</v>
      </c>
      <c r="C110" s="8" t="s">
        <v>1868</v>
      </c>
      <c r="D110" s="8" t="s">
        <v>1131</v>
      </c>
      <c r="E110" s="8" t="s">
        <v>1119</v>
      </c>
      <c r="F110" s="8" t="s">
        <v>2905</v>
      </c>
      <c r="G110" s="8" t="s">
        <v>1121</v>
      </c>
      <c r="H110" s="8" t="s">
        <v>1122</v>
      </c>
      <c r="I110" s="8" t="s">
        <v>1123</v>
      </c>
      <c r="J110" s="8" t="s">
        <v>1124</v>
      </c>
      <c r="K110" s="8" t="s">
        <v>1125</v>
      </c>
      <c r="L110" s="8" t="s">
        <v>1126</v>
      </c>
      <c r="M110" s="9" t="s">
        <v>2989</v>
      </c>
    </row>
    <row r="111" spans="1:13" ht="62" customHeight="1">
      <c r="A111" s="10" t="s">
        <v>3027</v>
      </c>
      <c r="B111" s="10" t="s">
        <v>1870</v>
      </c>
      <c r="C111" s="10" t="s">
        <v>1871</v>
      </c>
      <c r="D111" s="10" t="s">
        <v>1131</v>
      </c>
      <c r="E111" s="10" t="s">
        <v>1242</v>
      </c>
      <c r="F111" s="10" t="s">
        <v>2905</v>
      </c>
      <c r="G111" s="10" t="s">
        <v>1121</v>
      </c>
      <c r="H111" s="10" t="s">
        <v>1122</v>
      </c>
      <c r="I111" s="10" t="s">
        <v>1123</v>
      </c>
      <c r="J111" s="10" t="s">
        <v>1872</v>
      </c>
      <c r="K111" s="10" t="s">
        <v>1125</v>
      </c>
      <c r="L111" s="10" t="s">
        <v>1126</v>
      </c>
      <c r="M111" s="11" t="s">
        <v>2989</v>
      </c>
    </row>
    <row r="112" spans="1:13" ht="62" customHeight="1">
      <c r="A112" s="8" t="s">
        <v>3028</v>
      </c>
      <c r="B112" s="8" t="s">
        <v>1874</v>
      </c>
      <c r="C112" s="8" t="s">
        <v>1875</v>
      </c>
      <c r="D112" s="8" t="s">
        <v>1131</v>
      </c>
      <c r="E112" s="8" t="s">
        <v>1526</v>
      </c>
      <c r="F112" s="8" t="s">
        <v>2905</v>
      </c>
      <c r="G112" s="8" t="s">
        <v>1121</v>
      </c>
      <c r="H112" s="8" t="s">
        <v>1122</v>
      </c>
      <c r="I112" s="8" t="s">
        <v>1141</v>
      </c>
      <c r="J112" s="8" t="s">
        <v>1188</v>
      </c>
      <c r="K112" s="8" t="s">
        <v>1125</v>
      </c>
      <c r="L112" s="8" t="s">
        <v>1126</v>
      </c>
      <c r="M112" s="9" t="s">
        <v>2975</v>
      </c>
    </row>
    <row r="113" spans="1:13" ht="62" customHeight="1">
      <c r="A113" s="10" t="s">
        <v>3029</v>
      </c>
      <c r="B113" s="10" t="s">
        <v>1877</v>
      </c>
      <c r="C113" s="10" t="s">
        <v>1878</v>
      </c>
      <c r="D113" s="10" t="s">
        <v>1131</v>
      </c>
      <c r="E113" s="10" t="s">
        <v>1588</v>
      </c>
      <c r="F113" s="10" t="s">
        <v>2905</v>
      </c>
      <c r="G113" s="10" t="s">
        <v>1121</v>
      </c>
      <c r="H113" s="10" t="s">
        <v>1122</v>
      </c>
      <c r="I113" s="10" t="s">
        <v>1141</v>
      </c>
      <c r="J113" s="10" t="s">
        <v>1188</v>
      </c>
      <c r="K113" s="10" t="s">
        <v>1125</v>
      </c>
      <c r="L113" s="10" t="s">
        <v>1126</v>
      </c>
      <c r="M113" s="11" t="s">
        <v>2975</v>
      </c>
    </row>
    <row r="114" spans="1:13" ht="62" customHeight="1">
      <c r="A114" s="8" t="s">
        <v>3030</v>
      </c>
      <c r="B114" s="8" t="s">
        <v>1880</v>
      </c>
      <c r="C114" s="8" t="s">
        <v>1881</v>
      </c>
      <c r="D114" s="8" t="s">
        <v>1131</v>
      </c>
      <c r="E114" s="8" t="s">
        <v>1119</v>
      </c>
      <c r="F114" s="8" t="s">
        <v>2905</v>
      </c>
      <c r="G114" s="8" t="s">
        <v>1121</v>
      </c>
      <c r="H114" s="8" t="s">
        <v>1122</v>
      </c>
      <c r="I114" s="8" t="s">
        <v>1123</v>
      </c>
      <c r="J114" s="8" t="s">
        <v>1124</v>
      </c>
      <c r="K114" s="8" t="s">
        <v>1125</v>
      </c>
      <c r="L114" s="8" t="s">
        <v>1126</v>
      </c>
      <c r="M114" s="9" t="s">
        <v>2975</v>
      </c>
    </row>
    <row r="115" spans="1:13" ht="62" customHeight="1">
      <c r="A115" s="10" t="s">
        <v>3031</v>
      </c>
      <c r="B115" s="10" t="s">
        <v>1883</v>
      </c>
      <c r="C115" s="10" t="s">
        <v>1884</v>
      </c>
      <c r="D115" s="10" t="s">
        <v>1131</v>
      </c>
      <c r="E115" s="10" t="s">
        <v>1119</v>
      </c>
      <c r="F115" s="10" t="s">
        <v>2905</v>
      </c>
      <c r="G115" s="10" t="s">
        <v>1121</v>
      </c>
      <c r="H115" s="10" t="s">
        <v>1122</v>
      </c>
      <c r="I115" s="10" t="s">
        <v>1123</v>
      </c>
      <c r="J115" s="10" t="s">
        <v>1124</v>
      </c>
      <c r="K115" s="10" t="s">
        <v>1125</v>
      </c>
      <c r="L115" s="10" t="s">
        <v>1126</v>
      </c>
      <c r="M115" s="11" t="s">
        <v>2975</v>
      </c>
    </row>
    <row r="116" spans="1:13" ht="62" customHeight="1">
      <c r="A116" s="8" t="s">
        <v>3032</v>
      </c>
      <c r="B116" s="8" t="s">
        <v>1901</v>
      </c>
      <c r="C116" s="8" t="s">
        <v>1902</v>
      </c>
      <c r="D116" s="8" t="s">
        <v>1131</v>
      </c>
      <c r="E116" s="8" t="s">
        <v>1316</v>
      </c>
      <c r="F116" s="8" t="s">
        <v>2905</v>
      </c>
      <c r="G116" s="8" t="s">
        <v>1133</v>
      </c>
      <c r="H116" s="8" t="s">
        <v>1122</v>
      </c>
      <c r="I116" s="8" t="s">
        <v>1141</v>
      </c>
      <c r="J116" s="8" t="s">
        <v>1527</v>
      </c>
      <c r="K116" s="8" t="s">
        <v>1125</v>
      </c>
      <c r="L116" s="12" t="s">
        <v>1136</v>
      </c>
      <c r="M116" s="9" t="s">
        <v>2975</v>
      </c>
    </row>
    <row r="117" spans="1:13" ht="62" customHeight="1">
      <c r="A117" s="10" t="s">
        <v>3033</v>
      </c>
      <c r="B117" s="10" t="s">
        <v>1904</v>
      </c>
      <c r="C117" s="10" t="s">
        <v>1905</v>
      </c>
      <c r="D117" s="10" t="s">
        <v>1131</v>
      </c>
      <c r="E117" s="10" t="s">
        <v>1739</v>
      </c>
      <c r="F117" s="10" t="s">
        <v>2905</v>
      </c>
      <c r="G117" s="10" t="s">
        <v>1121</v>
      </c>
      <c r="H117" s="10" t="s">
        <v>1122</v>
      </c>
      <c r="I117" s="10" t="s">
        <v>1141</v>
      </c>
      <c r="J117" s="10" t="s">
        <v>1896</v>
      </c>
      <c r="K117" s="10" t="s">
        <v>1125</v>
      </c>
      <c r="L117" s="10" t="s">
        <v>1126</v>
      </c>
      <c r="M117" s="11" t="s">
        <v>2975</v>
      </c>
    </row>
    <row r="118" spans="1:13" ht="62" customHeight="1">
      <c r="A118" s="8" t="s">
        <v>3034</v>
      </c>
      <c r="B118" s="8" t="s">
        <v>1913</v>
      </c>
      <c r="C118" s="8" t="s">
        <v>1914</v>
      </c>
      <c r="D118" s="8" t="s">
        <v>1131</v>
      </c>
      <c r="E118" s="8" t="s">
        <v>1242</v>
      </c>
      <c r="F118" s="8" t="s">
        <v>2905</v>
      </c>
      <c r="G118" s="8" t="s">
        <v>1133</v>
      </c>
      <c r="H118" s="8" t="s">
        <v>1134</v>
      </c>
      <c r="I118" s="8" t="s">
        <v>1123</v>
      </c>
      <c r="J118" s="8" t="s">
        <v>1124</v>
      </c>
      <c r="K118" s="8" t="s">
        <v>1125</v>
      </c>
      <c r="L118" s="12" t="s">
        <v>1136</v>
      </c>
      <c r="M118" s="9" t="s">
        <v>2975</v>
      </c>
    </row>
    <row r="119" spans="1:13" ht="62" customHeight="1">
      <c r="A119" s="10" t="s">
        <v>3035</v>
      </c>
      <c r="B119" s="10" t="s">
        <v>1916</v>
      </c>
      <c r="C119" s="10" t="s">
        <v>1917</v>
      </c>
      <c r="D119" s="10" t="s">
        <v>1131</v>
      </c>
      <c r="E119" s="10" t="s">
        <v>1479</v>
      </c>
      <c r="F119" s="10" t="s">
        <v>2905</v>
      </c>
      <c r="G119" s="10" t="s">
        <v>1133</v>
      </c>
      <c r="H119" s="10" t="s">
        <v>1134</v>
      </c>
      <c r="I119" s="10" t="s">
        <v>1141</v>
      </c>
      <c r="J119" s="10" t="s">
        <v>1802</v>
      </c>
      <c r="K119" s="10" t="s">
        <v>1125</v>
      </c>
      <c r="L119" s="12" t="s">
        <v>1136</v>
      </c>
      <c r="M119" s="11" t="s">
        <v>2975</v>
      </c>
    </row>
    <row r="120" spans="1:13" ht="62" customHeight="1">
      <c r="A120" s="8" t="s">
        <v>3036</v>
      </c>
      <c r="B120" s="8" t="s">
        <v>613</v>
      </c>
      <c r="C120" s="8" t="s">
        <v>1919</v>
      </c>
      <c r="D120" s="8" t="s">
        <v>1131</v>
      </c>
      <c r="E120" s="8" t="s">
        <v>1920</v>
      </c>
      <c r="F120" s="8" t="s">
        <v>2905</v>
      </c>
      <c r="G120" s="8" t="s">
        <v>1121</v>
      </c>
      <c r="H120" s="8" t="s">
        <v>1122</v>
      </c>
      <c r="I120" s="8" t="s">
        <v>1141</v>
      </c>
      <c r="J120" s="8" t="s">
        <v>1465</v>
      </c>
      <c r="K120" s="8" t="s">
        <v>1243</v>
      </c>
      <c r="L120" s="8" t="s">
        <v>1126</v>
      </c>
      <c r="M120" s="9" t="s">
        <v>3037</v>
      </c>
    </row>
    <row r="121" spans="1:13" ht="62" customHeight="1">
      <c r="A121" s="10" t="s">
        <v>3038</v>
      </c>
      <c r="B121" s="10" t="s">
        <v>1922</v>
      </c>
      <c r="C121" s="10" t="s">
        <v>1923</v>
      </c>
      <c r="D121" s="10" t="s">
        <v>1924</v>
      </c>
      <c r="E121" s="10" t="s">
        <v>1925</v>
      </c>
      <c r="F121" s="10" t="s">
        <v>2905</v>
      </c>
      <c r="G121" s="10" t="s">
        <v>1121</v>
      </c>
      <c r="H121" s="10" t="s">
        <v>1122</v>
      </c>
      <c r="I121" s="10" t="s">
        <v>1180</v>
      </c>
      <c r="J121" s="10" t="s">
        <v>1926</v>
      </c>
      <c r="K121" s="10" t="s">
        <v>1243</v>
      </c>
      <c r="L121" s="10" t="s">
        <v>1126</v>
      </c>
      <c r="M121" s="11" t="s">
        <v>2906</v>
      </c>
    </row>
    <row r="122" spans="1:13" ht="62" customHeight="1">
      <c r="A122" s="8" t="s">
        <v>3039</v>
      </c>
      <c r="B122" s="8" t="s">
        <v>1928</v>
      </c>
      <c r="C122" s="8" t="s">
        <v>1929</v>
      </c>
      <c r="D122" s="8" t="s">
        <v>1131</v>
      </c>
      <c r="E122" s="8" t="s">
        <v>1930</v>
      </c>
      <c r="F122" s="8" t="s">
        <v>2905</v>
      </c>
      <c r="G122" s="8" t="s">
        <v>1121</v>
      </c>
      <c r="H122" s="8" t="s">
        <v>1122</v>
      </c>
      <c r="I122" s="8" t="s">
        <v>1141</v>
      </c>
      <c r="J122" s="8" t="s">
        <v>1931</v>
      </c>
      <c r="K122" s="8" t="s">
        <v>1243</v>
      </c>
      <c r="L122" s="8" t="s">
        <v>1126</v>
      </c>
      <c r="M122" s="9" t="s">
        <v>2915</v>
      </c>
    </row>
    <row r="123" spans="1:13" ht="62" customHeight="1">
      <c r="A123" s="10" t="s">
        <v>3040</v>
      </c>
      <c r="B123" s="10" t="s">
        <v>1933</v>
      </c>
      <c r="C123" s="10" t="s">
        <v>1934</v>
      </c>
      <c r="D123" s="10" t="s">
        <v>1131</v>
      </c>
      <c r="E123" s="10" t="s">
        <v>1119</v>
      </c>
      <c r="F123" s="10" t="s">
        <v>2905</v>
      </c>
      <c r="G123" s="10" t="s">
        <v>1121</v>
      </c>
      <c r="H123" s="10" t="s">
        <v>1122</v>
      </c>
      <c r="I123" s="10" t="s">
        <v>1123</v>
      </c>
      <c r="J123" s="10" t="s">
        <v>1124</v>
      </c>
      <c r="K123" s="10" t="s">
        <v>1243</v>
      </c>
      <c r="L123" s="10" t="s">
        <v>1126</v>
      </c>
      <c r="M123" s="11" t="s">
        <v>2906</v>
      </c>
    </row>
    <row r="124" spans="1:13" ht="62" customHeight="1">
      <c r="A124" s="8" t="s">
        <v>3041</v>
      </c>
      <c r="B124" s="8" t="s">
        <v>1936</v>
      </c>
      <c r="C124" s="8" t="s">
        <v>1937</v>
      </c>
      <c r="D124" s="8" t="s">
        <v>1938</v>
      </c>
      <c r="E124" s="8" t="s">
        <v>1371</v>
      </c>
      <c r="F124" s="8" t="s">
        <v>2905</v>
      </c>
      <c r="G124" s="8" t="s">
        <v>1121</v>
      </c>
      <c r="H124" s="8" t="s">
        <v>1122</v>
      </c>
      <c r="I124" s="8" t="s">
        <v>1141</v>
      </c>
      <c r="J124" s="8" t="s">
        <v>1939</v>
      </c>
      <c r="K124" s="8" t="s">
        <v>1125</v>
      </c>
      <c r="L124" s="8" t="s">
        <v>1126</v>
      </c>
      <c r="M124" s="9" t="s">
        <v>2915</v>
      </c>
    </row>
    <row r="125" spans="1:13" ht="62" customHeight="1">
      <c r="A125" s="10" t="s">
        <v>3042</v>
      </c>
      <c r="B125" s="10" t="s">
        <v>1941</v>
      </c>
      <c r="C125" s="10" t="s">
        <v>1942</v>
      </c>
      <c r="D125" s="10" t="s">
        <v>1131</v>
      </c>
      <c r="E125" s="10" t="s">
        <v>1464</v>
      </c>
      <c r="F125" s="10" t="s">
        <v>2905</v>
      </c>
      <c r="G125" s="10" t="s">
        <v>1121</v>
      </c>
      <c r="H125" s="10" t="s">
        <v>1122</v>
      </c>
      <c r="I125" s="10" t="s">
        <v>1141</v>
      </c>
      <c r="J125" s="10" t="s">
        <v>1943</v>
      </c>
      <c r="K125" s="10" t="s">
        <v>1125</v>
      </c>
      <c r="L125" s="10" t="s">
        <v>1126</v>
      </c>
      <c r="M125" s="11" t="s">
        <v>2906</v>
      </c>
    </row>
    <row r="126" spans="1:13" ht="62" customHeight="1">
      <c r="A126" s="8" t="s">
        <v>3043</v>
      </c>
      <c r="B126" s="8" t="s">
        <v>1945</v>
      </c>
      <c r="C126" s="8" t="s">
        <v>1946</v>
      </c>
      <c r="D126" s="8" t="s">
        <v>1131</v>
      </c>
      <c r="E126" s="8" t="s">
        <v>1548</v>
      </c>
      <c r="F126" s="8" t="s">
        <v>2905</v>
      </c>
      <c r="G126" s="8" t="s">
        <v>1121</v>
      </c>
      <c r="H126" s="8" t="s">
        <v>1122</v>
      </c>
      <c r="I126" s="8" t="s">
        <v>1141</v>
      </c>
      <c r="J126" s="8" t="s">
        <v>1947</v>
      </c>
      <c r="K126" s="8" t="s">
        <v>1125</v>
      </c>
      <c r="L126" s="8" t="s">
        <v>1126</v>
      </c>
      <c r="M126" s="9" t="s">
        <v>2906</v>
      </c>
    </row>
    <row r="127" spans="1:13" ht="62" customHeight="1">
      <c r="A127" s="10" t="s">
        <v>3044</v>
      </c>
      <c r="B127" s="10" t="s">
        <v>1949</v>
      </c>
      <c r="C127" s="10" t="s">
        <v>1950</v>
      </c>
      <c r="D127" s="10" t="s">
        <v>1131</v>
      </c>
      <c r="E127" s="10" t="s">
        <v>1459</v>
      </c>
      <c r="F127" s="10" t="s">
        <v>2905</v>
      </c>
      <c r="G127" s="10" t="s">
        <v>1121</v>
      </c>
      <c r="H127" s="10" t="s">
        <v>1122</v>
      </c>
      <c r="I127" s="10" t="s">
        <v>1141</v>
      </c>
      <c r="J127" s="10" t="s">
        <v>1853</v>
      </c>
      <c r="K127" s="10" t="s">
        <v>1125</v>
      </c>
      <c r="L127" s="10" t="s">
        <v>1126</v>
      </c>
      <c r="M127" s="11" t="s">
        <v>2906</v>
      </c>
    </row>
    <row r="128" spans="1:13" ht="62" customHeight="1">
      <c r="A128" s="8" t="s">
        <v>3045</v>
      </c>
      <c r="B128" s="8" t="s">
        <v>1956</v>
      </c>
      <c r="C128" s="8" t="s">
        <v>1957</v>
      </c>
      <c r="D128" s="8" t="s">
        <v>1285</v>
      </c>
      <c r="E128" s="8" t="s">
        <v>1119</v>
      </c>
      <c r="F128" s="8" t="s">
        <v>2905</v>
      </c>
      <c r="G128" s="8" t="s">
        <v>1121</v>
      </c>
      <c r="H128" s="8" t="s">
        <v>1122</v>
      </c>
      <c r="I128" s="8" t="s">
        <v>1123</v>
      </c>
      <c r="J128" s="8" t="s">
        <v>1124</v>
      </c>
      <c r="K128" s="8" t="s">
        <v>1125</v>
      </c>
      <c r="L128" s="8" t="s">
        <v>1126</v>
      </c>
      <c r="M128" s="9" t="s">
        <v>2943</v>
      </c>
    </row>
    <row r="129" spans="1:13" ht="62" customHeight="1">
      <c r="A129" s="10" t="s">
        <v>3046</v>
      </c>
      <c r="B129" s="10" t="s">
        <v>622</v>
      </c>
      <c r="C129" s="10" t="s">
        <v>1959</v>
      </c>
      <c r="D129" s="10" t="s">
        <v>1131</v>
      </c>
      <c r="E129" s="10" t="s">
        <v>1960</v>
      </c>
      <c r="F129" s="10" t="s">
        <v>2905</v>
      </c>
      <c r="G129" s="10" t="s">
        <v>1121</v>
      </c>
      <c r="H129" s="10" t="s">
        <v>1122</v>
      </c>
      <c r="I129" s="10" t="s">
        <v>1141</v>
      </c>
      <c r="J129" s="10" t="s">
        <v>1465</v>
      </c>
      <c r="K129" s="10" t="s">
        <v>1243</v>
      </c>
      <c r="L129" s="10" t="s">
        <v>1126</v>
      </c>
      <c r="M129" s="11" t="s">
        <v>2943</v>
      </c>
    </row>
    <row r="130" spans="1:13" ht="62" customHeight="1">
      <c r="A130" s="8" t="s">
        <v>3047</v>
      </c>
      <c r="B130" s="8" t="s">
        <v>1962</v>
      </c>
      <c r="C130" s="8" t="s">
        <v>1963</v>
      </c>
      <c r="D130" s="8" t="s">
        <v>1964</v>
      </c>
      <c r="E130" s="8" t="s">
        <v>1132</v>
      </c>
      <c r="F130" s="8" t="s">
        <v>2905</v>
      </c>
      <c r="G130" s="8" t="s">
        <v>1133</v>
      </c>
      <c r="H130" s="8" t="s">
        <v>1134</v>
      </c>
      <c r="I130" s="8" t="s">
        <v>1180</v>
      </c>
      <c r="J130" s="8" t="s">
        <v>1205</v>
      </c>
      <c r="K130" s="8" t="s">
        <v>1135</v>
      </c>
      <c r="L130" s="12" t="s">
        <v>1136</v>
      </c>
      <c r="M130" s="9" t="s">
        <v>2910</v>
      </c>
    </row>
    <row r="131" spans="1:13" ht="62" customHeight="1">
      <c r="A131" s="10" t="s">
        <v>3048</v>
      </c>
      <c r="B131" s="10" t="s">
        <v>1966</v>
      </c>
      <c r="C131" s="10" t="s">
        <v>1967</v>
      </c>
      <c r="D131" s="10" t="s">
        <v>1131</v>
      </c>
      <c r="E131" s="10" t="s">
        <v>1119</v>
      </c>
      <c r="F131" s="10" t="s">
        <v>2905</v>
      </c>
      <c r="G131" s="10" t="s">
        <v>1121</v>
      </c>
      <c r="H131" s="10" t="s">
        <v>1122</v>
      </c>
      <c r="I131" s="10" t="s">
        <v>1123</v>
      </c>
      <c r="J131" s="10" t="s">
        <v>1124</v>
      </c>
      <c r="K131" s="10" t="s">
        <v>1125</v>
      </c>
      <c r="L131" s="10" t="s">
        <v>1126</v>
      </c>
      <c r="M131" s="11" t="s">
        <v>2910</v>
      </c>
    </row>
    <row r="132" spans="1:13" ht="62" customHeight="1">
      <c r="A132" s="8" t="s">
        <v>3049</v>
      </c>
      <c r="B132" s="8" t="s">
        <v>1969</v>
      </c>
      <c r="C132" s="8" t="s">
        <v>1970</v>
      </c>
      <c r="D132" s="8" t="s">
        <v>1971</v>
      </c>
      <c r="E132" s="8" t="s">
        <v>1132</v>
      </c>
      <c r="F132" s="8" t="s">
        <v>2905</v>
      </c>
      <c r="G132" s="8" t="s">
        <v>1133</v>
      </c>
      <c r="H132" s="8" t="s">
        <v>1134</v>
      </c>
      <c r="I132" s="8" t="s">
        <v>1180</v>
      </c>
      <c r="J132" s="8" t="s">
        <v>1205</v>
      </c>
      <c r="K132" s="8" t="s">
        <v>1135</v>
      </c>
      <c r="L132" s="12" t="s">
        <v>1136</v>
      </c>
      <c r="M132" s="9" t="s">
        <v>2910</v>
      </c>
    </row>
    <row r="133" spans="1:13" ht="62" customHeight="1">
      <c r="A133" s="10" t="s">
        <v>3050</v>
      </c>
      <c r="B133" s="10" t="s">
        <v>1973</v>
      </c>
      <c r="C133" s="10" t="s">
        <v>1974</v>
      </c>
      <c r="D133" s="10" t="s">
        <v>1131</v>
      </c>
      <c r="E133" s="10" t="s">
        <v>1975</v>
      </c>
      <c r="F133" s="10" t="s">
        <v>2905</v>
      </c>
      <c r="G133" s="10" t="s">
        <v>1121</v>
      </c>
      <c r="H133" s="10" t="s">
        <v>1122</v>
      </c>
      <c r="I133" s="10" t="s">
        <v>1301</v>
      </c>
      <c r="J133" s="10" t="s">
        <v>1976</v>
      </c>
      <c r="K133" s="10" t="s">
        <v>1125</v>
      </c>
      <c r="L133" s="10" t="s">
        <v>1126</v>
      </c>
      <c r="M133" s="11" t="s">
        <v>2910</v>
      </c>
    </row>
    <row r="134" spans="1:13" ht="62" customHeight="1">
      <c r="A134" s="8" t="s">
        <v>3051</v>
      </c>
      <c r="B134" s="8" t="s">
        <v>1978</v>
      </c>
      <c r="C134" s="8" t="s">
        <v>1979</v>
      </c>
      <c r="D134" s="8" t="s">
        <v>1131</v>
      </c>
      <c r="E134" s="8" t="s">
        <v>1609</v>
      </c>
      <c r="F134" s="8" t="s">
        <v>2905</v>
      </c>
      <c r="G134" s="8" t="s">
        <v>1121</v>
      </c>
      <c r="H134" s="8" t="s">
        <v>1122</v>
      </c>
      <c r="I134" s="8" t="s">
        <v>1141</v>
      </c>
      <c r="J134" s="8" t="s">
        <v>1980</v>
      </c>
      <c r="K134" s="8" t="s">
        <v>1125</v>
      </c>
      <c r="L134" s="8" t="s">
        <v>1126</v>
      </c>
      <c r="M134" s="9" t="s">
        <v>2910</v>
      </c>
    </row>
    <row r="135" spans="1:13" ht="62" customHeight="1">
      <c r="A135" s="10" t="s">
        <v>3052</v>
      </c>
      <c r="B135" s="10" t="s">
        <v>1982</v>
      </c>
      <c r="C135" s="10" t="s">
        <v>1983</v>
      </c>
      <c r="D135" s="10" t="s">
        <v>1984</v>
      </c>
      <c r="E135" s="10" t="s">
        <v>1985</v>
      </c>
      <c r="F135" s="10" t="s">
        <v>2905</v>
      </c>
      <c r="G135" s="10" t="s">
        <v>1121</v>
      </c>
      <c r="H135" s="10" t="s">
        <v>1122</v>
      </c>
      <c r="I135" s="10" t="s">
        <v>1180</v>
      </c>
      <c r="J135" s="10" t="s">
        <v>1986</v>
      </c>
      <c r="K135" s="10" t="s">
        <v>1125</v>
      </c>
      <c r="L135" s="10" t="s">
        <v>1126</v>
      </c>
      <c r="M135" s="11" t="s">
        <v>2910</v>
      </c>
    </row>
    <row r="136" spans="1:13" ht="62" customHeight="1">
      <c r="A136" s="8" t="s">
        <v>3053</v>
      </c>
      <c r="B136" s="8" t="s">
        <v>1988</v>
      </c>
      <c r="C136" s="8" t="s">
        <v>1989</v>
      </c>
      <c r="D136" s="8" t="s">
        <v>1131</v>
      </c>
      <c r="E136" s="8" t="s">
        <v>1119</v>
      </c>
      <c r="F136" s="8" t="s">
        <v>2905</v>
      </c>
      <c r="G136" s="8" t="s">
        <v>1121</v>
      </c>
      <c r="H136" s="8" t="s">
        <v>1122</v>
      </c>
      <c r="I136" s="8" t="s">
        <v>1123</v>
      </c>
      <c r="J136" s="8" t="s">
        <v>1124</v>
      </c>
      <c r="K136" s="8" t="s">
        <v>1125</v>
      </c>
      <c r="L136" s="8" t="s">
        <v>1126</v>
      </c>
      <c r="M136" s="9" t="s">
        <v>2943</v>
      </c>
    </row>
    <row r="137" spans="1:13" ht="62" customHeight="1">
      <c r="A137" s="10" t="s">
        <v>3054</v>
      </c>
      <c r="B137" s="10" t="s">
        <v>1991</v>
      </c>
      <c r="C137" s="10" t="s">
        <v>1992</v>
      </c>
      <c r="D137" s="10" t="s">
        <v>1285</v>
      </c>
      <c r="E137" s="10" t="s">
        <v>1242</v>
      </c>
      <c r="F137" s="10" t="s">
        <v>2905</v>
      </c>
      <c r="G137" s="10" t="s">
        <v>1133</v>
      </c>
      <c r="H137" s="10" t="s">
        <v>1134</v>
      </c>
      <c r="I137" s="10" t="s">
        <v>1123</v>
      </c>
      <c r="J137" s="10" t="s">
        <v>1124</v>
      </c>
      <c r="K137" s="10" t="s">
        <v>1125</v>
      </c>
      <c r="L137" s="12" t="s">
        <v>1136</v>
      </c>
      <c r="M137" s="11" t="s">
        <v>2910</v>
      </c>
    </row>
    <row r="138" spans="1:13" ht="62" customHeight="1">
      <c r="A138" s="8" t="s">
        <v>3055</v>
      </c>
      <c r="B138" s="8" t="s">
        <v>1994</v>
      </c>
      <c r="C138" s="8" t="s">
        <v>1995</v>
      </c>
      <c r="D138" s="8" t="s">
        <v>1131</v>
      </c>
      <c r="E138" s="8" t="s">
        <v>1119</v>
      </c>
      <c r="F138" s="8" t="s">
        <v>2905</v>
      </c>
      <c r="G138" s="8" t="s">
        <v>1121</v>
      </c>
      <c r="H138" s="8" t="s">
        <v>1122</v>
      </c>
      <c r="I138" s="8" t="s">
        <v>1123</v>
      </c>
      <c r="J138" s="8" t="s">
        <v>1124</v>
      </c>
      <c r="K138" s="8" t="s">
        <v>1125</v>
      </c>
      <c r="L138" s="8" t="s">
        <v>1126</v>
      </c>
      <c r="M138" s="9" t="s">
        <v>2943</v>
      </c>
    </row>
    <row r="139" spans="1:13" ht="62" customHeight="1">
      <c r="A139" s="10" t="s">
        <v>3056</v>
      </c>
      <c r="B139" s="10" t="s">
        <v>1997</v>
      </c>
      <c r="C139" s="10" t="s">
        <v>1998</v>
      </c>
      <c r="D139" s="10" t="s">
        <v>1131</v>
      </c>
      <c r="E139" s="10" t="s">
        <v>1119</v>
      </c>
      <c r="F139" s="10" t="s">
        <v>2905</v>
      </c>
      <c r="G139" s="10" t="s">
        <v>1121</v>
      </c>
      <c r="H139" s="10" t="s">
        <v>1122</v>
      </c>
      <c r="I139" s="10" t="s">
        <v>1123</v>
      </c>
      <c r="J139" s="10" t="s">
        <v>1124</v>
      </c>
      <c r="K139" s="10" t="s">
        <v>1125</v>
      </c>
      <c r="L139" s="10" t="s">
        <v>1126</v>
      </c>
      <c r="M139" s="11" t="s">
        <v>2910</v>
      </c>
    </row>
    <row r="140" spans="1:13" ht="62" customHeight="1">
      <c r="A140" s="8" t="s">
        <v>3057</v>
      </c>
      <c r="B140" s="8" t="s">
        <v>2000</v>
      </c>
      <c r="C140" s="8" t="s">
        <v>2001</v>
      </c>
      <c r="D140" s="8" t="s">
        <v>1131</v>
      </c>
      <c r="E140" s="8" t="s">
        <v>1119</v>
      </c>
      <c r="F140" s="8" t="s">
        <v>2905</v>
      </c>
      <c r="G140" s="8" t="s">
        <v>1121</v>
      </c>
      <c r="H140" s="8" t="s">
        <v>1122</v>
      </c>
      <c r="I140" s="8" t="s">
        <v>1123</v>
      </c>
      <c r="J140" s="8" t="s">
        <v>1124</v>
      </c>
      <c r="K140" s="8" t="s">
        <v>1125</v>
      </c>
      <c r="L140" s="8" t="s">
        <v>1126</v>
      </c>
      <c r="M140" s="9" t="s">
        <v>2910</v>
      </c>
    </row>
    <row r="141" spans="1:13" ht="62" customHeight="1">
      <c r="A141" s="10" t="s">
        <v>3058</v>
      </c>
      <c r="B141" s="10" t="s">
        <v>2003</v>
      </c>
      <c r="C141" s="10" t="s">
        <v>2004</v>
      </c>
      <c r="D141" s="10" t="s">
        <v>1131</v>
      </c>
      <c r="E141" s="10" t="s">
        <v>1316</v>
      </c>
      <c r="F141" s="10" t="s">
        <v>2905</v>
      </c>
      <c r="G141" s="10" t="s">
        <v>1121</v>
      </c>
      <c r="H141" s="10" t="s">
        <v>1122</v>
      </c>
      <c r="I141" s="10" t="s">
        <v>1141</v>
      </c>
      <c r="J141" s="10" t="s">
        <v>1429</v>
      </c>
      <c r="K141" s="10" t="s">
        <v>1125</v>
      </c>
      <c r="L141" s="10" t="s">
        <v>1126</v>
      </c>
      <c r="M141" s="11" t="s">
        <v>2910</v>
      </c>
    </row>
    <row r="142" spans="1:13" ht="62" customHeight="1">
      <c r="A142" s="8" t="s">
        <v>3059</v>
      </c>
      <c r="B142" s="8" t="s">
        <v>2006</v>
      </c>
      <c r="C142" s="8" t="s">
        <v>2007</v>
      </c>
      <c r="D142" s="8" t="s">
        <v>1131</v>
      </c>
      <c r="E142" s="8" t="s">
        <v>1420</v>
      </c>
      <c r="F142" s="8" t="s">
        <v>2905</v>
      </c>
      <c r="G142" s="8" t="s">
        <v>1121</v>
      </c>
      <c r="H142" s="8" t="s">
        <v>1122</v>
      </c>
      <c r="I142" s="8" t="s">
        <v>2008</v>
      </c>
      <c r="J142" s="8" t="s">
        <v>1509</v>
      </c>
      <c r="K142" s="8" t="s">
        <v>1243</v>
      </c>
      <c r="L142" s="8" t="s">
        <v>1126</v>
      </c>
      <c r="M142" s="9" t="s">
        <v>2943</v>
      </c>
    </row>
    <row r="143" spans="1:13" ht="62" customHeight="1">
      <c r="A143" s="10" t="s">
        <v>3060</v>
      </c>
      <c r="B143" s="10" t="s">
        <v>2015</v>
      </c>
      <c r="C143" s="10" t="s">
        <v>2016</v>
      </c>
      <c r="D143" s="10" t="s">
        <v>1131</v>
      </c>
      <c r="E143" s="10" t="s">
        <v>1119</v>
      </c>
      <c r="F143" s="10" t="s">
        <v>2905</v>
      </c>
      <c r="G143" s="10" t="s">
        <v>1121</v>
      </c>
      <c r="H143" s="10" t="s">
        <v>1122</v>
      </c>
      <c r="I143" s="10" t="s">
        <v>1123</v>
      </c>
      <c r="J143" s="10" t="s">
        <v>1124</v>
      </c>
      <c r="K143" s="10" t="s">
        <v>1243</v>
      </c>
      <c r="L143" s="10" t="s">
        <v>1126</v>
      </c>
      <c r="M143" s="11" t="s">
        <v>2906</v>
      </c>
    </row>
    <row r="144" spans="1:13" ht="62" customHeight="1">
      <c r="A144" s="8" t="s">
        <v>3061</v>
      </c>
      <c r="B144" s="8" t="s">
        <v>2021</v>
      </c>
      <c r="C144" s="8" t="s">
        <v>2022</v>
      </c>
      <c r="D144" s="8" t="s">
        <v>1131</v>
      </c>
      <c r="E144" s="8" t="s">
        <v>2023</v>
      </c>
      <c r="F144" s="8" t="s">
        <v>2905</v>
      </c>
      <c r="G144" s="8" t="s">
        <v>1121</v>
      </c>
      <c r="H144" s="8" t="s">
        <v>1122</v>
      </c>
      <c r="I144" s="8" t="s">
        <v>1141</v>
      </c>
      <c r="J144" s="8" t="s">
        <v>2024</v>
      </c>
      <c r="K144" s="8" t="s">
        <v>1243</v>
      </c>
      <c r="L144" s="8" t="s">
        <v>1126</v>
      </c>
      <c r="M144" s="9" t="s">
        <v>3062</v>
      </c>
    </row>
    <row r="145" spans="1:13" ht="62" customHeight="1">
      <c r="A145" s="10" t="s">
        <v>3063</v>
      </c>
      <c r="B145" s="10" t="s">
        <v>2027</v>
      </c>
      <c r="C145" s="10" t="s">
        <v>2028</v>
      </c>
      <c r="D145" s="10" t="s">
        <v>1131</v>
      </c>
      <c r="E145" s="10" t="s">
        <v>2029</v>
      </c>
      <c r="F145" s="10" t="s">
        <v>2905</v>
      </c>
      <c r="G145" s="10" t="s">
        <v>1121</v>
      </c>
      <c r="H145" s="10" t="s">
        <v>1122</v>
      </c>
      <c r="I145" s="10" t="s">
        <v>1141</v>
      </c>
      <c r="J145" s="10" t="s">
        <v>1292</v>
      </c>
      <c r="K145" s="10" t="s">
        <v>1125</v>
      </c>
      <c r="L145" s="10" t="s">
        <v>1126</v>
      </c>
      <c r="M145" s="11" t="s">
        <v>2915</v>
      </c>
    </row>
    <row r="146" spans="1:13" ht="62" customHeight="1">
      <c r="A146" s="8" t="s">
        <v>3064</v>
      </c>
      <c r="B146" s="8" t="s">
        <v>2031</v>
      </c>
      <c r="C146" s="8" t="s">
        <v>2032</v>
      </c>
      <c r="D146" s="8" t="s">
        <v>2033</v>
      </c>
      <c r="E146" s="8" t="s">
        <v>2034</v>
      </c>
      <c r="F146" s="8" t="s">
        <v>2905</v>
      </c>
      <c r="G146" s="8" t="s">
        <v>1133</v>
      </c>
      <c r="H146" s="8" t="s">
        <v>1122</v>
      </c>
      <c r="I146" s="8" t="s">
        <v>1141</v>
      </c>
      <c r="J146" s="8" t="s">
        <v>2035</v>
      </c>
      <c r="K146" s="8" t="s">
        <v>1125</v>
      </c>
      <c r="L146" s="12" t="s">
        <v>1136</v>
      </c>
      <c r="M146" s="9" t="s">
        <v>2906</v>
      </c>
    </row>
    <row r="147" spans="1:13" ht="62" customHeight="1">
      <c r="A147" s="10" t="s">
        <v>3065</v>
      </c>
      <c r="B147" s="10" t="s">
        <v>2037</v>
      </c>
      <c r="C147" s="10" t="s">
        <v>2038</v>
      </c>
      <c r="D147" s="10" t="s">
        <v>1131</v>
      </c>
      <c r="E147" s="10" t="s">
        <v>2039</v>
      </c>
      <c r="F147" s="10" t="s">
        <v>2905</v>
      </c>
      <c r="G147" s="10" t="s">
        <v>1121</v>
      </c>
      <c r="H147" s="10" t="s">
        <v>1122</v>
      </c>
      <c r="I147" s="10" t="s">
        <v>1141</v>
      </c>
      <c r="J147" s="10" t="s">
        <v>1292</v>
      </c>
      <c r="K147" s="10" t="s">
        <v>1125</v>
      </c>
      <c r="L147" s="10" t="s">
        <v>1126</v>
      </c>
      <c r="M147" s="11" t="s">
        <v>2915</v>
      </c>
    </row>
    <row r="148" spans="1:13" ht="62" customHeight="1">
      <c r="A148" s="8" t="s">
        <v>3066</v>
      </c>
      <c r="B148" s="8" t="s">
        <v>2041</v>
      </c>
      <c r="C148" s="8" t="s">
        <v>2042</v>
      </c>
      <c r="D148" s="8" t="s">
        <v>1131</v>
      </c>
      <c r="E148" s="8" t="s">
        <v>1459</v>
      </c>
      <c r="F148" s="8" t="s">
        <v>2905</v>
      </c>
      <c r="G148" s="8" t="s">
        <v>1121</v>
      </c>
      <c r="H148" s="8" t="s">
        <v>1122</v>
      </c>
      <c r="I148" s="8" t="s">
        <v>1141</v>
      </c>
      <c r="J148" s="8" t="s">
        <v>2043</v>
      </c>
      <c r="K148" s="8" t="s">
        <v>1125</v>
      </c>
      <c r="L148" s="8" t="s">
        <v>1126</v>
      </c>
      <c r="M148" s="9" t="s">
        <v>2906</v>
      </c>
    </row>
    <row r="149" spans="1:13" ht="62" customHeight="1">
      <c r="A149" s="10" t="s">
        <v>3067</v>
      </c>
      <c r="B149" s="10" t="s">
        <v>557</v>
      </c>
      <c r="C149" s="10" t="s">
        <v>2045</v>
      </c>
      <c r="D149" s="10" t="s">
        <v>2046</v>
      </c>
      <c r="E149" s="10" t="s">
        <v>2047</v>
      </c>
      <c r="F149" s="10" t="s">
        <v>2905</v>
      </c>
      <c r="G149" s="10" t="s">
        <v>1121</v>
      </c>
      <c r="H149" s="10" t="s">
        <v>1122</v>
      </c>
      <c r="I149" s="10" t="s">
        <v>1141</v>
      </c>
      <c r="J149" s="10" t="s">
        <v>2048</v>
      </c>
      <c r="K149" s="10" t="s">
        <v>1125</v>
      </c>
      <c r="L149" s="10" t="s">
        <v>2049</v>
      </c>
      <c r="M149" s="11" t="s">
        <v>3068</v>
      </c>
    </row>
    <row r="150" spans="1:13" ht="62" customHeight="1">
      <c r="A150" s="8" t="s">
        <v>3069</v>
      </c>
      <c r="B150" s="8" t="s">
        <v>2052</v>
      </c>
      <c r="C150" s="8" t="s">
        <v>2053</v>
      </c>
      <c r="D150" s="8" t="s">
        <v>1131</v>
      </c>
      <c r="E150" s="8" t="s">
        <v>1526</v>
      </c>
      <c r="F150" s="8" t="s">
        <v>2905</v>
      </c>
      <c r="G150" s="8" t="s">
        <v>1121</v>
      </c>
      <c r="H150" s="8" t="s">
        <v>1122</v>
      </c>
      <c r="I150" s="8" t="s">
        <v>1141</v>
      </c>
      <c r="J150" s="8" t="s">
        <v>2054</v>
      </c>
      <c r="K150" s="8" t="s">
        <v>1243</v>
      </c>
      <c r="L150" s="8" t="s">
        <v>1126</v>
      </c>
      <c r="M150" s="9" t="s">
        <v>2906</v>
      </c>
    </row>
    <row r="151" spans="1:13" ht="62" customHeight="1">
      <c r="A151" s="10" t="s">
        <v>3070</v>
      </c>
      <c r="B151" s="10" t="s">
        <v>2056</v>
      </c>
      <c r="C151" s="10" t="s">
        <v>2057</v>
      </c>
      <c r="D151" s="10" t="s">
        <v>1131</v>
      </c>
      <c r="E151" s="10" t="s">
        <v>1548</v>
      </c>
      <c r="F151" s="10" t="s">
        <v>2905</v>
      </c>
      <c r="G151" s="10" t="s">
        <v>1121</v>
      </c>
      <c r="H151" s="10" t="s">
        <v>1134</v>
      </c>
      <c r="I151" s="10" t="s">
        <v>1141</v>
      </c>
      <c r="J151" s="10" t="s">
        <v>2058</v>
      </c>
      <c r="K151" s="10" t="s">
        <v>1125</v>
      </c>
      <c r="L151" s="10" t="s">
        <v>1161</v>
      </c>
      <c r="M151" s="11" t="s">
        <v>2906</v>
      </c>
    </row>
    <row r="152" spans="1:13" ht="62" customHeight="1">
      <c r="A152" s="8" t="s">
        <v>3071</v>
      </c>
      <c r="B152" s="8" t="s">
        <v>2060</v>
      </c>
      <c r="C152" s="8" t="s">
        <v>2061</v>
      </c>
      <c r="D152" s="8" t="s">
        <v>1131</v>
      </c>
      <c r="E152" s="8" t="s">
        <v>1548</v>
      </c>
      <c r="F152" s="8" t="s">
        <v>2905</v>
      </c>
      <c r="G152" s="8" t="s">
        <v>1121</v>
      </c>
      <c r="H152" s="8" t="s">
        <v>1122</v>
      </c>
      <c r="I152" s="8" t="s">
        <v>1141</v>
      </c>
      <c r="J152" s="8" t="s">
        <v>1437</v>
      </c>
      <c r="K152" s="8" t="s">
        <v>1243</v>
      </c>
      <c r="L152" s="8" t="s">
        <v>1126</v>
      </c>
      <c r="M152" s="9" t="s">
        <v>2906</v>
      </c>
    </row>
    <row r="153" spans="1:13" ht="62" customHeight="1">
      <c r="A153" s="10" t="s">
        <v>3072</v>
      </c>
      <c r="B153" s="10" t="s">
        <v>625</v>
      </c>
      <c r="C153" s="10" t="s">
        <v>2063</v>
      </c>
      <c r="D153" s="10" t="s">
        <v>1131</v>
      </c>
      <c r="E153" s="10" t="s">
        <v>1316</v>
      </c>
      <c r="F153" s="10" t="s">
        <v>2905</v>
      </c>
      <c r="G153" s="10" t="s">
        <v>1121</v>
      </c>
      <c r="H153" s="10" t="s">
        <v>1122</v>
      </c>
      <c r="I153" s="10" t="s">
        <v>1141</v>
      </c>
      <c r="J153" s="10" t="s">
        <v>1188</v>
      </c>
      <c r="K153" s="10" t="s">
        <v>1243</v>
      </c>
      <c r="L153" s="10" t="s">
        <v>1126</v>
      </c>
      <c r="M153" s="11" t="s">
        <v>2943</v>
      </c>
    </row>
    <row r="154" spans="1:13" ht="62" customHeight="1">
      <c r="A154" s="8" t="s">
        <v>3073</v>
      </c>
      <c r="B154" s="8" t="s">
        <v>2065</v>
      </c>
      <c r="C154" s="8" t="s">
        <v>2066</v>
      </c>
      <c r="D154" s="8" t="s">
        <v>1131</v>
      </c>
      <c r="E154" s="8" t="s">
        <v>2067</v>
      </c>
      <c r="F154" s="8" t="s">
        <v>2905</v>
      </c>
      <c r="G154" s="8" t="s">
        <v>1121</v>
      </c>
      <c r="H154" s="8" t="s">
        <v>1122</v>
      </c>
      <c r="I154" s="8" t="s">
        <v>1141</v>
      </c>
      <c r="J154" s="8" t="s">
        <v>2068</v>
      </c>
      <c r="K154" s="8" t="s">
        <v>1243</v>
      </c>
      <c r="L154" s="8" t="s">
        <v>1126</v>
      </c>
      <c r="M154" s="9" t="s">
        <v>2915</v>
      </c>
    </row>
    <row r="155" spans="1:13" ht="62" customHeight="1">
      <c r="A155" s="10" t="s">
        <v>3074</v>
      </c>
      <c r="B155" s="10" t="s">
        <v>2070</v>
      </c>
      <c r="C155" s="10" t="s">
        <v>2071</v>
      </c>
      <c r="D155" s="10" t="s">
        <v>1131</v>
      </c>
      <c r="E155" s="10" t="s">
        <v>1316</v>
      </c>
      <c r="F155" s="10" t="s">
        <v>2905</v>
      </c>
      <c r="G155" s="10" t="s">
        <v>1121</v>
      </c>
      <c r="H155" s="10" t="s">
        <v>1122</v>
      </c>
      <c r="I155" s="10" t="s">
        <v>1141</v>
      </c>
      <c r="J155" s="10" t="s">
        <v>2054</v>
      </c>
      <c r="K155" s="10" t="s">
        <v>1243</v>
      </c>
      <c r="L155" s="10" t="s">
        <v>1126</v>
      </c>
      <c r="M155" s="11" t="s">
        <v>2906</v>
      </c>
    </row>
    <row r="156" spans="1:13" ht="62" customHeight="1">
      <c r="A156" s="8" t="s">
        <v>3075</v>
      </c>
      <c r="B156" s="8" t="s">
        <v>2073</v>
      </c>
      <c r="C156" s="8" t="s">
        <v>2074</v>
      </c>
      <c r="D156" s="8" t="s">
        <v>1131</v>
      </c>
      <c r="E156" s="8" t="s">
        <v>2075</v>
      </c>
      <c r="F156" s="8" t="s">
        <v>2905</v>
      </c>
      <c r="G156" s="8" t="s">
        <v>1121</v>
      </c>
      <c r="H156" s="8" t="s">
        <v>1122</v>
      </c>
      <c r="I156" s="8" t="s">
        <v>1141</v>
      </c>
      <c r="J156" s="8" t="s">
        <v>2076</v>
      </c>
      <c r="K156" s="8" t="s">
        <v>1243</v>
      </c>
      <c r="L156" s="8" t="s">
        <v>1126</v>
      </c>
      <c r="M156" s="9" t="s">
        <v>2943</v>
      </c>
    </row>
    <row r="157" spans="1:13" ht="62" customHeight="1">
      <c r="A157" s="10" t="s">
        <v>3076</v>
      </c>
      <c r="B157" s="10" t="s">
        <v>2078</v>
      </c>
      <c r="C157" s="10" t="s">
        <v>2079</v>
      </c>
      <c r="D157" s="10" t="s">
        <v>1131</v>
      </c>
      <c r="E157" s="10" t="s">
        <v>2080</v>
      </c>
      <c r="F157" s="10" t="s">
        <v>2905</v>
      </c>
      <c r="G157" s="10" t="s">
        <v>1133</v>
      </c>
      <c r="H157" s="10" t="s">
        <v>1122</v>
      </c>
      <c r="I157" s="10" t="s">
        <v>1141</v>
      </c>
      <c r="J157" s="10" t="s">
        <v>2081</v>
      </c>
      <c r="K157" s="10" t="s">
        <v>1243</v>
      </c>
      <c r="L157" s="12" t="s">
        <v>1136</v>
      </c>
      <c r="M157" s="11" t="s">
        <v>2906</v>
      </c>
    </row>
    <row r="158" spans="1:13" ht="62" customHeight="1">
      <c r="A158" s="8" t="s">
        <v>3077</v>
      </c>
      <c r="B158" s="8" t="s">
        <v>2083</v>
      </c>
      <c r="C158" s="8" t="s">
        <v>2084</v>
      </c>
      <c r="D158" s="8" t="s">
        <v>1131</v>
      </c>
      <c r="E158" s="8" t="s">
        <v>2085</v>
      </c>
      <c r="F158" s="8" t="s">
        <v>2905</v>
      </c>
      <c r="G158" s="8" t="s">
        <v>1121</v>
      </c>
      <c r="H158" s="8" t="s">
        <v>1122</v>
      </c>
      <c r="I158" s="8" t="s">
        <v>1141</v>
      </c>
      <c r="J158" s="8" t="s">
        <v>2086</v>
      </c>
      <c r="K158" s="8" t="s">
        <v>1125</v>
      </c>
      <c r="L158" s="8" t="s">
        <v>1126</v>
      </c>
      <c r="M158" s="9" t="s">
        <v>2906</v>
      </c>
    </row>
    <row r="159" spans="1:13" ht="78" customHeight="1">
      <c r="A159" s="10" t="s">
        <v>3078</v>
      </c>
      <c r="B159" s="10" t="s">
        <v>2088</v>
      </c>
      <c r="C159" s="10" t="s">
        <v>2089</v>
      </c>
      <c r="D159" s="10" t="s">
        <v>1131</v>
      </c>
      <c r="E159" s="10" t="s">
        <v>2090</v>
      </c>
      <c r="F159" s="10" t="s">
        <v>2905</v>
      </c>
      <c r="G159" s="10" t="s">
        <v>1121</v>
      </c>
      <c r="H159" s="10" t="s">
        <v>1122</v>
      </c>
      <c r="I159" s="10" t="s">
        <v>1141</v>
      </c>
      <c r="J159" s="10" t="s">
        <v>2043</v>
      </c>
      <c r="K159" s="10" t="s">
        <v>1243</v>
      </c>
      <c r="L159" s="10" t="s">
        <v>1126</v>
      </c>
      <c r="M159" s="11" t="s">
        <v>2906</v>
      </c>
    </row>
    <row r="160" spans="1:13" ht="62" customHeight="1">
      <c r="A160" s="8" t="s">
        <v>3079</v>
      </c>
      <c r="B160" s="8" t="s">
        <v>2092</v>
      </c>
      <c r="C160" s="8" t="s">
        <v>2093</v>
      </c>
      <c r="D160" s="8" t="s">
        <v>1131</v>
      </c>
      <c r="E160" s="8" t="s">
        <v>1548</v>
      </c>
      <c r="F160" s="8" t="s">
        <v>2905</v>
      </c>
      <c r="G160" s="8" t="s">
        <v>1121</v>
      </c>
      <c r="H160" s="8" t="s">
        <v>1122</v>
      </c>
      <c r="I160" s="8" t="s">
        <v>1141</v>
      </c>
      <c r="J160" s="8" t="s">
        <v>2094</v>
      </c>
      <c r="K160" s="8" t="s">
        <v>1243</v>
      </c>
      <c r="L160" s="8" t="s">
        <v>1126</v>
      </c>
      <c r="M160" s="9" t="s">
        <v>2906</v>
      </c>
    </row>
    <row r="161" spans="1:13" ht="62" customHeight="1">
      <c r="A161" s="10" t="s">
        <v>3080</v>
      </c>
      <c r="B161" s="10" t="s">
        <v>2096</v>
      </c>
      <c r="C161" s="10" t="s">
        <v>2097</v>
      </c>
      <c r="D161" s="10" t="s">
        <v>1131</v>
      </c>
      <c r="E161" s="10" t="s">
        <v>1316</v>
      </c>
      <c r="F161" s="10" t="s">
        <v>2905</v>
      </c>
      <c r="G161" s="10" t="s">
        <v>1121</v>
      </c>
      <c r="H161" s="10" t="s">
        <v>1122</v>
      </c>
      <c r="I161" s="10" t="s">
        <v>1141</v>
      </c>
      <c r="J161" s="10" t="s">
        <v>2098</v>
      </c>
      <c r="K161" s="10" t="s">
        <v>1243</v>
      </c>
      <c r="L161" s="10" t="s">
        <v>1126</v>
      </c>
      <c r="M161" s="11" t="s">
        <v>2906</v>
      </c>
    </row>
    <row r="162" spans="1:13" ht="62" customHeight="1">
      <c r="A162" s="8" t="s">
        <v>3081</v>
      </c>
      <c r="B162" s="8" t="s">
        <v>2100</v>
      </c>
      <c r="C162" s="8" t="s">
        <v>2101</v>
      </c>
      <c r="D162" s="8" t="s">
        <v>1131</v>
      </c>
      <c r="E162" s="8" t="s">
        <v>1316</v>
      </c>
      <c r="F162" s="8" t="s">
        <v>2905</v>
      </c>
      <c r="G162" s="8" t="s">
        <v>1121</v>
      </c>
      <c r="H162" s="8" t="s">
        <v>1122</v>
      </c>
      <c r="I162" s="8" t="s">
        <v>1141</v>
      </c>
      <c r="J162" s="8" t="s">
        <v>1429</v>
      </c>
      <c r="K162" s="8" t="s">
        <v>1243</v>
      </c>
      <c r="L162" s="8" t="s">
        <v>1126</v>
      </c>
      <c r="M162" s="9" t="s">
        <v>3082</v>
      </c>
    </row>
    <row r="163" spans="1:13" ht="78" customHeight="1">
      <c r="A163" s="10" t="s">
        <v>3083</v>
      </c>
      <c r="B163" s="10" t="s">
        <v>2104</v>
      </c>
      <c r="C163" s="10" t="s">
        <v>2105</v>
      </c>
      <c r="D163" s="10" t="s">
        <v>1131</v>
      </c>
      <c r="E163" s="10" t="s">
        <v>2090</v>
      </c>
      <c r="F163" s="10" t="s">
        <v>2905</v>
      </c>
      <c r="G163" s="10" t="s">
        <v>1121</v>
      </c>
      <c r="H163" s="10" t="s">
        <v>1122</v>
      </c>
      <c r="I163" s="10" t="s">
        <v>1141</v>
      </c>
      <c r="J163" s="10" t="s">
        <v>2043</v>
      </c>
      <c r="K163" s="10" t="s">
        <v>1125</v>
      </c>
      <c r="L163" s="10" t="s">
        <v>1126</v>
      </c>
      <c r="M163" s="11" t="s">
        <v>2906</v>
      </c>
    </row>
    <row r="164" spans="1:13" ht="62" customHeight="1">
      <c r="A164" s="8" t="s">
        <v>3084</v>
      </c>
      <c r="B164" s="8" t="s">
        <v>2107</v>
      </c>
      <c r="C164" s="8" t="s">
        <v>2108</v>
      </c>
      <c r="D164" s="8" t="s">
        <v>1131</v>
      </c>
      <c r="E164" s="8" t="s">
        <v>1316</v>
      </c>
      <c r="F164" s="8" t="s">
        <v>2905</v>
      </c>
      <c r="G164" s="8" t="s">
        <v>1121</v>
      </c>
      <c r="H164" s="8" t="s">
        <v>1122</v>
      </c>
      <c r="I164" s="8" t="s">
        <v>1141</v>
      </c>
      <c r="J164" s="8" t="s">
        <v>1372</v>
      </c>
      <c r="K164" s="8" t="s">
        <v>1243</v>
      </c>
      <c r="L164" s="8" t="s">
        <v>1126</v>
      </c>
      <c r="M164" s="9" t="s">
        <v>2906</v>
      </c>
    </row>
    <row r="165" spans="1:13" ht="62" customHeight="1">
      <c r="A165" s="10" t="s">
        <v>3085</v>
      </c>
      <c r="B165" s="10" t="s">
        <v>2110</v>
      </c>
      <c r="C165" s="10" t="s">
        <v>2111</v>
      </c>
      <c r="D165" s="10" t="s">
        <v>1131</v>
      </c>
      <c r="E165" s="10" t="s">
        <v>1849</v>
      </c>
      <c r="F165" s="10" t="s">
        <v>2905</v>
      </c>
      <c r="G165" s="10" t="s">
        <v>1121</v>
      </c>
      <c r="H165" s="10" t="s">
        <v>1122</v>
      </c>
      <c r="I165" s="10" t="s">
        <v>1141</v>
      </c>
      <c r="J165" s="10" t="s">
        <v>2112</v>
      </c>
      <c r="K165" s="10" t="s">
        <v>1125</v>
      </c>
      <c r="L165" s="10" t="s">
        <v>1126</v>
      </c>
      <c r="M165" s="11" t="s">
        <v>2906</v>
      </c>
    </row>
    <row r="166" spans="1:13" ht="78" customHeight="1">
      <c r="A166" s="8" t="s">
        <v>3086</v>
      </c>
      <c r="B166" s="8" t="s">
        <v>2114</v>
      </c>
      <c r="C166" s="8" t="s">
        <v>2115</v>
      </c>
      <c r="D166" s="8" t="s">
        <v>1131</v>
      </c>
      <c r="E166" s="8" t="s">
        <v>2116</v>
      </c>
      <c r="F166" s="8" t="s">
        <v>2905</v>
      </c>
      <c r="G166" s="8" t="s">
        <v>1121</v>
      </c>
      <c r="H166" s="8" t="s">
        <v>1122</v>
      </c>
      <c r="I166" s="8" t="s">
        <v>1141</v>
      </c>
      <c r="J166" s="8" t="s">
        <v>2117</v>
      </c>
      <c r="K166" s="8" t="s">
        <v>1125</v>
      </c>
      <c r="L166" s="8" t="s">
        <v>1126</v>
      </c>
      <c r="M166" s="9" t="s">
        <v>2906</v>
      </c>
    </row>
    <row r="167" spans="1:13" ht="62" customHeight="1">
      <c r="A167" s="10" t="s">
        <v>3087</v>
      </c>
      <c r="B167" s="10" t="s">
        <v>2119</v>
      </c>
      <c r="C167" s="10" t="s">
        <v>2120</v>
      </c>
      <c r="D167" s="10" t="s">
        <v>1131</v>
      </c>
      <c r="E167" s="10" t="s">
        <v>2121</v>
      </c>
      <c r="F167" s="10" t="s">
        <v>2905</v>
      </c>
      <c r="G167" s="10" t="s">
        <v>1121</v>
      </c>
      <c r="H167" s="10" t="s">
        <v>1134</v>
      </c>
      <c r="I167" s="10" t="s">
        <v>1141</v>
      </c>
      <c r="J167" s="10" t="s">
        <v>2122</v>
      </c>
      <c r="K167" s="10" t="s">
        <v>1125</v>
      </c>
      <c r="L167" s="10" t="s">
        <v>1161</v>
      </c>
      <c r="M167" s="11" t="s">
        <v>2906</v>
      </c>
    </row>
    <row r="168" spans="1:13" ht="62" customHeight="1">
      <c r="A168" s="8" t="s">
        <v>3088</v>
      </c>
      <c r="B168" s="8" t="s">
        <v>2124</v>
      </c>
      <c r="C168" s="8" t="s">
        <v>2125</v>
      </c>
      <c r="D168" s="8" t="s">
        <v>1131</v>
      </c>
      <c r="E168" s="8" t="s">
        <v>1371</v>
      </c>
      <c r="F168" s="8" t="s">
        <v>2905</v>
      </c>
      <c r="G168" s="8" t="s">
        <v>1121</v>
      </c>
      <c r="H168" s="8" t="s">
        <v>1122</v>
      </c>
      <c r="I168" s="8" t="s">
        <v>1141</v>
      </c>
      <c r="J168" s="8" t="s">
        <v>2126</v>
      </c>
      <c r="K168" s="8" t="s">
        <v>1243</v>
      </c>
      <c r="L168" s="8" t="s">
        <v>1126</v>
      </c>
      <c r="M168" s="9" t="s">
        <v>2906</v>
      </c>
    </row>
    <row r="169" spans="1:13" ht="62" customHeight="1">
      <c r="A169" s="10" t="s">
        <v>3089</v>
      </c>
      <c r="B169" s="10" t="s">
        <v>2128</v>
      </c>
      <c r="C169" s="10" t="s">
        <v>2129</v>
      </c>
      <c r="D169" s="10" t="s">
        <v>1131</v>
      </c>
      <c r="E169" s="10" t="s">
        <v>2130</v>
      </c>
      <c r="F169" s="10" t="s">
        <v>2905</v>
      </c>
      <c r="G169" s="10" t="s">
        <v>1121</v>
      </c>
      <c r="H169" s="10" t="s">
        <v>1122</v>
      </c>
      <c r="I169" s="10" t="s">
        <v>1180</v>
      </c>
      <c r="J169" s="10" t="s">
        <v>1865</v>
      </c>
      <c r="K169" s="10" t="s">
        <v>1243</v>
      </c>
      <c r="L169" s="10" t="s">
        <v>1126</v>
      </c>
      <c r="M169" s="11" t="s">
        <v>2906</v>
      </c>
    </row>
    <row r="170" spans="1:13" ht="62" customHeight="1">
      <c r="A170" s="8" t="s">
        <v>3090</v>
      </c>
      <c r="B170" s="8" t="s">
        <v>2132</v>
      </c>
      <c r="C170" s="8" t="s">
        <v>2133</v>
      </c>
      <c r="D170" s="8" t="s">
        <v>1131</v>
      </c>
      <c r="E170" s="8" t="s">
        <v>1119</v>
      </c>
      <c r="F170" s="8" t="s">
        <v>2905</v>
      </c>
      <c r="G170" s="8" t="s">
        <v>1121</v>
      </c>
      <c r="H170" s="8" t="s">
        <v>1122</v>
      </c>
      <c r="I170" s="8" t="s">
        <v>1123</v>
      </c>
      <c r="J170" s="8" t="s">
        <v>1124</v>
      </c>
      <c r="K170" s="8" t="s">
        <v>1125</v>
      </c>
      <c r="L170" s="8" t="s">
        <v>1126</v>
      </c>
      <c r="M170" s="9" t="s">
        <v>2906</v>
      </c>
    </row>
    <row r="171" spans="1:13" ht="62" customHeight="1">
      <c r="A171" s="10" t="s">
        <v>3091</v>
      </c>
      <c r="B171" s="10" t="s">
        <v>2143</v>
      </c>
      <c r="C171" s="10" t="s">
        <v>2144</v>
      </c>
      <c r="D171" s="10" t="s">
        <v>1131</v>
      </c>
      <c r="E171" s="10" t="s">
        <v>1806</v>
      </c>
      <c r="F171" s="10" t="s">
        <v>2905</v>
      </c>
      <c r="G171" s="10" t="s">
        <v>1121</v>
      </c>
      <c r="H171" s="10" t="s">
        <v>1122</v>
      </c>
      <c r="I171" s="10" t="s">
        <v>1141</v>
      </c>
      <c r="J171" s="10" t="s">
        <v>2145</v>
      </c>
      <c r="K171" s="10" t="s">
        <v>1243</v>
      </c>
      <c r="L171" s="10" t="s">
        <v>1126</v>
      </c>
      <c r="M171" s="11" t="s">
        <v>2915</v>
      </c>
    </row>
    <row r="172" spans="1:13" ht="62" customHeight="1">
      <c r="A172" s="8" t="s">
        <v>3092</v>
      </c>
      <c r="B172" s="8" t="s">
        <v>635</v>
      </c>
      <c r="C172" s="8" t="s">
        <v>2147</v>
      </c>
      <c r="D172" s="8" t="s">
        <v>1131</v>
      </c>
      <c r="E172" s="8" t="s">
        <v>1683</v>
      </c>
      <c r="F172" s="8" t="s">
        <v>2905</v>
      </c>
      <c r="G172" s="8" t="s">
        <v>1121</v>
      </c>
      <c r="H172" s="8" t="s">
        <v>1122</v>
      </c>
      <c r="I172" s="8" t="s">
        <v>1141</v>
      </c>
      <c r="J172" s="8" t="s">
        <v>1465</v>
      </c>
      <c r="K172" s="8" t="s">
        <v>1243</v>
      </c>
      <c r="L172" s="8" t="s">
        <v>1126</v>
      </c>
      <c r="M172" s="9" t="s">
        <v>2943</v>
      </c>
    </row>
    <row r="173" spans="1:13" ht="62" customHeight="1">
      <c r="A173" s="10" t="s">
        <v>3093</v>
      </c>
      <c r="B173" s="10" t="s">
        <v>2149</v>
      </c>
      <c r="C173" s="10" t="s">
        <v>2150</v>
      </c>
      <c r="D173" s="10" t="s">
        <v>1131</v>
      </c>
      <c r="E173" s="10" t="s">
        <v>1420</v>
      </c>
      <c r="F173" s="10" t="s">
        <v>2905</v>
      </c>
      <c r="G173" s="10" t="s">
        <v>1121</v>
      </c>
      <c r="H173" s="10" t="s">
        <v>1122</v>
      </c>
      <c r="I173" s="10" t="s">
        <v>1141</v>
      </c>
      <c r="J173" s="10" t="s">
        <v>1460</v>
      </c>
      <c r="K173" s="10" t="s">
        <v>1243</v>
      </c>
      <c r="L173" s="10" t="s">
        <v>1126</v>
      </c>
      <c r="M173" s="11" t="s">
        <v>2992</v>
      </c>
    </row>
    <row r="174" spans="1:13" ht="62" customHeight="1">
      <c r="A174" s="8" t="s">
        <v>3094</v>
      </c>
      <c r="B174" s="8" t="s">
        <v>639</v>
      </c>
      <c r="C174" s="8" t="s">
        <v>2152</v>
      </c>
      <c r="D174" s="8" t="s">
        <v>1131</v>
      </c>
      <c r="E174" s="8" t="s">
        <v>2153</v>
      </c>
      <c r="F174" s="8" t="s">
        <v>2905</v>
      </c>
      <c r="G174" s="8" t="s">
        <v>1121</v>
      </c>
      <c r="H174" s="8" t="s">
        <v>1122</v>
      </c>
      <c r="I174" s="8" t="s">
        <v>1141</v>
      </c>
      <c r="J174" s="8" t="s">
        <v>1465</v>
      </c>
      <c r="K174" s="8" t="s">
        <v>1243</v>
      </c>
      <c r="L174" s="8" t="s">
        <v>1126</v>
      </c>
      <c r="M174" s="9" t="s">
        <v>2943</v>
      </c>
    </row>
    <row r="175" spans="1:13" ht="62" customHeight="1">
      <c r="A175" s="10" t="s">
        <v>3095</v>
      </c>
      <c r="B175" s="10" t="s">
        <v>2159</v>
      </c>
      <c r="C175" s="10" t="s">
        <v>2160</v>
      </c>
      <c r="D175" s="10" t="s">
        <v>1131</v>
      </c>
      <c r="E175" s="10" t="s">
        <v>1687</v>
      </c>
      <c r="F175" s="10" t="s">
        <v>2905</v>
      </c>
      <c r="G175" s="10" t="s">
        <v>1121</v>
      </c>
      <c r="H175" s="10" t="s">
        <v>1122</v>
      </c>
      <c r="I175" s="10" t="s">
        <v>1123</v>
      </c>
      <c r="J175" s="10" t="s">
        <v>1124</v>
      </c>
      <c r="K175" s="10" t="s">
        <v>1243</v>
      </c>
      <c r="L175" s="10" t="s">
        <v>1126</v>
      </c>
      <c r="M175" s="11" t="s">
        <v>2943</v>
      </c>
    </row>
    <row r="176" spans="1:13" ht="62" customHeight="1">
      <c r="A176" s="8" t="s">
        <v>3096</v>
      </c>
      <c r="B176" s="8" t="s">
        <v>2162</v>
      </c>
      <c r="C176" s="8" t="s">
        <v>2163</v>
      </c>
      <c r="D176" s="8" t="s">
        <v>1131</v>
      </c>
      <c r="E176" s="8" t="s">
        <v>2164</v>
      </c>
      <c r="F176" s="8" t="s">
        <v>2905</v>
      </c>
      <c r="G176" s="8" t="s">
        <v>1121</v>
      </c>
      <c r="H176" s="8" t="s">
        <v>1122</v>
      </c>
      <c r="I176" s="8" t="s">
        <v>1141</v>
      </c>
      <c r="J176" s="8" t="s">
        <v>2165</v>
      </c>
      <c r="K176" s="8" t="s">
        <v>1243</v>
      </c>
      <c r="L176" s="8" t="s">
        <v>1126</v>
      </c>
      <c r="M176" s="9" t="s">
        <v>2943</v>
      </c>
    </row>
    <row r="177" spans="1:13" ht="392" customHeight="1">
      <c r="A177" s="10" t="s">
        <v>3097</v>
      </c>
      <c r="B177" s="10" t="s">
        <v>2167</v>
      </c>
      <c r="C177" s="10" t="s">
        <v>2168</v>
      </c>
      <c r="D177" s="10" t="s">
        <v>1131</v>
      </c>
      <c r="E177" s="10" t="s">
        <v>1132</v>
      </c>
      <c r="F177" s="10" t="s">
        <v>2905</v>
      </c>
      <c r="G177" s="10" t="s">
        <v>1121</v>
      </c>
      <c r="H177" s="10" t="s">
        <v>1122</v>
      </c>
      <c r="I177" s="10" t="s">
        <v>1301</v>
      </c>
      <c r="J177" s="10" t="s">
        <v>2169</v>
      </c>
      <c r="K177" s="10" t="s">
        <v>1135</v>
      </c>
      <c r="L177" s="10" t="s">
        <v>1126</v>
      </c>
      <c r="M177" s="11" t="s">
        <v>2943</v>
      </c>
    </row>
    <row r="178" spans="1:13" ht="62" customHeight="1">
      <c r="A178" s="8" t="s">
        <v>3098</v>
      </c>
      <c r="B178" s="8" t="s">
        <v>2171</v>
      </c>
      <c r="C178" s="8" t="s">
        <v>2172</v>
      </c>
      <c r="D178" s="8" t="s">
        <v>1131</v>
      </c>
      <c r="E178" s="8" t="s">
        <v>1132</v>
      </c>
      <c r="F178" s="8" t="s">
        <v>2905</v>
      </c>
      <c r="G178" s="8" t="s">
        <v>1121</v>
      </c>
      <c r="H178" s="8" t="s">
        <v>1122</v>
      </c>
      <c r="I178" s="8" t="s">
        <v>1180</v>
      </c>
      <c r="J178" s="8" t="s">
        <v>2173</v>
      </c>
      <c r="K178" s="8" t="s">
        <v>1135</v>
      </c>
      <c r="L178" s="8" t="s">
        <v>1126</v>
      </c>
      <c r="M178" s="9" t="s">
        <v>2943</v>
      </c>
    </row>
    <row r="179" spans="1:13" ht="78" customHeight="1">
      <c r="A179" s="10" t="s">
        <v>3099</v>
      </c>
      <c r="B179" s="10" t="s">
        <v>2175</v>
      </c>
      <c r="C179" s="10" t="s">
        <v>2176</v>
      </c>
      <c r="D179" s="10" t="s">
        <v>1131</v>
      </c>
      <c r="E179" s="10" t="s">
        <v>1132</v>
      </c>
      <c r="F179" s="10" t="s">
        <v>2905</v>
      </c>
      <c r="G179" s="10" t="s">
        <v>1121</v>
      </c>
      <c r="H179" s="10" t="s">
        <v>1122</v>
      </c>
      <c r="I179" s="10" t="s">
        <v>1180</v>
      </c>
      <c r="J179" s="10" t="s">
        <v>2177</v>
      </c>
      <c r="K179" s="10" t="s">
        <v>1135</v>
      </c>
      <c r="L179" s="10" t="s">
        <v>1126</v>
      </c>
      <c r="M179" s="11" t="s">
        <v>2943</v>
      </c>
    </row>
    <row r="180" spans="1:13" ht="62" customHeight="1">
      <c r="A180" s="8" t="s">
        <v>3100</v>
      </c>
      <c r="B180" s="8" t="s">
        <v>2179</v>
      </c>
      <c r="C180" s="8" t="s">
        <v>2180</v>
      </c>
      <c r="D180" s="8" t="s">
        <v>1131</v>
      </c>
      <c r="E180" s="8" t="s">
        <v>1687</v>
      </c>
      <c r="F180" s="8" t="s">
        <v>2905</v>
      </c>
      <c r="G180" s="8" t="s">
        <v>1121</v>
      </c>
      <c r="H180" s="8" t="s">
        <v>1122</v>
      </c>
      <c r="I180" s="8" t="s">
        <v>1141</v>
      </c>
      <c r="J180" s="8" t="s">
        <v>1460</v>
      </c>
      <c r="K180" s="8" t="s">
        <v>1243</v>
      </c>
      <c r="L180" s="8" t="s">
        <v>1126</v>
      </c>
      <c r="M180" s="9" t="s">
        <v>2943</v>
      </c>
    </row>
    <row r="181" spans="1:13" ht="62" customHeight="1">
      <c r="A181" s="10" t="s">
        <v>3101</v>
      </c>
      <c r="B181" s="10" t="s">
        <v>2182</v>
      </c>
      <c r="C181" s="10" t="s">
        <v>2183</v>
      </c>
      <c r="D181" s="10" t="s">
        <v>1131</v>
      </c>
      <c r="E181" s="10" t="s">
        <v>1844</v>
      </c>
      <c r="F181" s="10" t="s">
        <v>2905</v>
      </c>
      <c r="G181" s="10" t="s">
        <v>1121</v>
      </c>
      <c r="H181" s="10" t="s">
        <v>1122</v>
      </c>
      <c r="I181" s="10" t="s">
        <v>1141</v>
      </c>
      <c r="J181" s="10" t="s">
        <v>1188</v>
      </c>
      <c r="K181" s="10" t="s">
        <v>1243</v>
      </c>
      <c r="L181" s="10" t="s">
        <v>1126</v>
      </c>
      <c r="M181" s="11" t="s">
        <v>2943</v>
      </c>
    </row>
    <row r="182" spans="1:13" ht="62" customHeight="1">
      <c r="A182" s="8" t="s">
        <v>3102</v>
      </c>
      <c r="B182" s="8" t="s">
        <v>2185</v>
      </c>
      <c r="C182" s="8" t="s">
        <v>2186</v>
      </c>
      <c r="D182" s="8" t="s">
        <v>1131</v>
      </c>
      <c r="E182" s="8" t="s">
        <v>2187</v>
      </c>
      <c r="F182" s="8" t="s">
        <v>2905</v>
      </c>
      <c r="G182" s="8" t="s">
        <v>1121</v>
      </c>
      <c r="H182" s="8" t="s">
        <v>1122</v>
      </c>
      <c r="I182" s="8" t="s">
        <v>1141</v>
      </c>
      <c r="J182" s="8" t="s">
        <v>2188</v>
      </c>
      <c r="K182" s="8" t="s">
        <v>1243</v>
      </c>
      <c r="L182" s="8" t="s">
        <v>1126</v>
      </c>
      <c r="M182" s="9" t="s">
        <v>2943</v>
      </c>
    </row>
    <row r="183" spans="1:13" ht="62" customHeight="1">
      <c r="A183" s="10" t="s">
        <v>3103</v>
      </c>
      <c r="B183" s="10" t="s">
        <v>2203</v>
      </c>
      <c r="C183" s="10" t="s">
        <v>2204</v>
      </c>
      <c r="D183" s="10" t="s">
        <v>1118</v>
      </c>
      <c r="E183" s="10" t="s">
        <v>1242</v>
      </c>
      <c r="F183" s="10" t="s">
        <v>2905</v>
      </c>
      <c r="G183" s="10" t="s">
        <v>1121</v>
      </c>
      <c r="H183" s="10" t="s">
        <v>1134</v>
      </c>
      <c r="I183" s="10" t="s">
        <v>1123</v>
      </c>
      <c r="J183" s="10" t="s">
        <v>1124</v>
      </c>
      <c r="K183" s="10" t="s">
        <v>1125</v>
      </c>
      <c r="L183" s="10" t="s">
        <v>1161</v>
      </c>
      <c r="M183" s="11" t="s">
        <v>3104</v>
      </c>
    </row>
    <row r="184" spans="1:13" ht="62" customHeight="1">
      <c r="A184" s="8" t="s">
        <v>3105</v>
      </c>
      <c r="B184" s="8" t="s">
        <v>2207</v>
      </c>
      <c r="C184" s="8" t="s">
        <v>2208</v>
      </c>
      <c r="D184" s="8" t="s">
        <v>1131</v>
      </c>
      <c r="E184" s="8" t="s">
        <v>2209</v>
      </c>
      <c r="F184" s="8" t="s">
        <v>2905</v>
      </c>
      <c r="G184" s="8" t="s">
        <v>1121</v>
      </c>
      <c r="H184" s="8" t="s">
        <v>1134</v>
      </c>
      <c r="I184" s="8" t="s">
        <v>1141</v>
      </c>
      <c r="J184" s="8" t="s">
        <v>2210</v>
      </c>
      <c r="K184" s="8" t="s">
        <v>1125</v>
      </c>
      <c r="L184" s="8" t="s">
        <v>1161</v>
      </c>
      <c r="M184" s="9" t="s">
        <v>3106</v>
      </c>
    </row>
    <row r="185" spans="1:13" ht="62" customHeight="1">
      <c r="A185" s="10" t="s">
        <v>3107</v>
      </c>
      <c r="B185" s="10" t="s">
        <v>2213</v>
      </c>
      <c r="C185" s="10" t="s">
        <v>2214</v>
      </c>
      <c r="D185" s="10" t="s">
        <v>1131</v>
      </c>
      <c r="E185" s="10" t="s">
        <v>1132</v>
      </c>
      <c r="F185" s="10" t="s">
        <v>2905</v>
      </c>
      <c r="G185" s="10" t="s">
        <v>1121</v>
      </c>
      <c r="H185" s="10" t="s">
        <v>1134</v>
      </c>
      <c r="I185" s="10" t="s">
        <v>1123</v>
      </c>
      <c r="J185" s="10" t="s">
        <v>1124</v>
      </c>
      <c r="K185" s="10" t="s">
        <v>1135</v>
      </c>
      <c r="L185" s="10" t="s">
        <v>1161</v>
      </c>
      <c r="M185" s="11" t="s">
        <v>3106</v>
      </c>
    </row>
    <row r="186" spans="1:13" ht="62" customHeight="1">
      <c r="A186" s="8" t="s">
        <v>3108</v>
      </c>
      <c r="B186" s="8" t="s">
        <v>2216</v>
      </c>
      <c r="C186" s="8" t="s">
        <v>2217</v>
      </c>
      <c r="D186" s="8" t="s">
        <v>1131</v>
      </c>
      <c r="E186" s="8" t="s">
        <v>1132</v>
      </c>
      <c r="F186" s="8" t="s">
        <v>2905</v>
      </c>
      <c r="G186" s="8" t="s">
        <v>1121</v>
      </c>
      <c r="H186" s="8" t="s">
        <v>1134</v>
      </c>
      <c r="I186" s="8" t="s">
        <v>1123</v>
      </c>
      <c r="J186" s="8" t="s">
        <v>1124</v>
      </c>
      <c r="K186" s="8" t="s">
        <v>1135</v>
      </c>
      <c r="L186" s="8" t="s">
        <v>1161</v>
      </c>
      <c r="M186" s="9" t="s">
        <v>3106</v>
      </c>
    </row>
    <row r="187" spans="1:13" ht="62" customHeight="1">
      <c r="A187" s="10" t="s">
        <v>3109</v>
      </c>
      <c r="B187" s="10" t="s">
        <v>2219</v>
      </c>
      <c r="C187" s="10" t="s">
        <v>2220</v>
      </c>
      <c r="D187" s="10" t="s">
        <v>1131</v>
      </c>
      <c r="E187" s="10" t="s">
        <v>1132</v>
      </c>
      <c r="F187" s="10" t="s">
        <v>2905</v>
      </c>
      <c r="G187" s="10" t="s">
        <v>1121</v>
      </c>
      <c r="H187" s="10" t="s">
        <v>1134</v>
      </c>
      <c r="I187" s="10" t="s">
        <v>1123</v>
      </c>
      <c r="J187" s="10" t="s">
        <v>1124</v>
      </c>
      <c r="K187" s="10" t="s">
        <v>1135</v>
      </c>
      <c r="L187" s="10" t="s">
        <v>1161</v>
      </c>
      <c r="M187" s="11" t="s">
        <v>3106</v>
      </c>
    </row>
    <row r="188" spans="1:13" ht="62" customHeight="1">
      <c r="A188" s="8" t="s">
        <v>3110</v>
      </c>
      <c r="B188" s="8" t="s">
        <v>2222</v>
      </c>
      <c r="C188" s="8" t="s">
        <v>2223</v>
      </c>
      <c r="D188" s="8" t="s">
        <v>1131</v>
      </c>
      <c r="E188" s="8" t="s">
        <v>1132</v>
      </c>
      <c r="F188" s="8" t="s">
        <v>2905</v>
      </c>
      <c r="G188" s="8" t="s">
        <v>1121</v>
      </c>
      <c r="H188" s="8" t="s">
        <v>1134</v>
      </c>
      <c r="I188" s="8" t="s">
        <v>1123</v>
      </c>
      <c r="J188" s="8" t="s">
        <v>1124</v>
      </c>
      <c r="K188" s="8" t="s">
        <v>1135</v>
      </c>
      <c r="L188" s="8" t="s">
        <v>1161</v>
      </c>
      <c r="M188" s="9" t="s">
        <v>3106</v>
      </c>
    </row>
    <row r="189" spans="1:13" ht="62" customHeight="1">
      <c r="A189" s="10" t="s">
        <v>3111</v>
      </c>
      <c r="B189" s="10" t="s">
        <v>2225</v>
      </c>
      <c r="C189" s="10" t="s">
        <v>2226</v>
      </c>
      <c r="D189" s="10" t="s">
        <v>1131</v>
      </c>
      <c r="E189" s="10" t="s">
        <v>1132</v>
      </c>
      <c r="F189" s="10" t="s">
        <v>2905</v>
      </c>
      <c r="G189" s="10" t="s">
        <v>1121</v>
      </c>
      <c r="H189" s="10" t="s">
        <v>1134</v>
      </c>
      <c r="I189" s="10" t="s">
        <v>1123</v>
      </c>
      <c r="J189" s="10" t="s">
        <v>1124</v>
      </c>
      <c r="K189" s="10" t="s">
        <v>1135</v>
      </c>
      <c r="L189" s="10" t="s">
        <v>1161</v>
      </c>
      <c r="M189" s="11" t="s">
        <v>3106</v>
      </c>
    </row>
    <row r="190" spans="1:13" ht="62" customHeight="1">
      <c r="A190" s="8" t="s">
        <v>3112</v>
      </c>
      <c r="B190" s="8" t="s">
        <v>2228</v>
      </c>
      <c r="C190" s="8" t="s">
        <v>2229</v>
      </c>
      <c r="D190" s="8" t="s">
        <v>1131</v>
      </c>
      <c r="E190" s="8" t="s">
        <v>1132</v>
      </c>
      <c r="F190" s="8" t="s">
        <v>2905</v>
      </c>
      <c r="G190" s="8" t="s">
        <v>1121</v>
      </c>
      <c r="H190" s="8" t="s">
        <v>1134</v>
      </c>
      <c r="I190" s="8" t="s">
        <v>1123</v>
      </c>
      <c r="J190" s="8" t="s">
        <v>1124</v>
      </c>
      <c r="K190" s="8" t="s">
        <v>1135</v>
      </c>
      <c r="L190" s="8" t="s">
        <v>1161</v>
      </c>
      <c r="M190" s="9" t="s">
        <v>3106</v>
      </c>
    </row>
    <row r="191" spans="1:13" ht="62" customHeight="1">
      <c r="A191" s="10" t="s">
        <v>3113</v>
      </c>
      <c r="B191" s="10" t="s">
        <v>2231</v>
      </c>
      <c r="C191" s="10" t="s">
        <v>2232</v>
      </c>
      <c r="D191" s="10" t="s">
        <v>1131</v>
      </c>
      <c r="E191" s="10" t="s">
        <v>1132</v>
      </c>
      <c r="F191" s="10" t="s">
        <v>2905</v>
      </c>
      <c r="G191" s="10" t="s">
        <v>1121</v>
      </c>
      <c r="H191" s="10" t="s">
        <v>1134</v>
      </c>
      <c r="I191" s="10" t="s">
        <v>1180</v>
      </c>
      <c r="J191" s="10" t="s">
        <v>1214</v>
      </c>
      <c r="K191" s="10" t="s">
        <v>1135</v>
      </c>
      <c r="L191" s="10" t="s">
        <v>1161</v>
      </c>
      <c r="M191" s="11" t="s">
        <v>3106</v>
      </c>
    </row>
    <row r="192" spans="1:13" ht="62" customHeight="1">
      <c r="A192" s="8" t="s">
        <v>3114</v>
      </c>
      <c r="B192" s="8" t="s">
        <v>2234</v>
      </c>
      <c r="C192" s="8" t="s">
        <v>2235</v>
      </c>
      <c r="D192" s="8" t="s">
        <v>1131</v>
      </c>
      <c r="E192" s="8" t="s">
        <v>1132</v>
      </c>
      <c r="F192" s="8" t="s">
        <v>2905</v>
      </c>
      <c r="G192" s="8" t="s">
        <v>1121</v>
      </c>
      <c r="H192" s="8" t="s">
        <v>1134</v>
      </c>
      <c r="I192" s="8" t="s">
        <v>1123</v>
      </c>
      <c r="J192" s="8" t="s">
        <v>1124</v>
      </c>
      <c r="K192" s="8" t="s">
        <v>1135</v>
      </c>
      <c r="L192" s="8" t="s">
        <v>1161</v>
      </c>
      <c r="M192" s="9" t="s">
        <v>3106</v>
      </c>
    </row>
    <row r="193" spans="1:13" ht="62" customHeight="1">
      <c r="A193" s="10" t="s">
        <v>3115</v>
      </c>
      <c r="B193" s="10" t="s">
        <v>2237</v>
      </c>
      <c r="C193" s="10" t="s">
        <v>2238</v>
      </c>
      <c r="D193" s="10" t="s">
        <v>1131</v>
      </c>
      <c r="E193" s="10" t="s">
        <v>1132</v>
      </c>
      <c r="F193" s="10" t="s">
        <v>2905</v>
      </c>
      <c r="G193" s="10" t="s">
        <v>1121</v>
      </c>
      <c r="H193" s="10" t="s">
        <v>1134</v>
      </c>
      <c r="I193" s="10" t="s">
        <v>1123</v>
      </c>
      <c r="J193" s="10" t="s">
        <v>1124</v>
      </c>
      <c r="K193" s="10" t="s">
        <v>1135</v>
      </c>
      <c r="L193" s="10" t="s">
        <v>1161</v>
      </c>
      <c r="M193" s="11" t="s">
        <v>3106</v>
      </c>
    </row>
    <row r="194" spans="1:13" ht="62" customHeight="1">
      <c r="A194" s="8" t="s">
        <v>3116</v>
      </c>
      <c r="B194" s="8" t="s">
        <v>2240</v>
      </c>
      <c r="C194" s="8" t="s">
        <v>2241</v>
      </c>
      <c r="D194" s="8" t="s">
        <v>1131</v>
      </c>
      <c r="E194" s="8" t="s">
        <v>1132</v>
      </c>
      <c r="F194" s="8" t="s">
        <v>2905</v>
      </c>
      <c r="G194" s="8" t="s">
        <v>1121</v>
      </c>
      <c r="H194" s="8" t="s">
        <v>1134</v>
      </c>
      <c r="I194" s="8" t="s">
        <v>1123</v>
      </c>
      <c r="J194" s="8" t="s">
        <v>1124</v>
      </c>
      <c r="K194" s="8" t="s">
        <v>1135</v>
      </c>
      <c r="L194" s="8" t="s">
        <v>1161</v>
      </c>
      <c r="M194" s="9" t="s">
        <v>3106</v>
      </c>
    </row>
    <row r="195" spans="1:13" ht="62" customHeight="1">
      <c r="A195" s="10" t="s">
        <v>3117</v>
      </c>
      <c r="B195" s="10" t="s">
        <v>2243</v>
      </c>
      <c r="C195" s="10" t="s">
        <v>2244</v>
      </c>
      <c r="D195" s="10" t="s">
        <v>1131</v>
      </c>
      <c r="E195" s="10" t="s">
        <v>1132</v>
      </c>
      <c r="F195" s="10" t="s">
        <v>2905</v>
      </c>
      <c r="G195" s="10" t="s">
        <v>1121</v>
      </c>
      <c r="H195" s="10" t="s">
        <v>1134</v>
      </c>
      <c r="I195" s="10" t="s">
        <v>1123</v>
      </c>
      <c r="J195" s="10" t="s">
        <v>1124</v>
      </c>
      <c r="K195" s="10" t="s">
        <v>1135</v>
      </c>
      <c r="L195" s="10" t="s">
        <v>1161</v>
      </c>
      <c r="M195" s="11" t="s">
        <v>3106</v>
      </c>
    </row>
    <row r="196" spans="1:13" ht="62" customHeight="1">
      <c r="A196" s="8" t="s">
        <v>3118</v>
      </c>
      <c r="B196" s="8" t="s">
        <v>2246</v>
      </c>
      <c r="C196" s="8" t="s">
        <v>2247</v>
      </c>
      <c r="D196" s="8" t="s">
        <v>1131</v>
      </c>
      <c r="E196" s="8" t="s">
        <v>1132</v>
      </c>
      <c r="F196" s="8" t="s">
        <v>2905</v>
      </c>
      <c r="G196" s="8" t="s">
        <v>1121</v>
      </c>
      <c r="H196" s="8" t="s">
        <v>1134</v>
      </c>
      <c r="I196" s="8" t="s">
        <v>1123</v>
      </c>
      <c r="J196" s="8" t="s">
        <v>1124</v>
      </c>
      <c r="K196" s="8" t="s">
        <v>1135</v>
      </c>
      <c r="L196" s="8" t="s">
        <v>1161</v>
      </c>
      <c r="M196" s="9" t="s">
        <v>3106</v>
      </c>
    </row>
    <row r="197" spans="1:13" ht="62" customHeight="1">
      <c r="A197" s="10" t="s">
        <v>3119</v>
      </c>
      <c r="B197" s="10" t="s">
        <v>2249</v>
      </c>
      <c r="C197" s="10" t="s">
        <v>2250</v>
      </c>
      <c r="D197" s="10" t="s">
        <v>1131</v>
      </c>
      <c r="E197" s="10" t="s">
        <v>1276</v>
      </c>
      <c r="F197" s="10" t="s">
        <v>2905</v>
      </c>
      <c r="G197" s="10" t="s">
        <v>1121</v>
      </c>
      <c r="H197" s="10" t="s">
        <v>1134</v>
      </c>
      <c r="I197" s="10" t="s">
        <v>1141</v>
      </c>
      <c r="J197" s="10" t="s">
        <v>2210</v>
      </c>
      <c r="K197" s="10" t="s">
        <v>1125</v>
      </c>
      <c r="L197" s="10" t="s">
        <v>1161</v>
      </c>
      <c r="M197" s="11" t="s">
        <v>3106</v>
      </c>
    </row>
    <row r="198" spans="1:13" ht="62" customHeight="1">
      <c r="A198" s="8" t="s">
        <v>3120</v>
      </c>
      <c r="B198" s="8" t="s">
        <v>2252</v>
      </c>
      <c r="C198" s="8" t="s">
        <v>2253</v>
      </c>
      <c r="D198" s="8" t="s">
        <v>1131</v>
      </c>
      <c r="E198" s="8" t="s">
        <v>1276</v>
      </c>
      <c r="F198" s="8" t="s">
        <v>2905</v>
      </c>
      <c r="G198" s="8" t="s">
        <v>1121</v>
      </c>
      <c r="H198" s="8" t="s">
        <v>1134</v>
      </c>
      <c r="I198" s="8" t="s">
        <v>1141</v>
      </c>
      <c r="J198" s="8" t="s">
        <v>2210</v>
      </c>
      <c r="K198" s="8" t="s">
        <v>1125</v>
      </c>
      <c r="L198" s="8" t="s">
        <v>1161</v>
      </c>
      <c r="M198" s="9" t="s">
        <v>3106</v>
      </c>
    </row>
    <row r="199" spans="1:13" ht="62" customHeight="1">
      <c r="A199" s="10" t="s">
        <v>3121</v>
      </c>
      <c r="B199" s="10" t="s">
        <v>2255</v>
      </c>
      <c r="C199" s="10" t="s">
        <v>2256</v>
      </c>
      <c r="D199" s="10" t="s">
        <v>1131</v>
      </c>
      <c r="E199" s="10" t="s">
        <v>1276</v>
      </c>
      <c r="F199" s="10" t="s">
        <v>2905</v>
      </c>
      <c r="G199" s="10" t="s">
        <v>1121</v>
      </c>
      <c r="H199" s="10" t="s">
        <v>1134</v>
      </c>
      <c r="I199" s="10" t="s">
        <v>1141</v>
      </c>
      <c r="J199" s="10" t="s">
        <v>2257</v>
      </c>
      <c r="K199" s="10" t="s">
        <v>1125</v>
      </c>
      <c r="L199" s="10" t="s">
        <v>1161</v>
      </c>
      <c r="M199" s="11" t="s">
        <v>3106</v>
      </c>
    </row>
    <row r="200" spans="1:13" ht="62" customHeight="1">
      <c r="A200" s="8" t="s">
        <v>3122</v>
      </c>
      <c r="B200" s="8" t="s">
        <v>2259</v>
      </c>
      <c r="C200" s="8" t="s">
        <v>2260</v>
      </c>
      <c r="D200" s="8" t="s">
        <v>1131</v>
      </c>
      <c r="E200" s="8" t="s">
        <v>1276</v>
      </c>
      <c r="F200" s="8" t="s">
        <v>2905</v>
      </c>
      <c r="G200" s="8" t="s">
        <v>1121</v>
      </c>
      <c r="H200" s="8" t="s">
        <v>1134</v>
      </c>
      <c r="I200" s="8" t="s">
        <v>1141</v>
      </c>
      <c r="J200" s="8" t="s">
        <v>2210</v>
      </c>
      <c r="K200" s="8" t="s">
        <v>1125</v>
      </c>
      <c r="L200" s="8" t="s">
        <v>1161</v>
      </c>
      <c r="M200" s="9" t="s">
        <v>3106</v>
      </c>
    </row>
    <row r="201" spans="1:13" ht="62" customHeight="1">
      <c r="A201" s="10" t="s">
        <v>3123</v>
      </c>
      <c r="B201" s="10" t="s">
        <v>2262</v>
      </c>
      <c r="C201" s="10" t="s">
        <v>2263</v>
      </c>
      <c r="D201" s="10" t="s">
        <v>1131</v>
      </c>
      <c r="E201" s="10" t="s">
        <v>1276</v>
      </c>
      <c r="F201" s="10" t="s">
        <v>2905</v>
      </c>
      <c r="G201" s="10" t="s">
        <v>1121</v>
      </c>
      <c r="H201" s="10" t="s">
        <v>1134</v>
      </c>
      <c r="I201" s="10" t="s">
        <v>1141</v>
      </c>
      <c r="J201" s="10" t="s">
        <v>2257</v>
      </c>
      <c r="K201" s="10" t="s">
        <v>1125</v>
      </c>
      <c r="L201" s="10" t="s">
        <v>1161</v>
      </c>
      <c r="M201" s="11" t="s">
        <v>3106</v>
      </c>
    </row>
    <row r="202" spans="1:13" ht="62" customHeight="1">
      <c r="A202" s="8" t="s">
        <v>3124</v>
      </c>
      <c r="B202" s="8" t="s">
        <v>2265</v>
      </c>
      <c r="C202" s="8" t="s">
        <v>2266</v>
      </c>
      <c r="D202" s="8" t="s">
        <v>1131</v>
      </c>
      <c r="E202" s="8" t="s">
        <v>1276</v>
      </c>
      <c r="F202" s="8" t="s">
        <v>2905</v>
      </c>
      <c r="G202" s="8" t="s">
        <v>1121</v>
      </c>
      <c r="H202" s="8" t="s">
        <v>1134</v>
      </c>
      <c r="I202" s="8" t="s">
        <v>1141</v>
      </c>
      <c r="J202" s="8" t="s">
        <v>2210</v>
      </c>
      <c r="K202" s="8" t="s">
        <v>1125</v>
      </c>
      <c r="L202" s="8" t="s">
        <v>1161</v>
      </c>
      <c r="M202" s="9" t="s">
        <v>3106</v>
      </c>
    </row>
    <row r="203" spans="1:13" ht="62" customHeight="1">
      <c r="A203" s="10" t="s">
        <v>3125</v>
      </c>
      <c r="B203" s="10" t="s">
        <v>2268</v>
      </c>
      <c r="C203" s="10" t="s">
        <v>2269</v>
      </c>
      <c r="D203" s="10" t="s">
        <v>1131</v>
      </c>
      <c r="E203" s="10" t="s">
        <v>1276</v>
      </c>
      <c r="F203" s="10" t="s">
        <v>2905</v>
      </c>
      <c r="G203" s="10" t="s">
        <v>1121</v>
      </c>
      <c r="H203" s="10" t="s">
        <v>1134</v>
      </c>
      <c r="I203" s="10" t="s">
        <v>1141</v>
      </c>
      <c r="J203" s="10" t="s">
        <v>2257</v>
      </c>
      <c r="K203" s="10" t="s">
        <v>1125</v>
      </c>
      <c r="L203" s="10" t="s">
        <v>1161</v>
      </c>
      <c r="M203" s="11" t="s">
        <v>3106</v>
      </c>
    </row>
    <row r="204" spans="1:13" ht="62" customHeight="1">
      <c r="A204" s="8" t="s">
        <v>3126</v>
      </c>
      <c r="B204" s="8" t="s">
        <v>2271</v>
      </c>
      <c r="C204" s="8" t="s">
        <v>2272</v>
      </c>
      <c r="D204" s="8" t="s">
        <v>1131</v>
      </c>
      <c r="E204" s="8" t="s">
        <v>1276</v>
      </c>
      <c r="F204" s="8" t="s">
        <v>2905</v>
      </c>
      <c r="G204" s="8" t="s">
        <v>1121</v>
      </c>
      <c r="H204" s="8" t="s">
        <v>1134</v>
      </c>
      <c r="I204" s="8" t="s">
        <v>1141</v>
      </c>
      <c r="J204" s="8" t="s">
        <v>2210</v>
      </c>
      <c r="K204" s="8" t="s">
        <v>1125</v>
      </c>
      <c r="L204" s="8" t="s">
        <v>1161</v>
      </c>
      <c r="M204" s="9" t="s">
        <v>3106</v>
      </c>
    </row>
    <row r="205" spans="1:13" ht="62" customHeight="1">
      <c r="A205" s="10" t="s">
        <v>3127</v>
      </c>
      <c r="B205" s="10" t="s">
        <v>2274</v>
      </c>
      <c r="C205" s="10" t="s">
        <v>2275</v>
      </c>
      <c r="D205" s="10" t="s">
        <v>1131</v>
      </c>
      <c r="E205" s="10" t="s">
        <v>1276</v>
      </c>
      <c r="F205" s="10" t="s">
        <v>2905</v>
      </c>
      <c r="G205" s="10" t="s">
        <v>1121</v>
      </c>
      <c r="H205" s="10" t="s">
        <v>1134</v>
      </c>
      <c r="I205" s="10" t="s">
        <v>1141</v>
      </c>
      <c r="J205" s="10" t="s">
        <v>2257</v>
      </c>
      <c r="K205" s="10" t="s">
        <v>1125</v>
      </c>
      <c r="L205" s="10" t="s">
        <v>1161</v>
      </c>
      <c r="M205" s="11" t="s">
        <v>3106</v>
      </c>
    </row>
    <row r="206" spans="1:13" ht="62" customHeight="1">
      <c r="A206" s="8" t="s">
        <v>3128</v>
      </c>
      <c r="B206" s="8" t="s">
        <v>2277</v>
      </c>
      <c r="C206" s="8" t="s">
        <v>2278</v>
      </c>
      <c r="D206" s="8" t="s">
        <v>1131</v>
      </c>
      <c r="E206" s="8" t="s">
        <v>2209</v>
      </c>
      <c r="F206" s="8" t="s">
        <v>2905</v>
      </c>
      <c r="G206" s="8" t="s">
        <v>1121</v>
      </c>
      <c r="H206" s="8" t="s">
        <v>1134</v>
      </c>
      <c r="I206" s="8" t="s">
        <v>1141</v>
      </c>
      <c r="J206" s="8" t="s">
        <v>2210</v>
      </c>
      <c r="K206" s="8" t="s">
        <v>1125</v>
      </c>
      <c r="L206" s="8" t="s">
        <v>1161</v>
      </c>
      <c r="M206" s="9" t="s">
        <v>3106</v>
      </c>
    </row>
    <row r="207" spans="1:13" ht="62" customHeight="1">
      <c r="A207" s="10" t="s">
        <v>3129</v>
      </c>
      <c r="B207" s="10" t="s">
        <v>2280</v>
      </c>
      <c r="C207" s="10" t="s">
        <v>2281</v>
      </c>
      <c r="D207" s="10" t="s">
        <v>1131</v>
      </c>
      <c r="E207" s="10" t="s">
        <v>1132</v>
      </c>
      <c r="F207" s="10" t="s">
        <v>2905</v>
      </c>
      <c r="G207" s="10" t="s">
        <v>1121</v>
      </c>
      <c r="H207" s="10" t="s">
        <v>1134</v>
      </c>
      <c r="I207" s="10" t="s">
        <v>1180</v>
      </c>
      <c r="J207" s="10" t="s">
        <v>1205</v>
      </c>
      <c r="K207" s="10" t="s">
        <v>1135</v>
      </c>
      <c r="L207" s="10" t="s">
        <v>1161</v>
      </c>
      <c r="M207" s="11" t="s">
        <v>3106</v>
      </c>
    </row>
    <row r="208" spans="1:13" ht="62" customHeight="1">
      <c r="A208" s="8" t="s">
        <v>3130</v>
      </c>
      <c r="B208" s="8" t="s">
        <v>2283</v>
      </c>
      <c r="C208" s="8" t="s">
        <v>2284</v>
      </c>
      <c r="D208" s="8" t="s">
        <v>1131</v>
      </c>
      <c r="E208" s="8" t="s">
        <v>2285</v>
      </c>
      <c r="F208" s="8" t="s">
        <v>2905</v>
      </c>
      <c r="G208" s="8" t="s">
        <v>1121</v>
      </c>
      <c r="H208" s="8" t="s">
        <v>1134</v>
      </c>
      <c r="I208" s="8" t="s">
        <v>1141</v>
      </c>
      <c r="J208" s="8" t="s">
        <v>2286</v>
      </c>
      <c r="K208" s="8" t="s">
        <v>1125</v>
      </c>
      <c r="L208" s="8" t="s">
        <v>1161</v>
      </c>
      <c r="M208" s="9" t="s">
        <v>3106</v>
      </c>
    </row>
    <row r="209" spans="1:13" ht="62" customHeight="1">
      <c r="A209" s="10" t="s">
        <v>3131</v>
      </c>
      <c r="B209" s="10" t="s">
        <v>2288</v>
      </c>
      <c r="C209" s="10" t="s">
        <v>2289</v>
      </c>
      <c r="D209" s="10" t="s">
        <v>1131</v>
      </c>
      <c r="E209" s="10" t="s">
        <v>2209</v>
      </c>
      <c r="F209" s="10" t="s">
        <v>2905</v>
      </c>
      <c r="G209" s="10" t="s">
        <v>1121</v>
      </c>
      <c r="H209" s="10" t="s">
        <v>1134</v>
      </c>
      <c r="I209" s="10" t="s">
        <v>1141</v>
      </c>
      <c r="J209" s="10" t="s">
        <v>2210</v>
      </c>
      <c r="K209" s="10" t="s">
        <v>1125</v>
      </c>
      <c r="L209" s="10" t="s">
        <v>1161</v>
      </c>
      <c r="M209" s="11" t="s">
        <v>3106</v>
      </c>
    </row>
    <row r="210" spans="1:13" ht="62" customHeight="1">
      <c r="A210" s="8" t="s">
        <v>3132</v>
      </c>
      <c r="B210" s="8" t="s">
        <v>2291</v>
      </c>
      <c r="C210" s="8" t="s">
        <v>2292</v>
      </c>
      <c r="D210" s="8" t="s">
        <v>1131</v>
      </c>
      <c r="E210" s="8" t="s">
        <v>1548</v>
      </c>
      <c r="F210" s="8" t="s">
        <v>2905</v>
      </c>
      <c r="G210" s="8" t="s">
        <v>1121</v>
      </c>
      <c r="H210" s="8" t="s">
        <v>1134</v>
      </c>
      <c r="I210" s="8" t="s">
        <v>1141</v>
      </c>
      <c r="J210" s="8" t="s">
        <v>2210</v>
      </c>
      <c r="K210" s="8" t="s">
        <v>1125</v>
      </c>
      <c r="L210" s="8" t="s">
        <v>1161</v>
      </c>
      <c r="M210" s="9" t="s">
        <v>3106</v>
      </c>
    </row>
    <row r="211" spans="1:13" ht="62" customHeight="1">
      <c r="A211" s="10" t="s">
        <v>3133</v>
      </c>
      <c r="B211" s="10" t="s">
        <v>2294</v>
      </c>
      <c r="C211" s="10" t="s">
        <v>2295</v>
      </c>
      <c r="D211" s="10" t="s">
        <v>1131</v>
      </c>
      <c r="E211" s="10" t="s">
        <v>2153</v>
      </c>
      <c r="F211" s="10" t="s">
        <v>2905</v>
      </c>
      <c r="G211" s="10" t="s">
        <v>1121</v>
      </c>
      <c r="H211" s="10" t="s">
        <v>1122</v>
      </c>
      <c r="I211" s="10" t="s">
        <v>1141</v>
      </c>
      <c r="J211" s="10" t="s">
        <v>2058</v>
      </c>
      <c r="K211" s="10" t="s">
        <v>1125</v>
      </c>
      <c r="L211" s="10" t="s">
        <v>1126</v>
      </c>
      <c r="M211" s="11" t="s">
        <v>3106</v>
      </c>
    </row>
    <row r="212" spans="1:13" ht="62" customHeight="1">
      <c r="A212" s="8" t="s">
        <v>3134</v>
      </c>
      <c r="B212" s="8" t="s">
        <v>2297</v>
      </c>
      <c r="C212" s="8" t="s">
        <v>2298</v>
      </c>
      <c r="D212" s="8" t="s">
        <v>1131</v>
      </c>
      <c r="E212" s="8" t="s">
        <v>2299</v>
      </c>
      <c r="F212" s="8" t="s">
        <v>2905</v>
      </c>
      <c r="G212" s="8" t="s">
        <v>1121</v>
      </c>
      <c r="H212" s="8" t="s">
        <v>1134</v>
      </c>
      <c r="I212" s="8" t="s">
        <v>1141</v>
      </c>
      <c r="J212" s="8" t="s">
        <v>2286</v>
      </c>
      <c r="K212" s="8" t="s">
        <v>1125</v>
      </c>
      <c r="L212" s="8" t="s">
        <v>1161</v>
      </c>
      <c r="M212" s="9" t="s">
        <v>3106</v>
      </c>
    </row>
    <row r="213" spans="1:13" ht="62" customHeight="1">
      <c r="A213" s="10" t="s">
        <v>3135</v>
      </c>
      <c r="B213" s="10" t="s">
        <v>2301</v>
      </c>
      <c r="C213" s="10" t="s">
        <v>2302</v>
      </c>
      <c r="D213" s="10" t="s">
        <v>1131</v>
      </c>
      <c r="E213" s="10" t="s">
        <v>1291</v>
      </c>
      <c r="F213" s="10" t="s">
        <v>2905</v>
      </c>
      <c r="G213" s="10" t="s">
        <v>1121</v>
      </c>
      <c r="H213" s="10" t="s">
        <v>1134</v>
      </c>
      <c r="I213" s="10" t="s">
        <v>1141</v>
      </c>
      <c r="J213" s="10" t="s">
        <v>2058</v>
      </c>
      <c r="K213" s="10" t="s">
        <v>1125</v>
      </c>
      <c r="L213" s="10" t="s">
        <v>1161</v>
      </c>
      <c r="M213" s="11" t="s">
        <v>3106</v>
      </c>
    </row>
    <row r="214" spans="1:13" ht="62" customHeight="1">
      <c r="A214" s="8" t="s">
        <v>3136</v>
      </c>
      <c r="B214" s="8" t="s">
        <v>2304</v>
      </c>
      <c r="C214" s="8" t="s">
        <v>2305</v>
      </c>
      <c r="D214" s="8" t="s">
        <v>1131</v>
      </c>
      <c r="E214" s="8" t="s">
        <v>2209</v>
      </c>
      <c r="F214" s="8" t="s">
        <v>2905</v>
      </c>
      <c r="G214" s="8" t="s">
        <v>1121</v>
      </c>
      <c r="H214" s="8" t="s">
        <v>1134</v>
      </c>
      <c r="I214" s="8" t="s">
        <v>1141</v>
      </c>
      <c r="J214" s="8" t="s">
        <v>2210</v>
      </c>
      <c r="K214" s="8" t="s">
        <v>1125</v>
      </c>
      <c r="L214" s="8" t="s">
        <v>1161</v>
      </c>
      <c r="M214" s="9" t="s">
        <v>3106</v>
      </c>
    </row>
    <row r="215" spans="1:13" ht="62" customHeight="1">
      <c r="A215" s="10" t="s">
        <v>3137</v>
      </c>
      <c r="B215" s="10" t="s">
        <v>2307</v>
      </c>
      <c r="C215" s="10" t="s">
        <v>2308</v>
      </c>
      <c r="D215" s="10" t="s">
        <v>1131</v>
      </c>
      <c r="E215" s="10" t="s">
        <v>1276</v>
      </c>
      <c r="F215" s="10" t="s">
        <v>2905</v>
      </c>
      <c r="G215" s="10" t="s">
        <v>1121</v>
      </c>
      <c r="H215" s="10" t="s">
        <v>1134</v>
      </c>
      <c r="I215" s="10" t="s">
        <v>1141</v>
      </c>
      <c r="J215" s="10" t="s">
        <v>2210</v>
      </c>
      <c r="K215" s="10" t="s">
        <v>1125</v>
      </c>
      <c r="L215" s="10" t="s">
        <v>1161</v>
      </c>
      <c r="M215" s="11" t="s">
        <v>3106</v>
      </c>
    </row>
    <row r="216" spans="1:13" ht="62" customHeight="1">
      <c r="A216" s="8" t="s">
        <v>3138</v>
      </c>
      <c r="B216" s="8" t="s">
        <v>2310</v>
      </c>
      <c r="C216" s="8" t="s">
        <v>2311</v>
      </c>
      <c r="D216" s="8" t="s">
        <v>1131</v>
      </c>
      <c r="E216" s="8" t="s">
        <v>2312</v>
      </c>
      <c r="F216" s="8" t="s">
        <v>2905</v>
      </c>
      <c r="G216" s="8" t="s">
        <v>1121</v>
      </c>
      <c r="H216" s="8" t="s">
        <v>1134</v>
      </c>
      <c r="I216" s="8" t="s">
        <v>1141</v>
      </c>
      <c r="J216" s="8" t="s">
        <v>2257</v>
      </c>
      <c r="K216" s="8" t="s">
        <v>1125</v>
      </c>
      <c r="L216" s="8" t="s">
        <v>1161</v>
      </c>
      <c r="M216" s="9" t="s">
        <v>3106</v>
      </c>
    </row>
    <row r="217" spans="1:13" ht="62" customHeight="1">
      <c r="A217" s="10" t="s">
        <v>3139</v>
      </c>
      <c r="B217" s="10" t="s">
        <v>2314</v>
      </c>
      <c r="C217" s="10" t="s">
        <v>2315</v>
      </c>
      <c r="D217" s="10" t="s">
        <v>1131</v>
      </c>
      <c r="E217" s="10" t="s">
        <v>2209</v>
      </c>
      <c r="F217" s="10" t="s">
        <v>2905</v>
      </c>
      <c r="G217" s="10" t="s">
        <v>1121</v>
      </c>
      <c r="H217" s="10" t="s">
        <v>1134</v>
      </c>
      <c r="I217" s="10" t="s">
        <v>1141</v>
      </c>
      <c r="J217" s="10" t="s">
        <v>2316</v>
      </c>
      <c r="K217" s="10" t="s">
        <v>1125</v>
      </c>
      <c r="L217" s="10" t="s">
        <v>1161</v>
      </c>
      <c r="M217" s="11" t="s">
        <v>3106</v>
      </c>
    </row>
    <row r="218" spans="1:13" ht="62" customHeight="1">
      <c r="A218" s="8" t="s">
        <v>3140</v>
      </c>
      <c r="B218" s="8" t="s">
        <v>2318</v>
      </c>
      <c r="C218" s="8" t="s">
        <v>2319</v>
      </c>
      <c r="D218" s="8" t="s">
        <v>1131</v>
      </c>
      <c r="E218" s="8" t="s">
        <v>2320</v>
      </c>
      <c r="F218" s="8" t="s">
        <v>2905</v>
      </c>
      <c r="G218" s="8" t="s">
        <v>1121</v>
      </c>
      <c r="H218" s="8" t="s">
        <v>1134</v>
      </c>
      <c r="I218" s="8" t="s">
        <v>1141</v>
      </c>
      <c r="J218" s="8" t="s">
        <v>2286</v>
      </c>
      <c r="K218" s="8" t="s">
        <v>1125</v>
      </c>
      <c r="L218" s="8" t="s">
        <v>1161</v>
      </c>
      <c r="M218" s="9" t="s">
        <v>3106</v>
      </c>
    </row>
    <row r="219" spans="1:13" ht="62" customHeight="1">
      <c r="A219" s="10" t="s">
        <v>3141</v>
      </c>
      <c r="B219" s="10" t="s">
        <v>2322</v>
      </c>
      <c r="C219" s="10" t="s">
        <v>2323</v>
      </c>
      <c r="D219" s="10" t="s">
        <v>1131</v>
      </c>
      <c r="E219" s="10" t="s">
        <v>2209</v>
      </c>
      <c r="F219" s="10" t="s">
        <v>2905</v>
      </c>
      <c r="G219" s="10" t="s">
        <v>1121</v>
      </c>
      <c r="H219" s="10" t="s">
        <v>1134</v>
      </c>
      <c r="I219" s="10" t="s">
        <v>1141</v>
      </c>
      <c r="J219" s="10" t="s">
        <v>2316</v>
      </c>
      <c r="K219" s="10" t="s">
        <v>1125</v>
      </c>
      <c r="L219" s="10" t="s">
        <v>1161</v>
      </c>
      <c r="M219" s="11" t="s">
        <v>3106</v>
      </c>
    </row>
    <row r="220" spans="1:13" ht="62" customHeight="1">
      <c r="A220" s="8" t="s">
        <v>3142</v>
      </c>
      <c r="B220" s="8" t="s">
        <v>2325</v>
      </c>
      <c r="C220" s="8" t="s">
        <v>2326</v>
      </c>
      <c r="D220" s="8" t="s">
        <v>1131</v>
      </c>
      <c r="E220" s="8" t="s">
        <v>2209</v>
      </c>
      <c r="F220" s="8" t="s">
        <v>2905</v>
      </c>
      <c r="G220" s="8" t="s">
        <v>1121</v>
      </c>
      <c r="H220" s="8" t="s">
        <v>1134</v>
      </c>
      <c r="I220" s="8" t="s">
        <v>1141</v>
      </c>
      <c r="J220" s="8" t="s">
        <v>2210</v>
      </c>
      <c r="K220" s="8" t="s">
        <v>1125</v>
      </c>
      <c r="L220" s="8" t="s">
        <v>1161</v>
      </c>
      <c r="M220" s="9" t="s">
        <v>3106</v>
      </c>
    </row>
    <row r="221" spans="1:13" ht="62" customHeight="1">
      <c r="A221" s="10" t="s">
        <v>3143</v>
      </c>
      <c r="B221" s="10" t="s">
        <v>2328</v>
      </c>
      <c r="C221" s="10" t="s">
        <v>2329</v>
      </c>
      <c r="D221" s="10" t="s">
        <v>1131</v>
      </c>
      <c r="E221" s="10" t="s">
        <v>2209</v>
      </c>
      <c r="F221" s="10" t="s">
        <v>2905</v>
      </c>
      <c r="G221" s="10" t="s">
        <v>1121</v>
      </c>
      <c r="H221" s="10" t="s">
        <v>1134</v>
      </c>
      <c r="I221" s="10" t="s">
        <v>1141</v>
      </c>
      <c r="J221" s="10" t="s">
        <v>2210</v>
      </c>
      <c r="K221" s="10" t="s">
        <v>1125</v>
      </c>
      <c r="L221" s="10" t="s">
        <v>1161</v>
      </c>
      <c r="M221" s="11" t="s">
        <v>3106</v>
      </c>
    </row>
    <row r="222" spans="1:13" ht="62" customHeight="1">
      <c r="A222" s="8" t="s">
        <v>3144</v>
      </c>
      <c r="B222" s="8" t="s">
        <v>2331</v>
      </c>
      <c r="C222" s="8" t="s">
        <v>2332</v>
      </c>
      <c r="D222" s="8" t="s">
        <v>1131</v>
      </c>
      <c r="E222" s="8" t="s">
        <v>1459</v>
      </c>
      <c r="F222" s="8" t="s">
        <v>2905</v>
      </c>
      <c r="G222" s="8" t="s">
        <v>1121</v>
      </c>
      <c r="H222" s="8" t="s">
        <v>1134</v>
      </c>
      <c r="I222" s="8" t="s">
        <v>1141</v>
      </c>
      <c r="J222" s="8" t="s">
        <v>2286</v>
      </c>
      <c r="K222" s="8" t="s">
        <v>1125</v>
      </c>
      <c r="L222" s="8" t="s">
        <v>1161</v>
      </c>
      <c r="M222" s="9" t="s">
        <v>3106</v>
      </c>
    </row>
    <row r="223" spans="1:13" ht="62" customHeight="1">
      <c r="A223" s="10" t="s">
        <v>3145</v>
      </c>
      <c r="B223" s="10" t="s">
        <v>2334</v>
      </c>
      <c r="C223" s="10" t="s">
        <v>2335</v>
      </c>
      <c r="D223" s="10" t="s">
        <v>1131</v>
      </c>
      <c r="E223" s="10" t="s">
        <v>1276</v>
      </c>
      <c r="F223" s="10" t="s">
        <v>2905</v>
      </c>
      <c r="G223" s="10" t="s">
        <v>1121</v>
      </c>
      <c r="H223" s="10" t="s">
        <v>1134</v>
      </c>
      <c r="I223" s="10" t="s">
        <v>1141</v>
      </c>
      <c r="J223" s="10" t="s">
        <v>2316</v>
      </c>
      <c r="K223" s="10" t="s">
        <v>1125</v>
      </c>
      <c r="L223" s="10" t="s">
        <v>1161</v>
      </c>
      <c r="M223" s="11" t="s">
        <v>3106</v>
      </c>
    </row>
    <row r="224" spans="1:13" ht="62" customHeight="1">
      <c r="A224" s="8" t="s">
        <v>3146</v>
      </c>
      <c r="B224" s="8" t="s">
        <v>2337</v>
      </c>
      <c r="C224" s="8" t="s">
        <v>2338</v>
      </c>
      <c r="D224" s="8" t="s">
        <v>1131</v>
      </c>
      <c r="E224" s="8" t="s">
        <v>1420</v>
      </c>
      <c r="F224" s="8" t="s">
        <v>2905</v>
      </c>
      <c r="G224" s="8" t="s">
        <v>1121</v>
      </c>
      <c r="H224" s="8" t="s">
        <v>1134</v>
      </c>
      <c r="I224" s="8" t="s">
        <v>1141</v>
      </c>
      <c r="J224" s="8" t="s">
        <v>2286</v>
      </c>
      <c r="K224" s="8" t="s">
        <v>1125</v>
      </c>
      <c r="L224" s="8" t="s">
        <v>1161</v>
      </c>
      <c r="M224" s="9" t="s">
        <v>3106</v>
      </c>
    </row>
    <row r="225" spans="1:13" ht="62" customHeight="1">
      <c r="A225" s="10" t="s">
        <v>3147</v>
      </c>
      <c r="B225" s="10" t="s">
        <v>2340</v>
      </c>
      <c r="C225" s="10" t="s">
        <v>2341</v>
      </c>
      <c r="D225" s="10" t="s">
        <v>1131</v>
      </c>
      <c r="E225" s="10" t="s">
        <v>2209</v>
      </c>
      <c r="F225" s="10" t="s">
        <v>2905</v>
      </c>
      <c r="G225" s="10" t="s">
        <v>1121</v>
      </c>
      <c r="H225" s="10" t="s">
        <v>1134</v>
      </c>
      <c r="I225" s="10" t="s">
        <v>1141</v>
      </c>
      <c r="J225" s="10" t="s">
        <v>2210</v>
      </c>
      <c r="K225" s="10" t="s">
        <v>1125</v>
      </c>
      <c r="L225" s="10" t="s">
        <v>1161</v>
      </c>
      <c r="M225" s="11" t="s">
        <v>3106</v>
      </c>
    </row>
    <row r="226" spans="1:13" ht="62" customHeight="1">
      <c r="A226" s="8" t="s">
        <v>3148</v>
      </c>
      <c r="B226" s="8" t="s">
        <v>2343</v>
      </c>
      <c r="C226" s="8" t="s">
        <v>2344</v>
      </c>
      <c r="D226" s="8" t="s">
        <v>1131</v>
      </c>
      <c r="E226" s="8" t="s">
        <v>1548</v>
      </c>
      <c r="F226" s="8" t="s">
        <v>2905</v>
      </c>
      <c r="G226" s="8" t="s">
        <v>1121</v>
      </c>
      <c r="H226" s="8" t="s">
        <v>1134</v>
      </c>
      <c r="I226" s="8" t="s">
        <v>1141</v>
      </c>
      <c r="J226" s="8" t="s">
        <v>2210</v>
      </c>
      <c r="K226" s="8" t="s">
        <v>1125</v>
      </c>
      <c r="L226" s="8" t="s">
        <v>1161</v>
      </c>
      <c r="M226" s="9" t="s">
        <v>3106</v>
      </c>
    </row>
    <row r="227" spans="1:13" ht="62" customHeight="1">
      <c r="A227" s="10" t="s">
        <v>3149</v>
      </c>
      <c r="B227" s="10" t="s">
        <v>2346</v>
      </c>
      <c r="C227" s="10" t="s">
        <v>2347</v>
      </c>
      <c r="D227" s="10" t="s">
        <v>1131</v>
      </c>
      <c r="E227" s="10" t="s">
        <v>2348</v>
      </c>
      <c r="F227" s="10" t="s">
        <v>2905</v>
      </c>
      <c r="G227" s="10" t="s">
        <v>1121</v>
      </c>
      <c r="H227" s="10" t="s">
        <v>1134</v>
      </c>
      <c r="I227" s="10" t="s">
        <v>1141</v>
      </c>
      <c r="J227" s="10" t="s">
        <v>2286</v>
      </c>
      <c r="K227" s="10" t="s">
        <v>1125</v>
      </c>
      <c r="L227" s="10" t="s">
        <v>1161</v>
      </c>
      <c r="M227" s="11" t="s">
        <v>3106</v>
      </c>
    </row>
    <row r="228" spans="1:13" ht="62" customHeight="1">
      <c r="A228" s="8" t="s">
        <v>3150</v>
      </c>
      <c r="B228" s="8" t="s">
        <v>2350</v>
      </c>
      <c r="C228" s="8" t="s">
        <v>2351</v>
      </c>
      <c r="D228" s="8" t="s">
        <v>1131</v>
      </c>
      <c r="E228" s="8" t="s">
        <v>1132</v>
      </c>
      <c r="F228" s="8" t="s">
        <v>2905</v>
      </c>
      <c r="G228" s="8" t="s">
        <v>1121</v>
      </c>
      <c r="H228" s="8" t="s">
        <v>1134</v>
      </c>
      <c r="I228" s="8" t="s">
        <v>1141</v>
      </c>
      <c r="J228" s="8" t="s">
        <v>2286</v>
      </c>
      <c r="K228" s="8" t="s">
        <v>1135</v>
      </c>
      <c r="L228" s="8" t="s">
        <v>1161</v>
      </c>
      <c r="M228" s="9" t="s">
        <v>3106</v>
      </c>
    </row>
    <row r="229" spans="1:13" ht="62" customHeight="1">
      <c r="A229" s="10" t="s">
        <v>3151</v>
      </c>
      <c r="B229" s="10" t="s">
        <v>2353</v>
      </c>
      <c r="C229" s="10" t="s">
        <v>2354</v>
      </c>
      <c r="D229" s="10" t="s">
        <v>1131</v>
      </c>
      <c r="E229" s="10" t="s">
        <v>1420</v>
      </c>
      <c r="F229" s="10" t="s">
        <v>2905</v>
      </c>
      <c r="G229" s="10" t="s">
        <v>1121</v>
      </c>
      <c r="H229" s="10" t="s">
        <v>1134</v>
      </c>
      <c r="I229" s="10" t="s">
        <v>1141</v>
      </c>
      <c r="J229" s="10" t="s">
        <v>1811</v>
      </c>
      <c r="K229" s="10" t="s">
        <v>1125</v>
      </c>
      <c r="L229" s="10" t="s">
        <v>1161</v>
      </c>
      <c r="M229" s="11" t="s">
        <v>3106</v>
      </c>
    </row>
    <row r="230" spans="1:13" ht="62" customHeight="1">
      <c r="A230" s="8" t="s">
        <v>3152</v>
      </c>
      <c r="B230" s="8" t="s">
        <v>2356</v>
      </c>
      <c r="C230" s="8" t="s">
        <v>2357</v>
      </c>
      <c r="D230" s="8" t="s">
        <v>1131</v>
      </c>
      <c r="E230" s="8" t="s">
        <v>2209</v>
      </c>
      <c r="F230" s="8" t="s">
        <v>2905</v>
      </c>
      <c r="G230" s="8" t="s">
        <v>1121</v>
      </c>
      <c r="H230" s="8" t="s">
        <v>1134</v>
      </c>
      <c r="I230" s="8" t="s">
        <v>1141</v>
      </c>
      <c r="J230" s="8" t="s">
        <v>2210</v>
      </c>
      <c r="K230" s="8" t="s">
        <v>1125</v>
      </c>
      <c r="L230" s="8" t="s">
        <v>1161</v>
      </c>
      <c r="M230" s="9" t="s">
        <v>3106</v>
      </c>
    </row>
    <row r="231" spans="1:13" ht="62" customHeight="1">
      <c r="A231" s="10" t="s">
        <v>3153</v>
      </c>
      <c r="B231" s="10" t="s">
        <v>2359</v>
      </c>
      <c r="C231" s="10" t="s">
        <v>2360</v>
      </c>
      <c r="D231" s="10" t="s">
        <v>1131</v>
      </c>
      <c r="E231" s="10" t="s">
        <v>2209</v>
      </c>
      <c r="F231" s="10" t="s">
        <v>2905</v>
      </c>
      <c r="G231" s="10" t="s">
        <v>1121</v>
      </c>
      <c r="H231" s="10" t="s">
        <v>1134</v>
      </c>
      <c r="I231" s="10" t="s">
        <v>1141</v>
      </c>
      <c r="J231" s="10" t="s">
        <v>2210</v>
      </c>
      <c r="K231" s="10" t="s">
        <v>1125</v>
      </c>
      <c r="L231" s="10" t="s">
        <v>1161</v>
      </c>
      <c r="M231" s="11" t="s">
        <v>3106</v>
      </c>
    </row>
    <row r="232" spans="1:13" ht="62" customHeight="1">
      <c r="A232" s="8" t="s">
        <v>3154</v>
      </c>
      <c r="B232" s="8" t="s">
        <v>2362</v>
      </c>
      <c r="C232" s="8" t="s">
        <v>2363</v>
      </c>
      <c r="D232" s="8" t="s">
        <v>1131</v>
      </c>
      <c r="E232" s="8" t="s">
        <v>1276</v>
      </c>
      <c r="F232" s="8" t="s">
        <v>2905</v>
      </c>
      <c r="G232" s="8" t="s">
        <v>1121</v>
      </c>
      <c r="H232" s="8" t="s">
        <v>1134</v>
      </c>
      <c r="I232" s="8" t="s">
        <v>1141</v>
      </c>
      <c r="J232" s="8" t="s">
        <v>2210</v>
      </c>
      <c r="K232" s="8" t="s">
        <v>1125</v>
      </c>
      <c r="L232" s="8" t="s">
        <v>1161</v>
      </c>
      <c r="M232" s="9" t="s">
        <v>3106</v>
      </c>
    </row>
    <row r="233" spans="1:13" ht="62" customHeight="1">
      <c r="A233" s="10" t="s">
        <v>3155</v>
      </c>
      <c r="B233" s="10" t="s">
        <v>2365</v>
      </c>
      <c r="C233" s="10" t="s">
        <v>2366</v>
      </c>
      <c r="D233" s="10" t="s">
        <v>1131</v>
      </c>
      <c r="E233" s="10" t="s">
        <v>1459</v>
      </c>
      <c r="F233" s="10" t="s">
        <v>2905</v>
      </c>
      <c r="G233" s="10" t="s">
        <v>1121</v>
      </c>
      <c r="H233" s="10" t="s">
        <v>1134</v>
      </c>
      <c r="I233" s="10" t="s">
        <v>1141</v>
      </c>
      <c r="J233" s="10" t="s">
        <v>2286</v>
      </c>
      <c r="K233" s="10" t="s">
        <v>1125</v>
      </c>
      <c r="L233" s="10" t="s">
        <v>1161</v>
      </c>
      <c r="M233" s="11" t="s">
        <v>3106</v>
      </c>
    </row>
    <row r="234" spans="1:13" ht="62" customHeight="1">
      <c r="A234" s="8" t="s">
        <v>3156</v>
      </c>
      <c r="B234" s="8" t="s">
        <v>2368</v>
      </c>
      <c r="C234" s="8" t="s">
        <v>2369</v>
      </c>
      <c r="D234" s="8" t="s">
        <v>1131</v>
      </c>
      <c r="E234" s="8" t="s">
        <v>1276</v>
      </c>
      <c r="F234" s="8" t="s">
        <v>2905</v>
      </c>
      <c r="G234" s="8" t="s">
        <v>1121</v>
      </c>
      <c r="H234" s="8" t="s">
        <v>1134</v>
      </c>
      <c r="I234" s="8" t="s">
        <v>1141</v>
      </c>
      <c r="J234" s="8" t="s">
        <v>2210</v>
      </c>
      <c r="K234" s="8" t="s">
        <v>1125</v>
      </c>
      <c r="L234" s="8" t="s">
        <v>1161</v>
      </c>
      <c r="M234" s="9" t="s">
        <v>3106</v>
      </c>
    </row>
    <row r="235" spans="1:13" ht="62" customHeight="1">
      <c r="A235" s="10" t="s">
        <v>3157</v>
      </c>
      <c r="B235" s="10" t="s">
        <v>2371</v>
      </c>
      <c r="C235" s="10" t="s">
        <v>2372</v>
      </c>
      <c r="D235" s="10" t="s">
        <v>1131</v>
      </c>
      <c r="E235" s="10" t="s">
        <v>1276</v>
      </c>
      <c r="F235" s="10" t="s">
        <v>2905</v>
      </c>
      <c r="G235" s="10" t="s">
        <v>1121</v>
      </c>
      <c r="H235" s="10" t="s">
        <v>1134</v>
      </c>
      <c r="I235" s="10" t="s">
        <v>1141</v>
      </c>
      <c r="J235" s="10" t="s">
        <v>2210</v>
      </c>
      <c r="K235" s="10" t="s">
        <v>1125</v>
      </c>
      <c r="L235" s="10" t="s">
        <v>1161</v>
      </c>
      <c r="M235" s="11" t="s">
        <v>3106</v>
      </c>
    </row>
    <row r="236" spans="1:13" ht="62" customHeight="1">
      <c r="A236" s="8" t="s">
        <v>3158</v>
      </c>
      <c r="B236" s="8" t="s">
        <v>2374</v>
      </c>
      <c r="C236" s="8" t="s">
        <v>2375</v>
      </c>
      <c r="D236" s="8" t="s">
        <v>1131</v>
      </c>
      <c r="E236" s="8" t="s">
        <v>2209</v>
      </c>
      <c r="F236" s="8" t="s">
        <v>2905</v>
      </c>
      <c r="G236" s="8" t="s">
        <v>1121</v>
      </c>
      <c r="H236" s="8" t="s">
        <v>1134</v>
      </c>
      <c r="I236" s="8" t="s">
        <v>1141</v>
      </c>
      <c r="J236" s="8" t="s">
        <v>1146</v>
      </c>
      <c r="K236" s="8" t="s">
        <v>1125</v>
      </c>
      <c r="L236" s="8" t="s">
        <v>1161</v>
      </c>
      <c r="M236" s="9" t="s">
        <v>3106</v>
      </c>
    </row>
    <row r="237" spans="1:13" ht="62" customHeight="1">
      <c r="A237" s="10" t="s">
        <v>3159</v>
      </c>
      <c r="B237" s="10" t="s">
        <v>2377</v>
      </c>
      <c r="C237" s="10" t="s">
        <v>2378</v>
      </c>
      <c r="D237" s="10" t="s">
        <v>1131</v>
      </c>
      <c r="E237" s="10" t="s">
        <v>2209</v>
      </c>
      <c r="F237" s="10" t="s">
        <v>2905</v>
      </c>
      <c r="G237" s="10" t="s">
        <v>1121</v>
      </c>
      <c r="H237" s="10" t="s">
        <v>1134</v>
      </c>
      <c r="I237" s="10" t="s">
        <v>1141</v>
      </c>
      <c r="J237" s="10" t="s">
        <v>2210</v>
      </c>
      <c r="K237" s="10" t="s">
        <v>1125</v>
      </c>
      <c r="L237" s="10" t="s">
        <v>1161</v>
      </c>
      <c r="M237" s="11" t="s">
        <v>3106</v>
      </c>
    </row>
    <row r="238" spans="1:13" ht="62" customHeight="1">
      <c r="A238" s="8" t="s">
        <v>3160</v>
      </c>
      <c r="B238" s="8" t="s">
        <v>2380</v>
      </c>
      <c r="C238" s="8" t="s">
        <v>2381</v>
      </c>
      <c r="D238" s="8" t="s">
        <v>1131</v>
      </c>
      <c r="E238" s="8" t="s">
        <v>1119</v>
      </c>
      <c r="F238" s="8" t="s">
        <v>2905</v>
      </c>
      <c r="G238" s="8" t="s">
        <v>1121</v>
      </c>
      <c r="H238" s="8" t="s">
        <v>1122</v>
      </c>
      <c r="I238" s="8" t="s">
        <v>1123</v>
      </c>
      <c r="J238" s="8" t="s">
        <v>1124</v>
      </c>
      <c r="K238" s="8" t="s">
        <v>1125</v>
      </c>
      <c r="L238" s="8" t="s">
        <v>1126</v>
      </c>
      <c r="M238" s="9" t="s">
        <v>3106</v>
      </c>
    </row>
    <row r="239" spans="1:13" ht="62" customHeight="1">
      <c r="A239" s="10" t="s">
        <v>3161</v>
      </c>
      <c r="B239" s="10" t="s">
        <v>2383</v>
      </c>
      <c r="C239" s="10" t="s">
        <v>2384</v>
      </c>
      <c r="D239" s="10" t="s">
        <v>1131</v>
      </c>
      <c r="E239" s="10" t="s">
        <v>2209</v>
      </c>
      <c r="F239" s="10" t="s">
        <v>2905</v>
      </c>
      <c r="G239" s="10" t="s">
        <v>1121</v>
      </c>
      <c r="H239" s="10" t="s">
        <v>1134</v>
      </c>
      <c r="I239" s="10" t="s">
        <v>1141</v>
      </c>
      <c r="J239" s="10" t="s">
        <v>2210</v>
      </c>
      <c r="K239" s="10" t="s">
        <v>1125</v>
      </c>
      <c r="L239" s="10" t="s">
        <v>1161</v>
      </c>
      <c r="M239" s="11" t="s">
        <v>3106</v>
      </c>
    </row>
    <row r="240" spans="1:13" ht="62" customHeight="1">
      <c r="A240" s="8" t="s">
        <v>3162</v>
      </c>
      <c r="B240" s="8" t="s">
        <v>2386</v>
      </c>
      <c r="C240" s="8" t="s">
        <v>2387</v>
      </c>
      <c r="D240" s="8" t="s">
        <v>2388</v>
      </c>
      <c r="E240" s="8" t="s">
        <v>1132</v>
      </c>
      <c r="F240" s="8" t="s">
        <v>2905</v>
      </c>
      <c r="G240" s="8" t="s">
        <v>1133</v>
      </c>
      <c r="H240" s="8" t="s">
        <v>1134</v>
      </c>
      <c r="I240" s="8" t="s">
        <v>1180</v>
      </c>
      <c r="J240" s="8" t="s">
        <v>1205</v>
      </c>
      <c r="K240" s="8" t="s">
        <v>1135</v>
      </c>
      <c r="L240" s="12" t="s">
        <v>1136</v>
      </c>
      <c r="M240" s="9" t="s">
        <v>2906</v>
      </c>
    </row>
    <row r="241" spans="1:13" ht="62" customHeight="1">
      <c r="A241" s="10" t="s">
        <v>3163</v>
      </c>
      <c r="B241" s="10" t="s">
        <v>2390</v>
      </c>
      <c r="C241" s="10" t="s">
        <v>2391</v>
      </c>
      <c r="D241" s="10" t="s">
        <v>1131</v>
      </c>
      <c r="E241" s="10" t="s">
        <v>2392</v>
      </c>
      <c r="F241" s="10" t="s">
        <v>2905</v>
      </c>
      <c r="G241" s="10" t="s">
        <v>1133</v>
      </c>
      <c r="H241" s="10" t="s">
        <v>1134</v>
      </c>
      <c r="I241" s="10" t="s">
        <v>1180</v>
      </c>
      <c r="J241" s="10" t="s">
        <v>1205</v>
      </c>
      <c r="K241" s="10" t="s">
        <v>1125</v>
      </c>
      <c r="L241" s="12" t="s">
        <v>1136</v>
      </c>
      <c r="M241" s="11" t="s">
        <v>2906</v>
      </c>
    </row>
    <row r="242" spans="1:13" ht="62" customHeight="1">
      <c r="A242" s="8" t="s">
        <v>3164</v>
      </c>
      <c r="B242" s="8" t="s">
        <v>2394</v>
      </c>
      <c r="C242" s="8" t="s">
        <v>2395</v>
      </c>
      <c r="D242" s="8" t="s">
        <v>2396</v>
      </c>
      <c r="E242" s="8" t="s">
        <v>2397</v>
      </c>
      <c r="F242" s="8" t="s">
        <v>2905</v>
      </c>
      <c r="G242" s="8" t="s">
        <v>1133</v>
      </c>
      <c r="H242" s="8" t="s">
        <v>1134</v>
      </c>
      <c r="I242" s="8" t="s">
        <v>1141</v>
      </c>
      <c r="J242" s="8" t="s">
        <v>1205</v>
      </c>
      <c r="K242" s="8" t="s">
        <v>1125</v>
      </c>
      <c r="L242" s="12" t="s">
        <v>1136</v>
      </c>
      <c r="M242" s="9" t="s">
        <v>2906</v>
      </c>
    </row>
    <row r="243" spans="1:13" ht="62" customHeight="1">
      <c r="A243" s="10" t="s">
        <v>3165</v>
      </c>
      <c r="B243" s="10" t="s">
        <v>2399</v>
      </c>
      <c r="C243" s="10" t="s">
        <v>2400</v>
      </c>
      <c r="D243" s="10" t="s">
        <v>1131</v>
      </c>
      <c r="E243" s="10" t="s">
        <v>1291</v>
      </c>
      <c r="F243" s="10" t="s">
        <v>2905</v>
      </c>
      <c r="G243" s="10" t="s">
        <v>1121</v>
      </c>
      <c r="H243" s="10" t="s">
        <v>1122</v>
      </c>
      <c r="I243" s="10" t="s">
        <v>1141</v>
      </c>
      <c r="J243" s="10" t="s">
        <v>2024</v>
      </c>
      <c r="K243" s="10" t="s">
        <v>1243</v>
      </c>
      <c r="L243" s="10" t="s">
        <v>1126</v>
      </c>
      <c r="M243" s="11" t="s">
        <v>2915</v>
      </c>
    </row>
    <row r="244" spans="1:13" ht="62" customHeight="1">
      <c r="A244" s="8" t="s">
        <v>3166</v>
      </c>
      <c r="B244" s="8" t="s">
        <v>2402</v>
      </c>
      <c r="C244" s="8" t="s">
        <v>2403</v>
      </c>
      <c r="D244" s="8" t="s">
        <v>1131</v>
      </c>
      <c r="E244" s="8" t="s">
        <v>1132</v>
      </c>
      <c r="F244" s="8" t="s">
        <v>2905</v>
      </c>
      <c r="G244" s="8" t="s">
        <v>1121</v>
      </c>
      <c r="H244" s="8" t="s">
        <v>1122</v>
      </c>
      <c r="I244" s="8" t="s">
        <v>1141</v>
      </c>
      <c r="J244" s="8" t="s">
        <v>2404</v>
      </c>
      <c r="K244" s="8" t="s">
        <v>1135</v>
      </c>
      <c r="L244" s="8" t="s">
        <v>1126</v>
      </c>
      <c r="M244" s="9" t="s">
        <v>2906</v>
      </c>
    </row>
    <row r="245" spans="1:13" ht="62" customHeight="1">
      <c r="A245" s="10" t="s">
        <v>3167</v>
      </c>
      <c r="B245" s="10" t="s">
        <v>2406</v>
      </c>
      <c r="C245" s="10" t="s">
        <v>2407</v>
      </c>
      <c r="D245" s="10" t="s">
        <v>1131</v>
      </c>
      <c r="E245" s="10" t="s">
        <v>2408</v>
      </c>
      <c r="F245" s="10" t="s">
        <v>2905</v>
      </c>
      <c r="G245" s="10" t="s">
        <v>1121</v>
      </c>
      <c r="H245" s="10" t="s">
        <v>1122</v>
      </c>
      <c r="I245" s="10" t="s">
        <v>1141</v>
      </c>
      <c r="J245" s="10" t="s">
        <v>2409</v>
      </c>
      <c r="K245" s="10" t="s">
        <v>1243</v>
      </c>
      <c r="L245" s="10" t="s">
        <v>1126</v>
      </c>
      <c r="M245" s="11" t="s">
        <v>2906</v>
      </c>
    </row>
    <row r="246" spans="1:13" ht="62" customHeight="1">
      <c r="A246" s="8" t="s">
        <v>3168</v>
      </c>
      <c r="B246" s="8" t="s">
        <v>2411</v>
      </c>
      <c r="C246" s="8" t="s">
        <v>2412</v>
      </c>
      <c r="D246" s="8" t="s">
        <v>1131</v>
      </c>
      <c r="E246" s="8" t="s">
        <v>2408</v>
      </c>
      <c r="F246" s="8" t="s">
        <v>2905</v>
      </c>
      <c r="G246" s="8" t="s">
        <v>1121</v>
      </c>
      <c r="H246" s="8" t="s">
        <v>1122</v>
      </c>
      <c r="I246" s="8" t="s">
        <v>1141</v>
      </c>
      <c r="J246" s="8" t="s">
        <v>2413</v>
      </c>
      <c r="K246" s="8" t="s">
        <v>1243</v>
      </c>
      <c r="L246" s="8" t="s">
        <v>1126</v>
      </c>
      <c r="M246" s="9" t="s">
        <v>2906</v>
      </c>
    </row>
    <row r="247" spans="1:13" ht="62" customHeight="1">
      <c r="A247" s="10" t="s">
        <v>3169</v>
      </c>
      <c r="B247" s="10" t="s">
        <v>2415</v>
      </c>
      <c r="C247" s="10" t="s">
        <v>2416</v>
      </c>
      <c r="D247" s="10" t="s">
        <v>1131</v>
      </c>
      <c r="E247" s="10" t="s">
        <v>2417</v>
      </c>
      <c r="F247" s="10" t="s">
        <v>2905</v>
      </c>
      <c r="G247" s="10" t="s">
        <v>1121</v>
      </c>
      <c r="H247" s="10" t="s">
        <v>1122</v>
      </c>
      <c r="I247" s="10" t="s">
        <v>1141</v>
      </c>
      <c r="J247" s="10" t="s">
        <v>1292</v>
      </c>
      <c r="K247" s="10" t="s">
        <v>1243</v>
      </c>
      <c r="L247" s="10" t="s">
        <v>1126</v>
      </c>
      <c r="M247" s="11" t="s">
        <v>2943</v>
      </c>
    </row>
    <row r="248" spans="1:13" ht="62" customHeight="1">
      <c r="A248" s="8" t="s">
        <v>3170</v>
      </c>
      <c r="B248" s="8" t="s">
        <v>2419</v>
      </c>
      <c r="C248" s="8" t="s">
        <v>2420</v>
      </c>
      <c r="D248" s="8" t="s">
        <v>1131</v>
      </c>
      <c r="E248" s="8" t="s">
        <v>1371</v>
      </c>
      <c r="F248" s="8" t="s">
        <v>2905</v>
      </c>
      <c r="G248" s="8" t="s">
        <v>1121</v>
      </c>
      <c r="H248" s="8" t="s">
        <v>1122</v>
      </c>
      <c r="I248" s="8" t="s">
        <v>1141</v>
      </c>
      <c r="J248" s="8" t="s">
        <v>1188</v>
      </c>
      <c r="K248" s="8" t="s">
        <v>1243</v>
      </c>
      <c r="L248" s="8" t="s">
        <v>1126</v>
      </c>
      <c r="M248" s="9" t="s">
        <v>2943</v>
      </c>
    </row>
    <row r="249" spans="1:13" ht="62" customHeight="1">
      <c r="A249" s="10" t="s">
        <v>3171</v>
      </c>
      <c r="B249" s="10" t="s">
        <v>2422</v>
      </c>
      <c r="C249" s="10" t="s">
        <v>2423</v>
      </c>
      <c r="D249" s="10" t="s">
        <v>2424</v>
      </c>
      <c r="E249" s="10" t="s">
        <v>2425</v>
      </c>
      <c r="F249" s="10" t="s">
        <v>2905</v>
      </c>
      <c r="G249" s="10" t="s">
        <v>1121</v>
      </c>
      <c r="H249" s="10" t="s">
        <v>1122</v>
      </c>
      <c r="I249" s="10" t="s">
        <v>1141</v>
      </c>
      <c r="J249" s="10" t="s">
        <v>2426</v>
      </c>
      <c r="K249" s="10" t="s">
        <v>1243</v>
      </c>
      <c r="L249" s="10" t="s">
        <v>1126</v>
      </c>
      <c r="M249" s="11" t="s">
        <v>2915</v>
      </c>
    </row>
    <row r="250" spans="1:13" ht="62" customHeight="1">
      <c r="A250" s="8" t="s">
        <v>3172</v>
      </c>
      <c r="B250" s="8" t="s">
        <v>2433</v>
      </c>
      <c r="C250" s="8" t="s">
        <v>2434</v>
      </c>
      <c r="D250" s="8" t="s">
        <v>2435</v>
      </c>
      <c r="E250" s="8" t="s">
        <v>1930</v>
      </c>
      <c r="F250" s="8" t="s">
        <v>2905</v>
      </c>
      <c r="G250" s="8" t="s">
        <v>1121</v>
      </c>
      <c r="H250" s="8" t="s">
        <v>1122</v>
      </c>
      <c r="I250" s="8" t="s">
        <v>1141</v>
      </c>
      <c r="J250" s="8" t="s">
        <v>2426</v>
      </c>
      <c r="K250" s="8" t="s">
        <v>1243</v>
      </c>
      <c r="L250" s="8" t="s">
        <v>1126</v>
      </c>
      <c r="M250" s="9" t="s">
        <v>2915</v>
      </c>
    </row>
    <row r="251" spans="1:13" ht="62" customHeight="1">
      <c r="A251" s="10" t="s">
        <v>3173</v>
      </c>
      <c r="B251" s="10" t="s">
        <v>2437</v>
      </c>
      <c r="C251" s="10" t="s">
        <v>2438</v>
      </c>
      <c r="D251" s="10" t="s">
        <v>1131</v>
      </c>
      <c r="E251" s="10" t="s">
        <v>1709</v>
      </c>
      <c r="F251" s="10" t="s">
        <v>2905</v>
      </c>
      <c r="G251" s="10" t="s">
        <v>1121</v>
      </c>
      <c r="H251" s="10" t="s">
        <v>1122</v>
      </c>
      <c r="I251" s="10" t="s">
        <v>1141</v>
      </c>
      <c r="J251" s="10" t="s">
        <v>2439</v>
      </c>
      <c r="K251" s="10" t="s">
        <v>1125</v>
      </c>
      <c r="L251" s="10" t="s">
        <v>1126</v>
      </c>
      <c r="M251" s="11" t="s">
        <v>2943</v>
      </c>
    </row>
    <row r="252" spans="1:13" ht="62" customHeight="1">
      <c r="A252" s="8" t="s">
        <v>3174</v>
      </c>
      <c r="B252" s="8" t="s">
        <v>2441</v>
      </c>
      <c r="C252" s="8" t="s">
        <v>2442</v>
      </c>
      <c r="D252" s="8" t="s">
        <v>1131</v>
      </c>
      <c r="E252" s="8" t="s">
        <v>2443</v>
      </c>
      <c r="F252" s="8" t="s">
        <v>2905</v>
      </c>
      <c r="G252" s="8" t="s">
        <v>1121</v>
      </c>
      <c r="H252" s="8" t="s">
        <v>1122</v>
      </c>
      <c r="I252" s="8" t="s">
        <v>1141</v>
      </c>
      <c r="J252" s="8" t="s">
        <v>2439</v>
      </c>
      <c r="K252" s="8" t="s">
        <v>1125</v>
      </c>
      <c r="L252" s="8" t="s">
        <v>1126</v>
      </c>
      <c r="M252" s="9" t="s">
        <v>2943</v>
      </c>
    </row>
    <row r="253" spans="1:13" ht="62" customHeight="1">
      <c r="A253" s="10" t="s">
        <v>3175</v>
      </c>
      <c r="B253" s="10" t="s">
        <v>2445</v>
      </c>
      <c r="C253" s="10" t="s">
        <v>2446</v>
      </c>
      <c r="D253" s="10" t="s">
        <v>2447</v>
      </c>
      <c r="E253" s="10" t="s">
        <v>1132</v>
      </c>
      <c r="F253" s="10" t="s">
        <v>2905</v>
      </c>
      <c r="G253" s="10" t="s">
        <v>1133</v>
      </c>
      <c r="H253" s="10" t="s">
        <v>1134</v>
      </c>
      <c r="I253" s="10" t="s">
        <v>1180</v>
      </c>
      <c r="J253" s="10" t="s">
        <v>1205</v>
      </c>
      <c r="K253" s="10" t="s">
        <v>1135</v>
      </c>
      <c r="L253" s="12" t="s">
        <v>1136</v>
      </c>
      <c r="M253" s="11" t="s">
        <v>2934</v>
      </c>
    </row>
    <row r="254" spans="1:13" ht="62" customHeight="1">
      <c r="A254" s="8" t="s">
        <v>3176</v>
      </c>
      <c r="B254" s="8" t="s">
        <v>2449</v>
      </c>
      <c r="C254" s="8" t="s">
        <v>2450</v>
      </c>
      <c r="D254" s="8" t="s">
        <v>1285</v>
      </c>
      <c r="E254" s="8" t="s">
        <v>1119</v>
      </c>
      <c r="F254" s="8" t="s">
        <v>2905</v>
      </c>
      <c r="G254" s="8" t="s">
        <v>1133</v>
      </c>
      <c r="H254" s="8" t="s">
        <v>1122</v>
      </c>
      <c r="I254" s="8" t="s">
        <v>1123</v>
      </c>
      <c r="J254" s="8" t="s">
        <v>1124</v>
      </c>
      <c r="K254" s="8" t="s">
        <v>1125</v>
      </c>
      <c r="L254" s="12" t="s">
        <v>1136</v>
      </c>
      <c r="M254" s="9" t="s">
        <v>2934</v>
      </c>
    </row>
    <row r="255" spans="1:13" ht="62" customHeight="1">
      <c r="A255" s="10" t="s">
        <v>3177</v>
      </c>
      <c r="B255" s="10" t="s">
        <v>2455</v>
      </c>
      <c r="C255" s="10" t="s">
        <v>2456</v>
      </c>
      <c r="D255" s="10" t="s">
        <v>1131</v>
      </c>
      <c r="E255" s="10" t="s">
        <v>2457</v>
      </c>
      <c r="F255" s="10" t="s">
        <v>2905</v>
      </c>
      <c r="G255" s="10" t="s">
        <v>1121</v>
      </c>
      <c r="H255" s="10" t="s">
        <v>1122</v>
      </c>
      <c r="I255" s="10" t="s">
        <v>1141</v>
      </c>
      <c r="J255" s="10" t="s">
        <v>2458</v>
      </c>
      <c r="K255" s="10" t="s">
        <v>1125</v>
      </c>
      <c r="L255" s="10" t="s">
        <v>1126</v>
      </c>
      <c r="M255" s="11" t="s">
        <v>2934</v>
      </c>
    </row>
    <row r="256" spans="1:13" ht="62" customHeight="1">
      <c r="A256" s="8" t="s">
        <v>3178</v>
      </c>
      <c r="B256" s="8" t="s">
        <v>2460</v>
      </c>
      <c r="C256" s="8" t="s">
        <v>2461</v>
      </c>
      <c r="D256" s="8" t="s">
        <v>1131</v>
      </c>
      <c r="E256" s="8" t="s">
        <v>1464</v>
      </c>
      <c r="F256" s="8" t="s">
        <v>2905</v>
      </c>
      <c r="G256" s="8" t="s">
        <v>1121</v>
      </c>
      <c r="H256" s="8" t="s">
        <v>1122</v>
      </c>
      <c r="I256" s="8" t="s">
        <v>1141</v>
      </c>
      <c r="J256" s="8" t="s">
        <v>1655</v>
      </c>
      <c r="K256" s="8" t="s">
        <v>1125</v>
      </c>
      <c r="L256" s="8" t="s">
        <v>1126</v>
      </c>
      <c r="M256" s="9" t="s">
        <v>2934</v>
      </c>
    </row>
    <row r="257" spans="1:13" ht="62" customHeight="1">
      <c r="A257" s="10" t="s">
        <v>3179</v>
      </c>
      <c r="B257" s="10" t="s">
        <v>2468</v>
      </c>
      <c r="C257" s="10" t="s">
        <v>2469</v>
      </c>
      <c r="D257" s="10" t="s">
        <v>1131</v>
      </c>
      <c r="E257" s="10" t="s">
        <v>1479</v>
      </c>
      <c r="F257" s="10" t="s">
        <v>2905</v>
      </c>
      <c r="G257" s="10" t="s">
        <v>1121</v>
      </c>
      <c r="H257" s="10" t="s">
        <v>1122</v>
      </c>
      <c r="I257" s="10" t="s">
        <v>1141</v>
      </c>
      <c r="J257" s="10" t="s">
        <v>1146</v>
      </c>
      <c r="K257" s="10" t="s">
        <v>1125</v>
      </c>
      <c r="L257" s="10" t="s">
        <v>1126</v>
      </c>
      <c r="M257" s="11" t="s">
        <v>2934</v>
      </c>
    </row>
    <row r="258" spans="1:13" ht="62" customHeight="1">
      <c r="A258" s="8" t="s">
        <v>3180</v>
      </c>
      <c r="B258" s="8" t="s">
        <v>2471</v>
      </c>
      <c r="C258" s="8" t="s">
        <v>2472</v>
      </c>
      <c r="D258" s="8" t="s">
        <v>1131</v>
      </c>
      <c r="E258" s="8" t="s">
        <v>2473</v>
      </c>
      <c r="F258" s="8" t="s">
        <v>2905</v>
      </c>
      <c r="G258" s="8" t="s">
        <v>1121</v>
      </c>
      <c r="H258" s="8" t="s">
        <v>1122</v>
      </c>
      <c r="I258" s="8" t="s">
        <v>1141</v>
      </c>
      <c r="J258" s="8" t="s">
        <v>2409</v>
      </c>
      <c r="K258" s="8" t="s">
        <v>1125</v>
      </c>
      <c r="L258" s="8" t="s">
        <v>1126</v>
      </c>
      <c r="M258" s="9" t="s">
        <v>2934</v>
      </c>
    </row>
    <row r="259" spans="1:13" ht="62" customHeight="1">
      <c r="A259" s="10" t="s">
        <v>3181</v>
      </c>
      <c r="B259" s="10" t="s">
        <v>2482</v>
      </c>
      <c r="C259" s="10" t="s">
        <v>2483</v>
      </c>
      <c r="D259" s="10" t="s">
        <v>1131</v>
      </c>
      <c r="E259" s="10" t="s">
        <v>1242</v>
      </c>
      <c r="F259" s="10" t="s">
        <v>2905</v>
      </c>
      <c r="G259" s="10" t="s">
        <v>1121</v>
      </c>
      <c r="H259" s="10" t="s">
        <v>1122</v>
      </c>
      <c r="I259" s="10" t="s">
        <v>1123</v>
      </c>
      <c r="J259" s="10" t="s">
        <v>1124</v>
      </c>
      <c r="K259" s="10" t="s">
        <v>1125</v>
      </c>
      <c r="L259" s="10" t="s">
        <v>1126</v>
      </c>
      <c r="M259" s="11" t="s">
        <v>2934</v>
      </c>
    </row>
    <row r="260" spans="1:13" ht="62" customHeight="1">
      <c r="A260" s="8" t="s">
        <v>3182</v>
      </c>
      <c r="B260" s="8" t="s">
        <v>2522</v>
      </c>
      <c r="C260" s="8" t="s">
        <v>2523</v>
      </c>
      <c r="D260" s="8" t="s">
        <v>1131</v>
      </c>
      <c r="E260" s="8" t="s">
        <v>1132</v>
      </c>
      <c r="F260" s="8" t="s">
        <v>2905</v>
      </c>
      <c r="G260" s="8" t="s">
        <v>1121</v>
      </c>
      <c r="H260" s="8" t="s">
        <v>1134</v>
      </c>
      <c r="I260" s="8" t="s">
        <v>1123</v>
      </c>
      <c r="J260" s="8" t="s">
        <v>1124</v>
      </c>
      <c r="K260" s="8" t="s">
        <v>1135</v>
      </c>
      <c r="L260" s="8" t="s">
        <v>1161</v>
      </c>
      <c r="M260" s="9" t="s">
        <v>2906</v>
      </c>
    </row>
    <row r="261" spans="1:13" ht="62" customHeight="1">
      <c r="A261" s="10" t="s">
        <v>3183</v>
      </c>
      <c r="B261" s="10" t="s">
        <v>2525</v>
      </c>
      <c r="C261" s="10" t="s">
        <v>2526</v>
      </c>
      <c r="D261" s="10" t="s">
        <v>1131</v>
      </c>
      <c r="E261" s="10" t="s">
        <v>2527</v>
      </c>
      <c r="F261" s="10" t="s">
        <v>2905</v>
      </c>
      <c r="G261" s="10" t="s">
        <v>1121</v>
      </c>
      <c r="H261" s="10" t="s">
        <v>1122</v>
      </c>
      <c r="I261" s="10" t="s">
        <v>1141</v>
      </c>
      <c r="J261" s="10" t="s">
        <v>2528</v>
      </c>
      <c r="K261" s="10" t="s">
        <v>1125</v>
      </c>
      <c r="L261" s="10" t="s">
        <v>1126</v>
      </c>
      <c r="M261" s="11" t="s">
        <v>2915</v>
      </c>
    </row>
    <row r="262" spans="1:13" ht="62" customHeight="1">
      <c r="A262" s="8" t="s">
        <v>3184</v>
      </c>
      <c r="B262" s="8" t="s">
        <v>2530</v>
      </c>
      <c r="C262" s="8" t="s">
        <v>2531</v>
      </c>
      <c r="D262" s="8" t="s">
        <v>2532</v>
      </c>
      <c r="E262" s="8" t="s">
        <v>2533</v>
      </c>
      <c r="F262" s="8" t="s">
        <v>2905</v>
      </c>
      <c r="G262" s="8" t="s">
        <v>1133</v>
      </c>
      <c r="H262" s="8" t="s">
        <v>1134</v>
      </c>
      <c r="I262" s="8" t="s">
        <v>1180</v>
      </c>
      <c r="J262" s="8" t="s">
        <v>1205</v>
      </c>
      <c r="K262" s="8" t="s">
        <v>1125</v>
      </c>
      <c r="L262" s="12" t="s">
        <v>1136</v>
      </c>
      <c r="M262" s="9" t="s">
        <v>2906</v>
      </c>
    </row>
    <row r="263" spans="1:13" ht="62" customHeight="1">
      <c r="A263" s="10" t="s">
        <v>3185</v>
      </c>
      <c r="B263" s="10" t="s">
        <v>2558</v>
      </c>
      <c r="C263" s="10" t="s">
        <v>2559</v>
      </c>
      <c r="D263" s="10" t="s">
        <v>1131</v>
      </c>
      <c r="E263" s="10" t="s">
        <v>1119</v>
      </c>
      <c r="F263" s="10" t="s">
        <v>2905</v>
      </c>
      <c r="G263" s="10" t="s">
        <v>1121</v>
      </c>
      <c r="H263" s="10" t="s">
        <v>1122</v>
      </c>
      <c r="I263" s="10" t="s">
        <v>1123</v>
      </c>
      <c r="J263" s="10" t="s">
        <v>1124</v>
      </c>
      <c r="K263" s="10" t="s">
        <v>1243</v>
      </c>
      <c r="L263" s="10" t="s">
        <v>1126</v>
      </c>
      <c r="M263" s="11" t="s">
        <v>2906</v>
      </c>
    </row>
    <row r="264" spans="1:13" ht="62" customHeight="1">
      <c r="A264" s="8" t="s">
        <v>3186</v>
      </c>
      <c r="B264" s="8" t="s">
        <v>2561</v>
      </c>
      <c r="C264" s="8" t="s">
        <v>2562</v>
      </c>
      <c r="D264" s="8" t="s">
        <v>1131</v>
      </c>
      <c r="E264" s="8" t="s">
        <v>1242</v>
      </c>
      <c r="F264" s="8" t="s">
        <v>2905</v>
      </c>
      <c r="G264" s="8" t="s">
        <v>1121</v>
      </c>
      <c r="H264" s="8" t="s">
        <v>1122</v>
      </c>
      <c r="I264" s="8" t="s">
        <v>1123</v>
      </c>
      <c r="J264" s="8" t="s">
        <v>1124</v>
      </c>
      <c r="K264" s="8" t="s">
        <v>1243</v>
      </c>
      <c r="L264" s="8" t="s">
        <v>1126</v>
      </c>
      <c r="M264" s="9" t="s">
        <v>2906</v>
      </c>
    </row>
    <row r="265" spans="1:13" ht="62" customHeight="1">
      <c r="A265" s="10" t="s">
        <v>3187</v>
      </c>
      <c r="B265" s="10" t="s">
        <v>2564</v>
      </c>
      <c r="C265" s="10" t="s">
        <v>2565</v>
      </c>
      <c r="D265" s="10" t="s">
        <v>1131</v>
      </c>
      <c r="E265" s="10" t="s">
        <v>1242</v>
      </c>
      <c r="F265" s="10" t="s">
        <v>2905</v>
      </c>
      <c r="G265" s="10" t="s">
        <v>1133</v>
      </c>
      <c r="H265" s="10" t="s">
        <v>1134</v>
      </c>
      <c r="I265" s="10" t="s">
        <v>1123</v>
      </c>
      <c r="J265" s="10" t="s">
        <v>1124</v>
      </c>
      <c r="K265" s="10" t="s">
        <v>1125</v>
      </c>
      <c r="L265" s="12" t="s">
        <v>1136</v>
      </c>
      <c r="M265" s="11" t="s">
        <v>2906</v>
      </c>
    </row>
    <row r="266" spans="1:13" ht="62" customHeight="1">
      <c r="A266" s="8" t="s">
        <v>3188</v>
      </c>
      <c r="B266" s="8" t="s">
        <v>2570</v>
      </c>
      <c r="C266" s="8" t="s">
        <v>2571</v>
      </c>
      <c r="D266" s="8" t="s">
        <v>1285</v>
      </c>
      <c r="E266" s="8" t="s">
        <v>1119</v>
      </c>
      <c r="F266" s="8" t="s">
        <v>2905</v>
      </c>
      <c r="G266" s="8" t="s">
        <v>1133</v>
      </c>
      <c r="H266" s="8" t="s">
        <v>1134</v>
      </c>
      <c r="I266" s="8" t="s">
        <v>1123</v>
      </c>
      <c r="J266" s="8" t="s">
        <v>1124</v>
      </c>
      <c r="K266" s="8" t="s">
        <v>1125</v>
      </c>
      <c r="L266" s="12" t="s">
        <v>1136</v>
      </c>
      <c r="M266" s="9" t="s">
        <v>2906</v>
      </c>
    </row>
    <row r="267" spans="1:13" ht="62" customHeight="1">
      <c r="A267" s="10" t="s">
        <v>3189</v>
      </c>
      <c r="B267" s="10" t="s">
        <v>2573</v>
      </c>
      <c r="C267" s="10" t="s">
        <v>2574</v>
      </c>
      <c r="D267" s="10" t="s">
        <v>1131</v>
      </c>
      <c r="E267" s="10" t="s">
        <v>1119</v>
      </c>
      <c r="F267" s="10" t="s">
        <v>2905</v>
      </c>
      <c r="G267" s="10" t="s">
        <v>1121</v>
      </c>
      <c r="H267" s="10" t="s">
        <v>1134</v>
      </c>
      <c r="I267" s="10" t="s">
        <v>1123</v>
      </c>
      <c r="J267" s="10" t="s">
        <v>1124</v>
      </c>
      <c r="K267" s="10" t="s">
        <v>1125</v>
      </c>
      <c r="L267" s="10" t="s">
        <v>1161</v>
      </c>
      <c r="M267" s="11" t="s">
        <v>2906</v>
      </c>
    </row>
    <row r="268" spans="1:13" ht="62" customHeight="1">
      <c r="A268" s="8" t="s">
        <v>3190</v>
      </c>
      <c r="B268" s="8" t="s">
        <v>2576</v>
      </c>
      <c r="C268" s="8" t="s">
        <v>2577</v>
      </c>
      <c r="D268" s="8" t="s">
        <v>1131</v>
      </c>
      <c r="E268" s="8" t="s">
        <v>1609</v>
      </c>
      <c r="F268" s="8" t="s">
        <v>2905</v>
      </c>
      <c r="G268" s="8" t="s">
        <v>1121</v>
      </c>
      <c r="H268" s="8" t="s">
        <v>1122</v>
      </c>
      <c r="I268" s="8" t="s">
        <v>1141</v>
      </c>
      <c r="J268" s="8" t="s">
        <v>1509</v>
      </c>
      <c r="K268" s="8" t="s">
        <v>1125</v>
      </c>
      <c r="L268" s="8" t="s">
        <v>1126</v>
      </c>
      <c r="M268" s="9" t="s">
        <v>2910</v>
      </c>
    </row>
    <row r="269" spans="1:13" ht="62" customHeight="1">
      <c r="A269" s="10" t="s">
        <v>3191</v>
      </c>
      <c r="B269" s="10" t="s">
        <v>2579</v>
      </c>
      <c r="C269" s="10" t="s">
        <v>2580</v>
      </c>
      <c r="D269" s="10" t="s">
        <v>1131</v>
      </c>
      <c r="E269" s="10" t="s">
        <v>1119</v>
      </c>
      <c r="F269" s="10" t="s">
        <v>2905</v>
      </c>
      <c r="G269" s="10" t="s">
        <v>1121</v>
      </c>
      <c r="H269" s="10" t="s">
        <v>1122</v>
      </c>
      <c r="I269" s="10" t="s">
        <v>1123</v>
      </c>
      <c r="J269" s="10" t="s">
        <v>1124</v>
      </c>
      <c r="K269" s="10" t="s">
        <v>1125</v>
      </c>
      <c r="L269" s="10" t="s">
        <v>1126</v>
      </c>
      <c r="M269" s="11" t="s">
        <v>2910</v>
      </c>
    </row>
    <row r="270" spans="1:13" ht="62" customHeight="1">
      <c r="A270" s="8" t="s">
        <v>3192</v>
      </c>
      <c r="B270" s="8" t="s">
        <v>2582</v>
      </c>
      <c r="C270" s="8" t="s">
        <v>2583</v>
      </c>
      <c r="D270" s="8" t="s">
        <v>2584</v>
      </c>
      <c r="E270" s="8" t="s">
        <v>2585</v>
      </c>
      <c r="F270" s="8" t="s">
        <v>2905</v>
      </c>
      <c r="G270" s="8" t="s">
        <v>1133</v>
      </c>
      <c r="H270" s="8" t="s">
        <v>1122</v>
      </c>
      <c r="I270" s="8" t="s">
        <v>1180</v>
      </c>
      <c r="J270" s="8" t="s">
        <v>1205</v>
      </c>
      <c r="K270" s="8" t="s">
        <v>1125</v>
      </c>
      <c r="L270" s="12" t="s">
        <v>1136</v>
      </c>
      <c r="M270" s="9" t="s">
        <v>2910</v>
      </c>
    </row>
    <row r="271" spans="1:13" ht="62" customHeight="1">
      <c r="A271" s="10" t="s">
        <v>3193</v>
      </c>
      <c r="B271" s="10" t="s">
        <v>2587</v>
      </c>
      <c r="C271" s="10" t="s">
        <v>2588</v>
      </c>
      <c r="D271" s="10" t="s">
        <v>2589</v>
      </c>
      <c r="E271" s="10" t="s">
        <v>2590</v>
      </c>
      <c r="F271" s="10" t="s">
        <v>2905</v>
      </c>
      <c r="G271" s="10" t="s">
        <v>1133</v>
      </c>
      <c r="H271" s="10" t="s">
        <v>1134</v>
      </c>
      <c r="I271" s="10" t="s">
        <v>1180</v>
      </c>
      <c r="J271" s="10" t="s">
        <v>1205</v>
      </c>
      <c r="K271" s="10" t="s">
        <v>1125</v>
      </c>
      <c r="L271" s="12" t="s">
        <v>1136</v>
      </c>
      <c r="M271" s="11" t="s">
        <v>2906</v>
      </c>
    </row>
    <row r="272" spans="1:13" ht="62" customHeight="1">
      <c r="A272" s="8" t="s">
        <v>3194</v>
      </c>
      <c r="B272" s="8" t="s">
        <v>2592</v>
      </c>
      <c r="C272" s="8" t="s">
        <v>2593</v>
      </c>
      <c r="D272" s="8" t="s">
        <v>1131</v>
      </c>
      <c r="E272" s="8" t="s">
        <v>1930</v>
      </c>
      <c r="F272" s="8" t="s">
        <v>2905</v>
      </c>
      <c r="G272" s="8" t="s">
        <v>1121</v>
      </c>
      <c r="H272" s="8" t="s">
        <v>1122</v>
      </c>
      <c r="I272" s="8" t="s">
        <v>1141</v>
      </c>
      <c r="J272" s="8" t="s">
        <v>2594</v>
      </c>
      <c r="K272" s="8" t="s">
        <v>1243</v>
      </c>
      <c r="L272" s="8" t="s">
        <v>1126</v>
      </c>
      <c r="M272" s="9" t="s">
        <v>2915</v>
      </c>
    </row>
    <row r="273" spans="1:13" ht="62" customHeight="1">
      <c r="A273" s="10" t="s">
        <v>3195</v>
      </c>
      <c r="B273" s="10" t="s">
        <v>2599</v>
      </c>
      <c r="C273" s="10" t="s">
        <v>2600</v>
      </c>
      <c r="D273" s="10" t="s">
        <v>1131</v>
      </c>
      <c r="E273" s="10" t="s">
        <v>1119</v>
      </c>
      <c r="F273" s="10" t="s">
        <v>2905</v>
      </c>
      <c r="G273" s="10" t="s">
        <v>1121</v>
      </c>
      <c r="H273" s="10" t="s">
        <v>1122</v>
      </c>
      <c r="I273" s="10" t="s">
        <v>1123</v>
      </c>
      <c r="J273" s="10" t="s">
        <v>1124</v>
      </c>
      <c r="K273" s="10" t="s">
        <v>1243</v>
      </c>
      <c r="L273" s="10" t="s">
        <v>1126</v>
      </c>
      <c r="M273" s="11" t="s">
        <v>2943</v>
      </c>
    </row>
    <row r="274" spans="1:13" ht="177" customHeight="1">
      <c r="A274" s="8" t="s">
        <v>3196</v>
      </c>
      <c r="B274" s="8" t="s">
        <v>561</v>
      </c>
      <c r="C274" s="8" t="s">
        <v>2602</v>
      </c>
      <c r="D274" s="8" t="s">
        <v>1118</v>
      </c>
      <c r="E274" s="8" t="s">
        <v>2603</v>
      </c>
      <c r="F274" s="8" t="s">
        <v>2905</v>
      </c>
      <c r="G274" s="8" t="s">
        <v>1121</v>
      </c>
      <c r="H274" s="8" t="s">
        <v>1122</v>
      </c>
      <c r="I274" s="8" t="s">
        <v>1301</v>
      </c>
      <c r="J274" s="8" t="s">
        <v>2604</v>
      </c>
      <c r="K274" s="8" t="s">
        <v>1243</v>
      </c>
      <c r="L274" s="8" t="s">
        <v>1126</v>
      </c>
      <c r="M274" s="9" t="s">
        <v>2943</v>
      </c>
    </row>
    <row r="275" spans="1:13" ht="62" customHeight="1">
      <c r="A275" s="10" t="s">
        <v>3197</v>
      </c>
      <c r="B275" s="10" t="s">
        <v>2606</v>
      </c>
      <c r="C275" s="10" t="s">
        <v>2607</v>
      </c>
      <c r="D275" s="10" t="s">
        <v>1131</v>
      </c>
      <c r="E275" s="10" t="s">
        <v>2075</v>
      </c>
      <c r="F275" s="10" t="s">
        <v>2905</v>
      </c>
      <c r="G275" s="10" t="s">
        <v>1121</v>
      </c>
      <c r="H275" s="10" t="s">
        <v>1122</v>
      </c>
      <c r="I275" s="10" t="s">
        <v>1141</v>
      </c>
      <c r="J275" s="10" t="s">
        <v>1188</v>
      </c>
      <c r="K275" s="10" t="s">
        <v>1243</v>
      </c>
      <c r="L275" s="10" t="s">
        <v>1126</v>
      </c>
      <c r="M275" s="11" t="s">
        <v>2943</v>
      </c>
    </row>
    <row r="276" spans="1:13" ht="62" customHeight="1">
      <c r="A276" s="8" t="s">
        <v>3198</v>
      </c>
      <c r="B276" s="8" t="s">
        <v>2613</v>
      </c>
      <c r="C276" s="8" t="s">
        <v>2614</v>
      </c>
      <c r="D276" s="8" t="s">
        <v>1131</v>
      </c>
      <c r="E276" s="8" t="s">
        <v>1242</v>
      </c>
      <c r="F276" s="8" t="s">
        <v>2905</v>
      </c>
      <c r="G276" s="8" t="s">
        <v>1121</v>
      </c>
      <c r="H276" s="8" t="s">
        <v>1122</v>
      </c>
      <c r="I276" s="8" t="s">
        <v>1123</v>
      </c>
      <c r="J276" s="8" t="s">
        <v>1124</v>
      </c>
      <c r="K276" s="8" t="s">
        <v>1125</v>
      </c>
      <c r="L276" s="8" t="s">
        <v>1126</v>
      </c>
      <c r="M276" s="9" t="s">
        <v>3199</v>
      </c>
    </row>
    <row r="277" spans="1:13" ht="62" customHeight="1">
      <c r="A277" s="10" t="s">
        <v>3200</v>
      </c>
      <c r="B277" s="10" t="s">
        <v>2616</v>
      </c>
      <c r="C277" s="10" t="s">
        <v>2617</v>
      </c>
      <c r="D277" s="10" t="s">
        <v>1131</v>
      </c>
      <c r="E277" s="10" t="s">
        <v>1464</v>
      </c>
      <c r="F277" s="10" t="s">
        <v>2905</v>
      </c>
      <c r="G277" s="10" t="s">
        <v>1121</v>
      </c>
      <c r="H277" s="10" t="s">
        <v>1122</v>
      </c>
      <c r="I277" s="10" t="s">
        <v>1141</v>
      </c>
      <c r="J277" s="10" t="s">
        <v>2618</v>
      </c>
      <c r="K277" s="10" t="s">
        <v>1125</v>
      </c>
      <c r="L277" s="10" t="s">
        <v>1126</v>
      </c>
      <c r="M277" s="11" t="s">
        <v>3199</v>
      </c>
    </row>
    <row r="278" spans="1:13" ht="62" customHeight="1">
      <c r="A278" s="8" t="s">
        <v>3201</v>
      </c>
      <c r="B278" s="8" t="s">
        <v>2620</v>
      </c>
      <c r="C278" s="8" t="s">
        <v>2621</v>
      </c>
      <c r="D278" s="8" t="s">
        <v>1131</v>
      </c>
      <c r="E278" s="8" t="s">
        <v>2527</v>
      </c>
      <c r="F278" s="8" t="s">
        <v>2905</v>
      </c>
      <c r="G278" s="8" t="s">
        <v>1121</v>
      </c>
      <c r="H278" s="8" t="s">
        <v>1122</v>
      </c>
      <c r="I278" s="8" t="s">
        <v>1141</v>
      </c>
      <c r="J278" s="8" t="s">
        <v>2528</v>
      </c>
      <c r="K278" s="8" t="s">
        <v>1125</v>
      </c>
      <c r="L278" s="8" t="s">
        <v>1126</v>
      </c>
      <c r="M278" s="9" t="s">
        <v>2915</v>
      </c>
    </row>
    <row r="279" spans="1:13" ht="62" customHeight="1">
      <c r="A279" s="10" t="s">
        <v>3202</v>
      </c>
      <c r="B279" s="10" t="s">
        <v>2623</v>
      </c>
      <c r="C279" s="10" t="s">
        <v>2624</v>
      </c>
      <c r="D279" s="10" t="s">
        <v>1131</v>
      </c>
      <c r="E279" s="10" t="s">
        <v>2527</v>
      </c>
      <c r="F279" s="10" t="s">
        <v>2905</v>
      </c>
      <c r="G279" s="10" t="s">
        <v>1121</v>
      </c>
      <c r="H279" s="10" t="s">
        <v>1122</v>
      </c>
      <c r="I279" s="10" t="s">
        <v>1141</v>
      </c>
      <c r="J279" s="10" t="s">
        <v>2528</v>
      </c>
      <c r="K279" s="10" t="s">
        <v>1125</v>
      </c>
      <c r="L279" s="10" t="s">
        <v>1126</v>
      </c>
      <c r="M279" s="11" t="s">
        <v>2915</v>
      </c>
    </row>
    <row r="280" spans="1:13" ht="62" customHeight="1">
      <c r="A280" s="8" t="s">
        <v>3203</v>
      </c>
      <c r="B280" s="8" t="s">
        <v>2626</v>
      </c>
      <c r="C280" s="8" t="s">
        <v>2627</v>
      </c>
      <c r="D280" s="8" t="s">
        <v>1285</v>
      </c>
      <c r="E280" s="8" t="s">
        <v>1687</v>
      </c>
      <c r="F280" s="8" t="s">
        <v>2905</v>
      </c>
      <c r="G280" s="8" t="s">
        <v>1133</v>
      </c>
      <c r="H280" s="8" t="s">
        <v>1122</v>
      </c>
      <c r="I280" s="8" t="s">
        <v>1141</v>
      </c>
      <c r="J280" s="8" t="s">
        <v>1372</v>
      </c>
      <c r="K280" s="8" t="s">
        <v>1125</v>
      </c>
      <c r="L280" s="12" t="s">
        <v>1136</v>
      </c>
      <c r="M280" s="9" t="s">
        <v>2906</v>
      </c>
    </row>
    <row r="281" spans="1:13" ht="62" customHeight="1">
      <c r="A281" s="10" t="s">
        <v>3204</v>
      </c>
      <c r="B281" s="10" t="s">
        <v>2629</v>
      </c>
      <c r="C281" s="10" t="s">
        <v>2630</v>
      </c>
      <c r="D281" s="10" t="s">
        <v>1131</v>
      </c>
      <c r="E281" s="10" t="s">
        <v>1739</v>
      </c>
      <c r="F281" s="10" t="s">
        <v>2905</v>
      </c>
      <c r="G281" s="10" t="s">
        <v>1121</v>
      </c>
      <c r="H281" s="10" t="s">
        <v>1122</v>
      </c>
      <c r="I281" s="10" t="s">
        <v>1141</v>
      </c>
      <c r="J281" s="10" t="s">
        <v>1372</v>
      </c>
      <c r="K281" s="10" t="s">
        <v>1125</v>
      </c>
      <c r="L281" s="10" t="s">
        <v>1126</v>
      </c>
      <c r="M281" s="11" t="s">
        <v>2934</v>
      </c>
    </row>
    <row r="282" spans="1:13" ht="62" customHeight="1">
      <c r="A282" s="8" t="s">
        <v>3205</v>
      </c>
      <c r="B282" s="8" t="s">
        <v>2632</v>
      </c>
      <c r="C282" s="8" t="s">
        <v>2633</v>
      </c>
      <c r="D282" s="8" t="s">
        <v>1131</v>
      </c>
      <c r="E282" s="8" t="s">
        <v>1739</v>
      </c>
      <c r="F282" s="8" t="s">
        <v>2905</v>
      </c>
      <c r="G282" s="8" t="s">
        <v>1121</v>
      </c>
      <c r="H282" s="8" t="s">
        <v>1122</v>
      </c>
      <c r="I282" s="8" t="s">
        <v>1141</v>
      </c>
      <c r="J282" s="8" t="s">
        <v>1372</v>
      </c>
      <c r="K282" s="8" t="s">
        <v>1125</v>
      </c>
      <c r="L282" s="8" t="s">
        <v>1126</v>
      </c>
      <c r="M282" s="9" t="s">
        <v>2934</v>
      </c>
    </row>
    <row r="283" spans="1:13" ht="62" customHeight="1">
      <c r="A283" s="10" t="s">
        <v>3206</v>
      </c>
      <c r="B283" s="10" t="s">
        <v>2635</v>
      </c>
      <c r="C283" s="10" t="s">
        <v>2636</v>
      </c>
      <c r="D283" s="10" t="s">
        <v>1131</v>
      </c>
      <c r="E283" s="10" t="s">
        <v>1132</v>
      </c>
      <c r="F283" s="10" t="s">
        <v>2905</v>
      </c>
      <c r="G283" s="10" t="s">
        <v>1121</v>
      </c>
      <c r="H283" s="10" t="s">
        <v>1134</v>
      </c>
      <c r="I283" s="10" t="s">
        <v>1123</v>
      </c>
      <c r="J283" s="10" t="s">
        <v>1124</v>
      </c>
      <c r="K283" s="10" t="s">
        <v>1135</v>
      </c>
      <c r="L283" s="10" t="s">
        <v>1161</v>
      </c>
      <c r="M283" s="11" t="s">
        <v>2906</v>
      </c>
    </row>
    <row r="284" spans="1:13" ht="62" customHeight="1">
      <c r="A284" s="8" t="s">
        <v>3207</v>
      </c>
      <c r="B284" s="8" t="s">
        <v>2638</v>
      </c>
      <c r="C284" s="8" t="s">
        <v>2639</v>
      </c>
      <c r="D284" s="8" t="s">
        <v>1131</v>
      </c>
      <c r="E284" s="8" t="s">
        <v>1132</v>
      </c>
      <c r="F284" s="8" t="s">
        <v>2905</v>
      </c>
      <c r="G284" s="8" t="s">
        <v>1133</v>
      </c>
      <c r="H284" s="8" t="s">
        <v>1134</v>
      </c>
      <c r="I284" s="8" t="s">
        <v>1141</v>
      </c>
      <c r="J284" s="8" t="s">
        <v>2640</v>
      </c>
      <c r="K284" s="8" t="s">
        <v>1135</v>
      </c>
      <c r="L284" s="12" t="s">
        <v>1136</v>
      </c>
      <c r="M284" s="9" t="s">
        <v>2915</v>
      </c>
    </row>
    <row r="285" spans="1:13" ht="62" customHeight="1">
      <c r="A285" s="10" t="s">
        <v>3208</v>
      </c>
      <c r="B285" s="10" t="s">
        <v>2642</v>
      </c>
      <c r="C285" s="10" t="s">
        <v>2643</v>
      </c>
      <c r="D285" s="10" t="s">
        <v>2644</v>
      </c>
      <c r="E285" s="10" t="s">
        <v>1276</v>
      </c>
      <c r="F285" s="10" t="s">
        <v>2905</v>
      </c>
      <c r="G285" s="10" t="s">
        <v>1121</v>
      </c>
      <c r="H285" s="10" t="s">
        <v>1122</v>
      </c>
      <c r="I285" s="10" t="s">
        <v>1141</v>
      </c>
      <c r="J285" s="10" t="s">
        <v>2645</v>
      </c>
      <c r="K285" s="10" t="s">
        <v>1125</v>
      </c>
      <c r="L285" s="10" t="s">
        <v>1635</v>
      </c>
      <c r="M285" s="11" t="s">
        <v>2985</v>
      </c>
    </row>
    <row r="286" spans="1:13" ht="62" customHeight="1">
      <c r="A286" s="8" t="s">
        <v>3209</v>
      </c>
      <c r="B286" s="8" t="s">
        <v>2647</v>
      </c>
      <c r="C286" s="8" t="s">
        <v>2648</v>
      </c>
      <c r="D286" s="8" t="s">
        <v>2649</v>
      </c>
      <c r="E286" s="8" t="s">
        <v>2650</v>
      </c>
      <c r="F286" s="8" t="s">
        <v>2905</v>
      </c>
      <c r="G286" s="8" t="s">
        <v>1121</v>
      </c>
      <c r="H286" s="8" t="s">
        <v>1122</v>
      </c>
      <c r="I286" s="8" t="s">
        <v>1141</v>
      </c>
      <c r="J286" s="8" t="s">
        <v>2651</v>
      </c>
      <c r="K286" s="8" t="s">
        <v>1125</v>
      </c>
      <c r="L286" s="8" t="s">
        <v>1635</v>
      </c>
      <c r="M286" s="9" t="s">
        <v>2985</v>
      </c>
    </row>
    <row r="287" spans="1:13" ht="62" customHeight="1">
      <c r="A287" s="10" t="s">
        <v>3210</v>
      </c>
      <c r="B287" s="10" t="s">
        <v>2653</v>
      </c>
      <c r="C287" s="10" t="s">
        <v>2654</v>
      </c>
      <c r="D287" s="10" t="s">
        <v>1131</v>
      </c>
      <c r="E287" s="10" t="s">
        <v>2655</v>
      </c>
      <c r="F287" s="10" t="s">
        <v>2905</v>
      </c>
      <c r="G287" s="10" t="s">
        <v>1121</v>
      </c>
      <c r="H287" s="10" t="s">
        <v>1134</v>
      </c>
      <c r="I287" s="10" t="s">
        <v>1141</v>
      </c>
      <c r="J287" s="10" t="s">
        <v>1802</v>
      </c>
      <c r="K287" s="10" t="s">
        <v>1125</v>
      </c>
      <c r="L287" s="10" t="s">
        <v>1161</v>
      </c>
      <c r="M287" s="11" t="s">
        <v>2915</v>
      </c>
    </row>
    <row r="288" spans="1:13" ht="62" customHeight="1">
      <c r="A288" s="8" t="s">
        <v>3211</v>
      </c>
      <c r="B288" s="8" t="s">
        <v>2657</v>
      </c>
      <c r="C288" s="8" t="s">
        <v>2658</v>
      </c>
      <c r="D288" s="8" t="s">
        <v>1131</v>
      </c>
      <c r="E288" s="8" t="s">
        <v>2527</v>
      </c>
      <c r="F288" s="8" t="s">
        <v>2905</v>
      </c>
      <c r="G288" s="8" t="s">
        <v>1121</v>
      </c>
      <c r="H288" s="8" t="s">
        <v>1122</v>
      </c>
      <c r="I288" s="8" t="s">
        <v>1141</v>
      </c>
      <c r="J288" s="8" t="s">
        <v>2528</v>
      </c>
      <c r="K288" s="8" t="s">
        <v>1125</v>
      </c>
      <c r="L288" s="8" t="s">
        <v>1126</v>
      </c>
      <c r="M288" s="9" t="s">
        <v>2915</v>
      </c>
    </row>
    <row r="289" spans="1:13" ht="62" customHeight="1">
      <c r="A289" s="10" t="s">
        <v>3212</v>
      </c>
      <c r="B289" s="10" t="s">
        <v>2660</v>
      </c>
      <c r="C289" s="10" t="s">
        <v>2661</v>
      </c>
      <c r="D289" s="10" t="s">
        <v>2662</v>
      </c>
      <c r="E289" s="10" t="s">
        <v>1316</v>
      </c>
      <c r="F289" s="10" t="s">
        <v>2905</v>
      </c>
      <c r="G289" s="10" t="s">
        <v>1121</v>
      </c>
      <c r="H289" s="10" t="s">
        <v>1122</v>
      </c>
      <c r="I289" s="10" t="s">
        <v>1141</v>
      </c>
      <c r="J289" s="10" t="s">
        <v>1188</v>
      </c>
      <c r="K289" s="10" t="s">
        <v>1125</v>
      </c>
      <c r="L289" s="10" t="s">
        <v>1126</v>
      </c>
      <c r="M289" s="11" t="s">
        <v>2915</v>
      </c>
    </row>
    <row r="290" spans="1:13" ht="62" customHeight="1">
      <c r="A290" s="8" t="s">
        <v>3213</v>
      </c>
      <c r="B290" s="8" t="s">
        <v>2664</v>
      </c>
      <c r="C290" s="8" t="s">
        <v>2665</v>
      </c>
      <c r="D290" s="8" t="s">
        <v>1131</v>
      </c>
      <c r="E290" s="8" t="s">
        <v>2666</v>
      </c>
      <c r="F290" s="8" t="s">
        <v>2905</v>
      </c>
      <c r="G290" s="8" t="s">
        <v>1121</v>
      </c>
      <c r="H290" s="8" t="s">
        <v>1122</v>
      </c>
      <c r="I290" s="8" t="s">
        <v>1141</v>
      </c>
      <c r="J290" s="8" t="s">
        <v>2667</v>
      </c>
      <c r="K290" s="8" t="s">
        <v>1125</v>
      </c>
      <c r="L290" s="8" t="s">
        <v>1126</v>
      </c>
      <c r="M290" s="9" t="s">
        <v>2915</v>
      </c>
    </row>
    <row r="291" spans="1:13" ht="62" customHeight="1">
      <c r="A291" s="10" t="s">
        <v>3214</v>
      </c>
      <c r="B291" s="10" t="s">
        <v>2669</v>
      </c>
      <c r="C291" s="10" t="s">
        <v>2670</v>
      </c>
      <c r="D291" s="10" t="s">
        <v>1285</v>
      </c>
      <c r="E291" s="10" t="s">
        <v>1119</v>
      </c>
      <c r="F291" s="10" t="s">
        <v>2905</v>
      </c>
      <c r="G291" s="10" t="s">
        <v>1121</v>
      </c>
      <c r="H291" s="10" t="s">
        <v>1122</v>
      </c>
      <c r="I291" s="10" t="s">
        <v>1123</v>
      </c>
      <c r="J291" s="10" t="s">
        <v>1124</v>
      </c>
      <c r="K291" s="10" t="s">
        <v>1125</v>
      </c>
      <c r="L291" s="10" t="s">
        <v>1126</v>
      </c>
      <c r="M291" s="11" t="s">
        <v>2915</v>
      </c>
    </row>
    <row r="292" spans="1:13" ht="62" customHeight="1">
      <c r="A292" s="8" t="s">
        <v>3215</v>
      </c>
      <c r="B292" s="8" t="s">
        <v>2672</v>
      </c>
      <c r="C292" s="8" t="s">
        <v>2673</v>
      </c>
      <c r="D292" s="8" t="s">
        <v>2674</v>
      </c>
      <c r="E292" s="8" t="s">
        <v>1276</v>
      </c>
      <c r="F292" s="8" t="s">
        <v>2905</v>
      </c>
      <c r="G292" s="8" t="s">
        <v>1121</v>
      </c>
      <c r="H292" s="8" t="s">
        <v>1122</v>
      </c>
      <c r="I292" s="8" t="s">
        <v>1141</v>
      </c>
      <c r="J292" s="8" t="s">
        <v>2054</v>
      </c>
      <c r="K292" s="8" t="s">
        <v>1125</v>
      </c>
      <c r="L292" s="8" t="s">
        <v>1126</v>
      </c>
      <c r="M292" s="9" t="s">
        <v>2915</v>
      </c>
    </row>
    <row r="293" spans="1:13" ht="62" customHeight="1">
      <c r="A293" s="10" t="s">
        <v>3216</v>
      </c>
      <c r="B293" s="10" t="s">
        <v>2676</v>
      </c>
      <c r="C293" s="10" t="s">
        <v>2677</v>
      </c>
      <c r="D293" s="10" t="s">
        <v>2678</v>
      </c>
      <c r="E293" s="10" t="s">
        <v>2679</v>
      </c>
      <c r="F293" s="10" t="s">
        <v>2905</v>
      </c>
      <c r="G293" s="10" t="s">
        <v>1133</v>
      </c>
      <c r="H293" s="10" t="s">
        <v>1134</v>
      </c>
      <c r="I293" s="10" t="s">
        <v>1180</v>
      </c>
      <c r="J293" s="10" t="s">
        <v>2680</v>
      </c>
      <c r="K293" s="10" t="s">
        <v>1125</v>
      </c>
      <c r="L293" s="12" t="s">
        <v>1136</v>
      </c>
      <c r="M293" s="11" t="s">
        <v>2906</v>
      </c>
    </row>
    <row r="294" spans="1:13" ht="62" customHeight="1">
      <c r="A294" s="8" t="s">
        <v>3217</v>
      </c>
      <c r="B294" s="8" t="s">
        <v>2682</v>
      </c>
      <c r="C294" s="8" t="s">
        <v>2683</v>
      </c>
      <c r="D294" s="8" t="s">
        <v>2424</v>
      </c>
      <c r="E294" s="8" t="s">
        <v>1844</v>
      </c>
      <c r="F294" s="8" t="s">
        <v>2905</v>
      </c>
      <c r="G294" s="8" t="s">
        <v>1121</v>
      </c>
      <c r="H294" s="8" t="s">
        <v>1134</v>
      </c>
      <c r="I294" s="8" t="s">
        <v>1141</v>
      </c>
      <c r="J294" s="8" t="s">
        <v>2684</v>
      </c>
      <c r="K294" s="8" t="s">
        <v>1125</v>
      </c>
      <c r="L294" s="8" t="s">
        <v>1161</v>
      </c>
      <c r="M294" s="9" t="s">
        <v>2906</v>
      </c>
    </row>
    <row r="295" spans="1:13" ht="62" customHeight="1">
      <c r="A295" s="10" t="s">
        <v>3218</v>
      </c>
      <c r="B295" s="10" t="s">
        <v>2699</v>
      </c>
      <c r="C295" s="10" t="s">
        <v>2700</v>
      </c>
      <c r="D295" s="10" t="s">
        <v>2701</v>
      </c>
      <c r="E295" s="10" t="s">
        <v>1132</v>
      </c>
      <c r="F295" s="10" t="s">
        <v>2905</v>
      </c>
      <c r="G295" s="10" t="s">
        <v>1133</v>
      </c>
      <c r="H295" s="10" t="s">
        <v>1134</v>
      </c>
      <c r="I295" s="10" t="s">
        <v>1180</v>
      </c>
      <c r="J295" s="10" t="s">
        <v>1205</v>
      </c>
      <c r="K295" s="10" t="s">
        <v>1135</v>
      </c>
      <c r="L295" s="12" t="s">
        <v>1136</v>
      </c>
      <c r="M295" s="11" t="s">
        <v>2906</v>
      </c>
    </row>
    <row r="296" spans="1:13" ht="62" customHeight="1">
      <c r="A296" s="8" t="s">
        <v>3219</v>
      </c>
      <c r="B296" s="8" t="s">
        <v>2703</v>
      </c>
      <c r="C296" s="8" t="s">
        <v>2704</v>
      </c>
      <c r="D296" s="8" t="s">
        <v>1131</v>
      </c>
      <c r="E296" s="8" t="s">
        <v>2067</v>
      </c>
      <c r="F296" s="8" t="s">
        <v>2905</v>
      </c>
      <c r="G296" s="8" t="s">
        <v>1121</v>
      </c>
      <c r="H296" s="8" t="s">
        <v>1122</v>
      </c>
      <c r="I296" s="8" t="s">
        <v>1141</v>
      </c>
      <c r="J296" s="8" t="s">
        <v>2705</v>
      </c>
      <c r="K296" s="8" t="s">
        <v>1243</v>
      </c>
      <c r="L296" s="8" t="s">
        <v>1126</v>
      </c>
      <c r="M296" s="9" t="s">
        <v>2915</v>
      </c>
    </row>
    <row r="297" spans="1:13" ht="62" customHeight="1">
      <c r="A297" s="10" t="s">
        <v>3220</v>
      </c>
      <c r="B297" s="10" t="s">
        <v>2707</v>
      </c>
      <c r="C297" s="10" t="s">
        <v>2708</v>
      </c>
      <c r="D297" s="10" t="s">
        <v>1131</v>
      </c>
      <c r="E297" s="10" t="s">
        <v>2408</v>
      </c>
      <c r="F297" s="10" t="s">
        <v>2905</v>
      </c>
      <c r="G297" s="10" t="s">
        <v>1121</v>
      </c>
      <c r="H297" s="10" t="s">
        <v>1122</v>
      </c>
      <c r="I297" s="10" t="s">
        <v>1141</v>
      </c>
      <c r="J297" s="10" t="s">
        <v>2409</v>
      </c>
      <c r="K297" s="10" t="s">
        <v>1243</v>
      </c>
      <c r="L297" s="10" t="s">
        <v>1126</v>
      </c>
      <c r="M297" s="11" t="s">
        <v>2906</v>
      </c>
    </row>
    <row r="298" spans="1:13" ht="62" customHeight="1">
      <c r="A298" s="8" t="s">
        <v>3221</v>
      </c>
      <c r="B298" s="8" t="s">
        <v>2710</v>
      </c>
      <c r="C298" s="8" t="s">
        <v>2711</v>
      </c>
      <c r="D298" s="8" t="s">
        <v>1131</v>
      </c>
      <c r="E298" s="8" t="s">
        <v>2712</v>
      </c>
      <c r="F298" s="8" t="s">
        <v>2905</v>
      </c>
      <c r="G298" s="8" t="s">
        <v>1121</v>
      </c>
      <c r="H298" s="8" t="s">
        <v>1122</v>
      </c>
      <c r="I298" s="8" t="s">
        <v>1180</v>
      </c>
      <c r="J298" s="8" t="s">
        <v>2713</v>
      </c>
      <c r="K298" s="8" t="s">
        <v>1243</v>
      </c>
      <c r="L298" s="8" t="s">
        <v>1126</v>
      </c>
      <c r="M298" s="9" t="s">
        <v>2943</v>
      </c>
    </row>
    <row r="299" spans="1:13" ht="62" customHeight="1">
      <c r="A299" s="10" t="s">
        <v>3222</v>
      </c>
      <c r="B299" s="10" t="s">
        <v>2715</v>
      </c>
      <c r="C299" s="10" t="s">
        <v>2716</v>
      </c>
      <c r="D299" s="10" t="s">
        <v>1131</v>
      </c>
      <c r="E299" s="10" t="s">
        <v>2417</v>
      </c>
      <c r="F299" s="10" t="s">
        <v>2905</v>
      </c>
      <c r="G299" s="10" t="s">
        <v>1121</v>
      </c>
      <c r="H299" s="10" t="s">
        <v>1122</v>
      </c>
      <c r="I299" s="10" t="s">
        <v>1141</v>
      </c>
      <c r="J299" s="10" t="s">
        <v>2409</v>
      </c>
      <c r="K299" s="10" t="s">
        <v>1243</v>
      </c>
      <c r="L299" s="10" t="s">
        <v>1126</v>
      </c>
      <c r="M299" s="11" t="s">
        <v>2906</v>
      </c>
    </row>
    <row r="300" spans="1:13" ht="62" customHeight="1">
      <c r="A300" s="8" t="s">
        <v>3223</v>
      </c>
      <c r="B300" s="8" t="s">
        <v>2718</v>
      </c>
      <c r="C300" s="8" t="s">
        <v>2719</v>
      </c>
      <c r="D300" s="8" t="s">
        <v>1131</v>
      </c>
      <c r="E300" s="8" t="s">
        <v>1687</v>
      </c>
      <c r="F300" s="8" t="s">
        <v>2905</v>
      </c>
      <c r="G300" s="8" t="s">
        <v>1121</v>
      </c>
      <c r="H300" s="8" t="s">
        <v>1122</v>
      </c>
      <c r="I300" s="8" t="s">
        <v>1123</v>
      </c>
      <c r="J300" s="8" t="s">
        <v>1124</v>
      </c>
      <c r="K300" s="8" t="s">
        <v>1243</v>
      </c>
      <c r="L300" s="8" t="s">
        <v>1126</v>
      </c>
      <c r="M300" s="9" t="s">
        <v>2906</v>
      </c>
    </row>
    <row r="301" spans="1:13" ht="62" customHeight="1">
      <c r="A301" s="10" t="s">
        <v>3224</v>
      </c>
      <c r="B301" s="10" t="s">
        <v>2721</v>
      </c>
      <c r="C301" s="10" t="s">
        <v>2722</v>
      </c>
      <c r="D301" s="10" t="s">
        <v>1131</v>
      </c>
      <c r="E301" s="10" t="s">
        <v>1132</v>
      </c>
      <c r="F301" s="10" t="s">
        <v>2905</v>
      </c>
      <c r="G301" s="10" t="s">
        <v>1133</v>
      </c>
      <c r="H301" s="10" t="s">
        <v>1134</v>
      </c>
      <c r="I301" s="10" t="s">
        <v>1180</v>
      </c>
      <c r="J301" s="10" t="s">
        <v>2723</v>
      </c>
      <c r="K301" s="10" t="s">
        <v>1135</v>
      </c>
      <c r="L301" s="12" t="s">
        <v>1136</v>
      </c>
      <c r="M301" s="11" t="s">
        <v>3199</v>
      </c>
    </row>
    <row r="302" spans="1:13" ht="62" customHeight="1">
      <c r="A302" s="8" t="s">
        <v>3225</v>
      </c>
      <c r="B302" s="8" t="s">
        <v>606</v>
      </c>
      <c r="C302" s="8" t="s">
        <v>2750</v>
      </c>
      <c r="D302" s="8" t="s">
        <v>1131</v>
      </c>
      <c r="E302" s="8" t="s">
        <v>1920</v>
      </c>
      <c r="F302" s="8" t="s">
        <v>2905</v>
      </c>
      <c r="G302" s="8" t="s">
        <v>1121</v>
      </c>
      <c r="H302" s="8" t="s">
        <v>1122</v>
      </c>
      <c r="I302" s="8" t="s">
        <v>1141</v>
      </c>
      <c r="J302" s="8" t="s">
        <v>1465</v>
      </c>
      <c r="K302" s="8" t="s">
        <v>1243</v>
      </c>
      <c r="L302" s="8" t="s">
        <v>1126</v>
      </c>
      <c r="M302" s="9" t="s">
        <v>3226</v>
      </c>
    </row>
    <row r="303" spans="1:13" ht="62" customHeight="1">
      <c r="A303" s="10" t="s">
        <v>3227</v>
      </c>
      <c r="B303" s="10" t="s">
        <v>2753</v>
      </c>
      <c r="C303" s="10" t="s">
        <v>2754</v>
      </c>
      <c r="D303" s="10" t="s">
        <v>1131</v>
      </c>
      <c r="E303" s="10" t="s">
        <v>1242</v>
      </c>
      <c r="F303" s="10" t="s">
        <v>2905</v>
      </c>
      <c r="G303" s="10" t="s">
        <v>1121</v>
      </c>
      <c r="H303" s="10" t="s">
        <v>1122</v>
      </c>
      <c r="I303" s="10" t="s">
        <v>1123</v>
      </c>
      <c r="J303" s="10" t="s">
        <v>1124</v>
      </c>
      <c r="K303" s="10" t="s">
        <v>1243</v>
      </c>
      <c r="L303" s="10" t="s">
        <v>1126</v>
      </c>
      <c r="M303" s="11" t="s">
        <v>2906</v>
      </c>
    </row>
    <row r="304" spans="1:13" ht="62" customHeight="1">
      <c r="A304" s="8" t="s">
        <v>3228</v>
      </c>
      <c r="B304" s="8" t="s">
        <v>2756</v>
      </c>
      <c r="C304" s="8" t="s">
        <v>2757</v>
      </c>
      <c r="D304" s="8" t="s">
        <v>1131</v>
      </c>
      <c r="E304" s="8" t="s">
        <v>1242</v>
      </c>
      <c r="F304" s="8" t="s">
        <v>2905</v>
      </c>
      <c r="G304" s="8" t="s">
        <v>1121</v>
      </c>
      <c r="H304" s="8" t="s">
        <v>1122</v>
      </c>
      <c r="I304" s="8" t="s">
        <v>1123</v>
      </c>
      <c r="J304" s="8" t="s">
        <v>1124</v>
      </c>
      <c r="K304" s="8" t="s">
        <v>1243</v>
      </c>
      <c r="L304" s="8" t="s">
        <v>1126</v>
      </c>
      <c r="M304" s="9" t="s">
        <v>2906</v>
      </c>
    </row>
  </sheetData>
  <autoFilter ref="A5:M304"/>
  <mergeCells count="2">
    <mergeCell ref="A1:M2"/>
    <mergeCell ref="A3:M3"/>
  </mergeCells>
  <hyperlinks>
    <hyperlink ref="M6" location="'90_公式出典'!A62" display="S57 / S20 S53"/>
    <hyperlink ref="M7" location="'90_公式出典'!A62" display="S57 / S20 S53"/>
    <hyperlink ref="M8" location="'90_公式出典'!A62" display="S57 / S20 S53"/>
    <hyperlink ref="M9" location="'90_公式出典'!A62" display="S57 / S20"/>
    <hyperlink ref="M10" location="'90_公式出典'!A62" display="S57 / S20 S53"/>
    <hyperlink ref="M11" location="'90_公式出典'!A62" display="S57 / S20 S53"/>
    <hyperlink ref="M12" location="'90_公式出典'!A62" display="S57 / S20 S53"/>
    <hyperlink ref="M13" location="'90_公式出典'!A62" display="S57 / S17 S38"/>
    <hyperlink ref="M14" location="'90_公式出典'!A62" display="S57 / S20"/>
    <hyperlink ref="M15" location="'90_公式出典'!A62" display="S57 / S61"/>
    <hyperlink ref="M16" location="'90_公式出典'!A62" display="S57 / S04"/>
    <hyperlink ref="M17" location="'90_公式出典'!A62" display="S57 / S20 S53"/>
    <hyperlink ref="M18" location="'90_公式出典'!A62" display="S57 / S56 S57"/>
    <hyperlink ref="M19" location="'90_公式出典'!A62" display="S57 / S20 S53"/>
    <hyperlink ref="M20" location="'90_公式出典'!A62" display="S57 / S22"/>
    <hyperlink ref="M21" location="'90_公式出典'!A62" display="S57 / S10"/>
    <hyperlink ref="M22" location="'90_公式出典'!A62" display="S57 / S20 S53"/>
    <hyperlink ref="M23" location="'90_公式出典'!A62" display="S57 / S20 S53"/>
    <hyperlink ref="M24" location="'90_公式出典'!A62" display="S57 / S20 S53"/>
    <hyperlink ref="M25" location="'90_公式出典'!A62" display="S57 / S20 S15"/>
    <hyperlink ref="M26" location="'90_公式出典'!A62" display="S57 / S20 S15"/>
    <hyperlink ref="M27" location="'90_公式出典'!A62" display="S57 / S20 S15"/>
    <hyperlink ref="M28" location="'90_公式出典'!A62" display="S57 / S20 S15"/>
    <hyperlink ref="M29" location="'90_公式出典'!A62" display="S57 / S20 S15"/>
    <hyperlink ref="M30" location="'90_公式出典'!A62" display="S57 / S20 S15"/>
    <hyperlink ref="M31" location="'90_公式出典'!A62" display="S57 / S20 S53"/>
    <hyperlink ref="M32" location="'90_公式出典'!A62" display="S57 / S20 S53"/>
    <hyperlink ref="M33" location="'90_公式出典'!A62" display="S57 / S53"/>
    <hyperlink ref="M34" location="'90_公式出典'!A62" display="S57 / S20 S53"/>
    <hyperlink ref="M35" location="'90_公式出典'!A62" display="S57 / S53"/>
    <hyperlink ref="M36" location="'90_公式出典'!A62" display="S57 / S20 S53"/>
    <hyperlink ref="M37" location="'90_公式出典'!A62" display="S57 / S20 S53"/>
    <hyperlink ref="M38" location="'90_公式出典'!A62" display="S57 / S20 S53"/>
    <hyperlink ref="M39" location="'90_公式出典'!A62" display="S57 / S20 S53"/>
    <hyperlink ref="M40" location="'90_公式出典'!A62" display="S57 / S20 S53"/>
    <hyperlink ref="M41" location="'90_公式出典'!A62" display="S57 / S20 S53"/>
    <hyperlink ref="M42" location="'90_公式出典'!A62" display="S57 / S20 S53"/>
    <hyperlink ref="M43" location="'90_公式出典'!A62" display="S57 / S20 S53"/>
    <hyperlink ref="M44" location="'90_公式出典'!A62" display="S57 / S20 S53"/>
    <hyperlink ref="M45" location="'90_公式出典'!A62" display="S57 / S20 S53"/>
    <hyperlink ref="M46" location="'90_公式出典'!A62" display="S57 / S53"/>
    <hyperlink ref="M47" location="'90_公式出典'!A62" display="S57 / S20 S53"/>
    <hyperlink ref="M48" location="'90_公式出典'!A62" display="S57 / S20 S53"/>
    <hyperlink ref="M49" location="'90_公式出典'!A62" display="S57 / S20 S53"/>
    <hyperlink ref="M50" location="'90_公式出典'!A62" display="S57 / S20 S53"/>
    <hyperlink ref="M51" location="'90_公式出典'!A62" display="S57 / S20 S53"/>
    <hyperlink ref="M52" location="'90_公式出典'!A62" display="S57 / S20 S53"/>
    <hyperlink ref="M53" location="'90_公式出典'!A62" display="S57 / S20 S53"/>
    <hyperlink ref="M54" location="'90_公式出典'!A62" display="S57 / S20 S53"/>
    <hyperlink ref="M55" location="'90_公式出典'!A62" display="S57 / S20 S53"/>
    <hyperlink ref="M56" location="'90_公式出典'!A62" display="S57 / S20"/>
    <hyperlink ref="M57" location="'90_公式出典'!A62" display="S57 / S20"/>
    <hyperlink ref="M58" location="'90_公式出典'!A62" display="S57 / S20 S53"/>
    <hyperlink ref="M59" location="'90_公式出典'!A62" display="S57 / S53"/>
    <hyperlink ref="M60" location="'90_公式出典'!A62" display="S57 / S17 S38"/>
    <hyperlink ref="M61" location="'90_公式出典'!A62" display="S57 / S20 S53"/>
    <hyperlink ref="M62" location="'90_公式出典'!A62" display="S57 / S08"/>
    <hyperlink ref="M63" location="'90_公式出典'!A62" display="S57 / S54 S35"/>
    <hyperlink ref="M64" location="'90_公式出典'!A62" display="S57 / S54 S35"/>
    <hyperlink ref="M65" location="'90_公式出典'!A62" display="S57 / S54 S35"/>
    <hyperlink ref="M66" location="'90_公式出典'!A62" display="S57 / S17 S38"/>
    <hyperlink ref="M67" location="'90_公式出典'!A62" display="S57 / S17 S38"/>
    <hyperlink ref="M68" location="'90_公式出典'!A62" display="S57 / S17 S38"/>
    <hyperlink ref="M69" location="'90_公式出典'!A62" display="S57 / S17 S38"/>
    <hyperlink ref="M70" location="'90_公式出典'!A62" display="S57 / S17 S38"/>
    <hyperlink ref="M71" location="'90_公式出典'!A62" display="S57 / S17 S38"/>
    <hyperlink ref="M72" location="'90_公式出典'!A62" display="S57 / S17"/>
    <hyperlink ref="M73" location="'90_公式出典'!A62" display="S57 / S17 S38"/>
    <hyperlink ref="M74" location="'90_公式出典'!A62" display="S57 / S54 S35"/>
    <hyperlink ref="M75" location="'90_公式出典'!A62" display="S57 / S54"/>
    <hyperlink ref="M76" location="'90_公式出典'!A62" display="S57 / S54 S35"/>
    <hyperlink ref="M77" location="'90_公式出典'!A62" display="S57 / S53 S54"/>
    <hyperlink ref="M78" location="'90_公式出典'!A62" display="S57 / S54 S35"/>
    <hyperlink ref="M79" location="'90_公式出典'!A62" display="S57 / S54 S35"/>
    <hyperlink ref="M80" location="'90_公式出典'!A62" display="S57 / S54 S35"/>
    <hyperlink ref="M81" location="'90_公式出典'!A62" display="S57 / S54"/>
    <hyperlink ref="M82" location="'90_公式出典'!A62" display="S57 / S54"/>
    <hyperlink ref="M83" location="'90_公式出典'!A62" display="S57 / S54"/>
    <hyperlink ref="M84" location="'90_公式出典'!A62" display="S57 / S54"/>
    <hyperlink ref="M85" location="'90_公式出典'!A62" display="S57 / S54"/>
    <hyperlink ref="M86" location="'90_公式出典'!A62" display="S57 / S54 S35"/>
    <hyperlink ref="M87" location="'90_公式出典'!A62" display="S57 / S54 S35"/>
    <hyperlink ref="M88" location="'90_公式出典'!A62" display="S57 / S54"/>
    <hyperlink ref="M89" location="'90_公式出典'!A62" display="S57 / S54 S35"/>
    <hyperlink ref="M90" location="'90_公式出典'!A62" display="S57 / S54 S35"/>
    <hyperlink ref="M91" location="'90_公式出典'!A62" display="S57 / S54 S35"/>
    <hyperlink ref="M92" location="'90_公式出典'!A62" display="S57 / S54 S35"/>
    <hyperlink ref="M93" location="'90_公式出典'!A62" display="S57 / S54 S35"/>
    <hyperlink ref="M94" location="'90_公式出典'!A62" display="S57 / S54 S35"/>
    <hyperlink ref="M95" location="'90_公式出典'!A62" display="S57 / S54 S35"/>
    <hyperlink ref="M96" location="'90_公式出典'!A62" display="S57 / S54 S35"/>
    <hyperlink ref="M97" location="'90_公式出典'!A62" display="S57 / S54 S35"/>
    <hyperlink ref="M98" location="'90_公式出典'!A62" display="S57 / S54 S35"/>
    <hyperlink ref="M99" location="'90_公式出典'!A62" display="S57 / S54 S35"/>
    <hyperlink ref="M100" location="'90_公式出典'!A62" display="S57 / S54 S35"/>
    <hyperlink ref="M101" location="'90_公式出典'!A62" display="S57 / S54 S35"/>
    <hyperlink ref="M102" location="'90_公式出典'!A62" display="S57 / S20"/>
    <hyperlink ref="M103" location="'90_公式出典'!A62" display="S57 / S54 S35"/>
    <hyperlink ref="M104" location="'90_公式出典'!A62" display="S57 / S54 S35"/>
    <hyperlink ref="M105" location="'90_公式出典'!A62" display="S57 / S54 S35"/>
    <hyperlink ref="M106" location="'90_公式出典'!A62" display="S57 / S17 S38"/>
    <hyperlink ref="M107" location="'90_公式出典'!A62" display="S57 / S54 S35"/>
    <hyperlink ref="M108" location="'90_公式出典'!A62" display="S57 / S02 S54"/>
    <hyperlink ref="M109" location="'90_公式出典'!A62" display="S57 / S54 S35"/>
    <hyperlink ref="M110" location="'90_公式出典'!A62" display="S57 / S54"/>
    <hyperlink ref="M111" location="'90_公式出典'!A62" display="S57 / S54"/>
    <hyperlink ref="M112" location="'90_公式出典'!A62" display="S57 / S54 S35"/>
    <hyperlink ref="M113" location="'90_公式出典'!A62" display="S57 / S54 S35"/>
    <hyperlink ref="M114" location="'90_公式出典'!A62" display="S57 / S54 S35"/>
    <hyperlink ref="M115" location="'90_公式出典'!A62" display="S57 / S54 S35"/>
    <hyperlink ref="M116" location="'90_公式出典'!A62" display="S57 / S54 S35"/>
    <hyperlink ref="M117" location="'90_公式出典'!A62" display="S57 / S54 S35"/>
    <hyperlink ref="M118" location="'90_公式出典'!A62" display="S57 / S54 S35"/>
    <hyperlink ref="M119" location="'90_公式出典'!A62" display="S57 / S54 S35"/>
    <hyperlink ref="M120" location="'90_公式出典'!A62" display="S57 / S27 S53"/>
    <hyperlink ref="M121" location="'90_公式出典'!A62" display="S57 / S20 S53"/>
    <hyperlink ref="M122" location="'90_公式出典'!A62" display="S57 / S17 S38"/>
    <hyperlink ref="M123" location="'90_公式出典'!A62" display="S57 / S20 S53"/>
    <hyperlink ref="M124" location="'90_公式出典'!A62" display="S57 / S17 S38"/>
    <hyperlink ref="M125" location="'90_公式出典'!A62" display="S57 / S20 S53"/>
    <hyperlink ref="M126" location="'90_公式出典'!A62" display="S57 / S20 S53"/>
    <hyperlink ref="M127" location="'90_公式出典'!A62" display="S57 / S20 S53"/>
    <hyperlink ref="M128" location="'90_公式出典'!A62" display="S57 / S53"/>
    <hyperlink ref="M129" location="'90_公式出典'!A62" display="S57 / S53"/>
    <hyperlink ref="M130" location="'90_公式出典'!A62" display="S57 / S20"/>
    <hyperlink ref="M131" location="'90_公式出典'!A62" display="S57 / S20"/>
    <hyperlink ref="M132" location="'90_公式出典'!A62" display="S57 / S20"/>
    <hyperlink ref="M133" location="'90_公式出典'!A62" display="S57 / S20"/>
    <hyperlink ref="M134" location="'90_公式出典'!A62" display="S57 / S20"/>
    <hyperlink ref="M135" location="'90_公式出典'!A62" display="S57 / S20"/>
    <hyperlink ref="M136" location="'90_公式出典'!A62" display="S57 / S53"/>
    <hyperlink ref="M137" location="'90_公式出典'!A62" display="S57 / S20"/>
    <hyperlink ref="M138" location="'90_公式出典'!A62" display="S57 / S53"/>
    <hyperlink ref="M139" location="'90_公式出典'!A62" display="S57 / S20"/>
    <hyperlink ref="M140" location="'90_公式出典'!A62" display="S57 / S20"/>
    <hyperlink ref="M141" location="'90_公式出典'!A62" display="S57 / S20"/>
    <hyperlink ref="M142" location="'90_公式出典'!A62" display="S57 / S53"/>
    <hyperlink ref="M143" location="'90_公式出典'!A62" display="S57 / S20 S53"/>
    <hyperlink ref="M144" location="'90_公式出典'!A62" display="S57 / S09 S53"/>
    <hyperlink ref="M145" location="'90_公式出典'!A62" display="S57 / S17 S38"/>
    <hyperlink ref="M146" location="'90_公式出典'!A62" display="S57 / S20 S53"/>
    <hyperlink ref="M147" location="'90_公式出典'!A62" display="S57 / S17 S38"/>
    <hyperlink ref="M148" location="'90_公式出典'!A62" display="S57 / S20 S53"/>
    <hyperlink ref="M149" location="'90_公式出典'!A62" display="S57 / S17 S08"/>
    <hyperlink ref="M150" location="'90_公式出典'!A62" display="S57 / S20 S53"/>
    <hyperlink ref="M151" location="'90_公式出典'!A62" display="S57 / S20 S53"/>
    <hyperlink ref="M152" location="'90_公式出典'!A62" display="S57 / S20 S53"/>
    <hyperlink ref="M153" location="'90_公式出典'!A62" display="S57 / S53"/>
    <hyperlink ref="M154" location="'90_公式出典'!A62" display="S57 / S17 S38"/>
    <hyperlink ref="M155" location="'90_公式出典'!A62" display="S57 / S20 S53"/>
    <hyperlink ref="M156" location="'90_公式出典'!A62" display="S57 / S53"/>
    <hyperlink ref="M157" location="'90_公式出典'!A62" display="S57 / S20 S53"/>
    <hyperlink ref="M158" location="'90_公式出典'!A62" display="S57 / S20 S53"/>
    <hyperlink ref="M159" location="'90_公式出典'!A62" display="S57 / S20 S53"/>
    <hyperlink ref="M160" location="'90_公式出典'!A62" display="S57 / S20 S53"/>
    <hyperlink ref="M161" location="'90_公式出典'!A62" display="S57 / S20 S53"/>
    <hyperlink ref="M162" location="'90_公式出典'!A62" display="S57 / S53 S07"/>
    <hyperlink ref="M163" location="'90_公式出典'!A62" display="S57 / S20 S53"/>
    <hyperlink ref="M164" location="'90_公式出典'!A62" display="S57 / S20 S53"/>
    <hyperlink ref="M165" location="'90_公式出典'!A62" display="S57 / S20 S53"/>
    <hyperlink ref="M166" location="'90_公式出典'!A62" display="S57 / S20 S53"/>
    <hyperlink ref="M167" location="'90_公式出典'!A62" display="S57 / S20 S53"/>
    <hyperlink ref="M168" location="'90_公式出典'!A62" display="S57 / S20 S53"/>
    <hyperlink ref="M169" location="'90_公式出典'!A62" display="S57 / S20 S53"/>
    <hyperlink ref="M170" location="'90_公式出典'!A62" display="S57 / S20 S53"/>
    <hyperlink ref="M171" location="'90_公式出典'!A62" display="S57 / S17 S38"/>
    <hyperlink ref="M172" location="'90_公式出典'!A62" display="S57 / S53"/>
    <hyperlink ref="M173" location="'90_公式出典'!A62" display="S57 / S53 S54"/>
    <hyperlink ref="M174" location="'90_公式出典'!A62" display="S57 / S53"/>
    <hyperlink ref="M175" location="'90_公式出典'!A62" display="S57 / S53"/>
    <hyperlink ref="M176" location="'90_公式出典'!A62" display="S57 / S53"/>
    <hyperlink ref="M177" location="'90_公式出典'!A62" display="S57 / S53"/>
    <hyperlink ref="M178" location="'90_公式出典'!A62" display="S57 / S53"/>
    <hyperlink ref="M179" location="'90_公式出典'!A62" display="S57 / S53"/>
    <hyperlink ref="M180" location="'90_公式出典'!A62" display="S57 / S53"/>
    <hyperlink ref="M181" location="'90_公式出典'!A62" display="S57 / S53"/>
    <hyperlink ref="M182" location="'90_公式出典'!A62" display="S57 / S53"/>
    <hyperlink ref="M183" location="'90_公式出典'!A62" display="S57 / S45 S46"/>
    <hyperlink ref="M184" location="'90_公式出典'!A62" display="S57 / S55 S46"/>
    <hyperlink ref="M185" location="'90_公式出典'!A62" display="S57 / S55 S46"/>
    <hyperlink ref="M186" location="'90_公式出典'!A62" display="S57 / S55 S46"/>
    <hyperlink ref="M187" location="'90_公式出典'!A62" display="S57 / S55 S46"/>
    <hyperlink ref="M188" location="'90_公式出典'!A62" display="S57 / S55 S46"/>
    <hyperlink ref="M189" location="'90_公式出典'!A62" display="S57 / S55 S46"/>
    <hyperlink ref="M190" location="'90_公式出典'!A62" display="S57 / S55 S46"/>
    <hyperlink ref="M191" location="'90_公式出典'!A62" display="S57 / S55 S46"/>
    <hyperlink ref="M192" location="'90_公式出典'!A62" display="S57 / S55 S46"/>
    <hyperlink ref="M193" location="'90_公式出典'!A62" display="S57 / S55 S46"/>
    <hyperlink ref="M194" location="'90_公式出典'!A62" display="S57 / S55 S46"/>
    <hyperlink ref="M195" location="'90_公式出典'!A62" display="S57 / S55 S46"/>
    <hyperlink ref="M196" location="'90_公式出典'!A62" display="S57 / S55 S46"/>
    <hyperlink ref="M197" location="'90_公式出典'!A62" display="S57 / S55 S46"/>
    <hyperlink ref="M198" location="'90_公式出典'!A62" display="S57 / S55 S46"/>
    <hyperlink ref="M199" location="'90_公式出典'!A62" display="S57 / S55 S46"/>
    <hyperlink ref="M200" location="'90_公式出典'!A62" display="S57 / S55 S46"/>
    <hyperlink ref="M201" location="'90_公式出典'!A62" display="S57 / S55 S46"/>
    <hyperlink ref="M202" location="'90_公式出典'!A62" display="S57 / S55 S46"/>
    <hyperlink ref="M203" location="'90_公式出典'!A62" display="S57 / S55 S46"/>
    <hyperlink ref="M204" location="'90_公式出典'!A62" display="S57 / S55 S46"/>
    <hyperlink ref="M205" location="'90_公式出典'!A62" display="S57 / S55 S46"/>
    <hyperlink ref="M206" location="'90_公式出典'!A62" display="S57 / S55 S46"/>
    <hyperlink ref="M207" location="'90_公式出典'!A62" display="S57 / S55 S46"/>
    <hyperlink ref="M208" location="'90_公式出典'!A62" display="S57 / S55 S46"/>
    <hyperlink ref="M209" location="'90_公式出典'!A62" display="S57 / S55 S46"/>
    <hyperlink ref="M210" location="'90_公式出典'!A62" display="S57 / S55 S46"/>
    <hyperlink ref="M211" location="'90_公式出典'!A62" display="S57 / S55 S46"/>
    <hyperlink ref="M212" location="'90_公式出典'!A62" display="S57 / S55 S46"/>
    <hyperlink ref="M213" location="'90_公式出典'!A62" display="S57 / S55 S46"/>
    <hyperlink ref="M214" location="'90_公式出典'!A62" display="S57 / S55 S46"/>
    <hyperlink ref="M215" location="'90_公式出典'!A62" display="S57 / S55 S46"/>
    <hyperlink ref="M216" location="'90_公式出典'!A62" display="S57 / S55 S46"/>
    <hyperlink ref="M217" location="'90_公式出典'!A62" display="S57 / S55 S46"/>
    <hyperlink ref="M218" location="'90_公式出典'!A62" display="S57 / S55 S46"/>
    <hyperlink ref="M219" location="'90_公式出典'!A62" display="S57 / S55 S46"/>
    <hyperlink ref="M220" location="'90_公式出典'!A62" display="S57 / S55 S46"/>
    <hyperlink ref="M221" location="'90_公式出典'!A62" display="S57 / S55 S46"/>
    <hyperlink ref="M222" location="'90_公式出典'!A62" display="S57 / S55 S46"/>
    <hyperlink ref="M223" location="'90_公式出典'!A62" display="S57 / S55 S46"/>
    <hyperlink ref="M224" location="'90_公式出典'!A62" display="S57 / S55 S46"/>
    <hyperlink ref="M225" location="'90_公式出典'!A62" display="S57 / S55 S46"/>
    <hyperlink ref="M226" location="'90_公式出典'!A62" display="S57 / S55 S46"/>
    <hyperlink ref="M227" location="'90_公式出典'!A62" display="S57 / S55 S46"/>
    <hyperlink ref="M228" location="'90_公式出典'!A62" display="S57 / S55 S46"/>
    <hyperlink ref="M229" location="'90_公式出典'!A62" display="S57 / S55 S46"/>
    <hyperlink ref="M230" location="'90_公式出典'!A62" display="S57 / S55 S46"/>
    <hyperlink ref="M231" location="'90_公式出典'!A62" display="S57 / S55 S46"/>
    <hyperlink ref="M232" location="'90_公式出典'!A62" display="S57 / S55 S46"/>
    <hyperlink ref="M233" location="'90_公式出典'!A62" display="S57 / S55 S46"/>
    <hyperlink ref="M234" location="'90_公式出典'!A62" display="S57 / S55 S46"/>
    <hyperlink ref="M235" location="'90_公式出典'!A62" display="S57 / S55 S46"/>
    <hyperlink ref="M236" location="'90_公式出典'!A62" display="S57 / S55 S46"/>
    <hyperlink ref="M237" location="'90_公式出典'!A62" display="S57 / S55 S46"/>
    <hyperlink ref="M238" location="'90_公式出典'!A62" display="S57 / S55 S46"/>
    <hyperlink ref="M239" location="'90_公式出典'!A62" display="S57 / S55 S46"/>
    <hyperlink ref="M240" location="'90_公式出典'!A62" display="S57 / S20 S53"/>
    <hyperlink ref="M241" location="'90_公式出典'!A62" display="S57 / S20 S53"/>
    <hyperlink ref="M242" location="'90_公式出典'!A62" display="S57 / S20 S53"/>
    <hyperlink ref="M243" location="'90_公式出典'!A62" display="S57 / S17 S38"/>
    <hyperlink ref="M244" location="'90_公式出典'!A62" display="S57 / S20 S53"/>
    <hyperlink ref="M245" location="'90_公式出典'!A62" display="S57 / S20 S53"/>
    <hyperlink ref="M246" location="'90_公式出典'!A62" display="S57 / S20 S53"/>
    <hyperlink ref="M247" location="'90_公式出典'!A62" display="S57 / S53"/>
    <hyperlink ref="M248" location="'90_公式出典'!A62" display="S57 / S53"/>
    <hyperlink ref="M249" location="'90_公式出典'!A62" display="S57 / S17 S38"/>
    <hyperlink ref="M250" location="'90_公式出典'!A62" display="S57 / S17 S38"/>
    <hyperlink ref="M251" location="'90_公式出典'!A62" display="S57 / S53"/>
    <hyperlink ref="M252" location="'90_公式出典'!A62" display="S57 / S53"/>
    <hyperlink ref="M253" location="'90_公式出典'!A62" display="S57 / S20 S15"/>
    <hyperlink ref="M254" location="'90_公式出典'!A62" display="S57 / S20 S15"/>
    <hyperlink ref="M255" location="'90_公式出典'!A62" display="S57 / S20 S15"/>
    <hyperlink ref="M256" location="'90_公式出典'!A62" display="S57 / S20 S15"/>
    <hyperlink ref="M257" location="'90_公式出典'!A62" display="S57 / S20 S15"/>
    <hyperlink ref="M258" location="'90_公式出典'!A62" display="S57 / S20 S15"/>
    <hyperlink ref="M259" location="'90_公式出典'!A62" display="S57 / S20 S15"/>
    <hyperlink ref="M260" location="'90_公式出典'!A62" display="S57 / S20 S53"/>
    <hyperlink ref="M261" location="'90_公式出典'!A62" display="S57 / S17 S38"/>
    <hyperlink ref="M262" location="'90_公式出典'!A62" display="S57 / S20 S53"/>
    <hyperlink ref="M263" location="'90_公式出典'!A62" display="S57 / S20 S53"/>
    <hyperlink ref="M264" location="'90_公式出典'!A62" display="S57 / S20 S53"/>
    <hyperlink ref="M265" location="'90_公式出典'!A62" display="S57 / S20 S53"/>
    <hyperlink ref="M266" location="'90_公式出典'!A62" display="S57 / S20 S53"/>
    <hyperlink ref="M267" location="'90_公式出典'!A62" display="S57 / S20 S53"/>
    <hyperlink ref="M268" location="'90_公式出典'!A62" display="S57 / S20"/>
    <hyperlink ref="M269" location="'90_公式出典'!A62" display="S57 / S20"/>
    <hyperlink ref="M270" location="'90_公式出典'!A62" display="S57 / S20"/>
    <hyperlink ref="M271" location="'90_公式出典'!A62" display="S57 / S20 S53"/>
    <hyperlink ref="M272" location="'90_公式出典'!A62" display="S57 / S17 S38"/>
    <hyperlink ref="M273" location="'90_公式出典'!A62" display="S57 / S53"/>
    <hyperlink ref="M274" location="'90_公式出典'!A62" display="S57 / S53"/>
    <hyperlink ref="M275" location="'90_公式出典'!A62" display="S57 / S53"/>
    <hyperlink ref="M276" location="'90_公式出典'!A62" display="S57 / S22 S23"/>
    <hyperlink ref="M277" location="'90_公式出典'!A62" display="S57 / S22 S23"/>
    <hyperlink ref="M278" location="'90_公式出典'!A62" display="S57 / S17 S38"/>
    <hyperlink ref="M279" location="'90_公式出典'!A62" display="S57 / S17 S38"/>
    <hyperlink ref="M280" location="'90_公式出典'!A62" display="S57 / S20 S53"/>
    <hyperlink ref="M281" location="'90_公式出典'!A62" display="S57 / S20 S15"/>
    <hyperlink ref="M282" location="'90_公式出典'!A62" display="S57 / S20 S15"/>
    <hyperlink ref="M283" location="'90_公式出典'!A62" display="S57 / S20 S53"/>
    <hyperlink ref="M284" location="'90_公式出典'!A62" display="S57 / S17 S38"/>
    <hyperlink ref="M285" location="'90_公式出典'!A62" display="S57 / S17"/>
    <hyperlink ref="M286" location="'90_公式出典'!A62" display="S57 / S17"/>
    <hyperlink ref="M287" location="'90_公式出典'!A62" display="S57 / S17 S38"/>
    <hyperlink ref="M288" location="'90_公式出典'!A62" display="S57 / S17 S38"/>
    <hyperlink ref="M289" location="'90_公式出典'!A62" display="S57 / S17 S38"/>
    <hyperlink ref="M290" location="'90_公式出典'!A62" display="S57 / S17 S38"/>
    <hyperlink ref="M291" location="'90_公式出典'!A62" display="S57 / S17 S38"/>
    <hyperlink ref="M292" location="'90_公式出典'!A62" display="S57 / S17 S38"/>
    <hyperlink ref="M293" location="'90_公式出典'!A62" display="S57 / S20 S53"/>
    <hyperlink ref="M294" location="'90_公式出典'!A62" display="S57 / S20 S53"/>
    <hyperlink ref="M295" location="'90_公式出典'!A62" display="S57 / S20 S53"/>
    <hyperlink ref="M296" location="'90_公式出典'!A62" display="S57 / S17 S38"/>
    <hyperlink ref="M297" location="'90_公式出典'!A62" display="S57 / S20 S53"/>
    <hyperlink ref="M298" location="'90_公式出典'!A62" display="S57 / S53"/>
    <hyperlink ref="M299" location="'90_公式出典'!A62" display="S57 / S20 S53"/>
    <hyperlink ref="M300" location="'90_公式出典'!A62" display="S57 / S20 S53"/>
    <hyperlink ref="M301" location="'90_公式出典'!A62" display="S57 / S22 S23"/>
    <hyperlink ref="M302" location="'90_公式出典'!A62" display="S57 / S07 S53"/>
    <hyperlink ref="M303" location="'90_公式出典'!A62" display="S57 / S20 S53"/>
    <hyperlink ref="M304" location="'90_公式出典'!A62" display="S57 / S20 S53"/>
  </hyperlinks>
  <pageMargins left="0.3" right="0.3" top="0.45" bottom="0.45" header="0.3" footer="0.3"/>
  <pageSetup paperSize="8" fitToWidth="2"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21.xml><?xml version="1.0" encoding="utf-8"?>
<worksheet xmlns="http://schemas.openxmlformats.org/spreadsheetml/2006/main" xmlns:r="http://schemas.openxmlformats.org/officeDocument/2006/relationships">
  <sheetPr>
    <tabColor rgb="FF777777"/>
    <pageSetUpPr fitToPage="1"/>
  </sheetPr>
  <dimension ref="A1:I304"/>
  <sheetViews>
    <sheetView showGridLines="0" zoomScale="80" zoomScaleNormal="8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9.7109375" customWidth="1"/>
    <col min="2" max="2" width="44.7109375" customWidth="1"/>
    <col min="3" max="4" width="40.7109375" customWidth="1"/>
    <col min="5" max="5" width="46.7109375" customWidth="1"/>
    <col min="6" max="6" width="68.7109375" customWidth="1"/>
    <col min="7" max="7" width="44.7109375" customWidth="1"/>
    <col min="8" max="8" width="18.7109375" customWidth="1"/>
    <col min="9" max="9" width="22.7109375" customWidth="1"/>
  </cols>
  <sheetData>
    <row r="1" spans="1:9" ht="26" customHeight="1">
      <c r="A1" s="5" t="s">
        <v>3229</v>
      </c>
      <c r="B1" s="5"/>
      <c r="C1" s="5"/>
      <c r="D1" s="5"/>
      <c r="E1" s="5"/>
      <c r="F1" s="5"/>
      <c r="G1" s="5"/>
      <c r="H1" s="5"/>
      <c r="I1" s="5"/>
    </row>
    <row r="2" spans="1:9" ht="26" customHeight="1">
      <c r="A2" s="5"/>
      <c r="B2" s="5"/>
      <c r="C2" s="5"/>
      <c r="D2" s="5"/>
      <c r="E2" s="5"/>
      <c r="F2" s="5"/>
      <c r="G2" s="5"/>
      <c r="H2" s="5"/>
      <c r="I2" s="5"/>
    </row>
    <row r="3" spans="1:9" ht="48" customHeight="1">
      <c r="A3" s="6" t="s">
        <v>2759</v>
      </c>
      <c r="B3" s="6"/>
      <c r="C3" s="6"/>
      <c r="D3" s="6"/>
      <c r="E3" s="6"/>
      <c r="F3" s="6"/>
      <c r="G3" s="6"/>
      <c r="H3" s="6"/>
      <c r="I3" s="6"/>
    </row>
    <row r="4" spans="1:9" ht="12" customHeight="1"/>
    <row r="5" spans="1:9" ht="38" customHeight="1">
      <c r="A5" s="7" t="s">
        <v>1103</v>
      </c>
      <c r="B5" s="7" t="s">
        <v>1104</v>
      </c>
      <c r="C5" s="7" t="s">
        <v>2760</v>
      </c>
      <c r="D5" s="7" t="s">
        <v>2761</v>
      </c>
      <c r="E5" s="7" t="s">
        <v>2762</v>
      </c>
      <c r="F5" s="7" t="s">
        <v>2763</v>
      </c>
      <c r="G5" s="7" t="s">
        <v>2764</v>
      </c>
      <c r="H5" s="7" t="s">
        <v>2765</v>
      </c>
      <c r="I5" s="7" t="s">
        <v>33</v>
      </c>
    </row>
    <row r="6" spans="1:9" ht="45" customHeight="1">
      <c r="A6" s="8" t="s">
        <v>2904</v>
      </c>
      <c r="B6" s="8" t="s">
        <v>1116</v>
      </c>
      <c r="C6" s="8" t="s">
        <v>2766</v>
      </c>
      <c r="D6" s="8" t="s">
        <v>2766</v>
      </c>
      <c r="E6" s="8" t="s">
        <v>2766</v>
      </c>
      <c r="F6" s="8" t="s">
        <v>2767</v>
      </c>
      <c r="G6" s="8" t="s">
        <v>1126</v>
      </c>
      <c r="H6" s="8" t="s">
        <v>2768</v>
      </c>
      <c r="I6" s="9" t="s">
        <v>2769</v>
      </c>
    </row>
    <row r="7" spans="1:9" ht="34" customHeight="1">
      <c r="A7" s="10" t="s">
        <v>2907</v>
      </c>
      <c r="B7" s="10" t="s">
        <v>1129</v>
      </c>
      <c r="C7" s="10" t="s">
        <v>2770</v>
      </c>
      <c r="D7" s="10" t="s">
        <v>2770</v>
      </c>
      <c r="E7" s="10" t="s">
        <v>2770</v>
      </c>
      <c r="F7" s="10" t="s">
        <v>2771</v>
      </c>
      <c r="G7" s="12" t="s">
        <v>1136</v>
      </c>
      <c r="H7" s="12" t="s">
        <v>2772</v>
      </c>
      <c r="I7" s="11" t="s">
        <v>2769</v>
      </c>
    </row>
    <row r="8" spans="1:9" ht="45" customHeight="1">
      <c r="A8" s="8" t="s">
        <v>2908</v>
      </c>
      <c r="B8" s="8" t="s">
        <v>1144</v>
      </c>
      <c r="C8" s="8" t="s">
        <v>2766</v>
      </c>
      <c r="D8" s="8" t="s">
        <v>2766</v>
      </c>
      <c r="E8" s="8" t="s">
        <v>2766</v>
      </c>
      <c r="F8" s="8" t="s">
        <v>2767</v>
      </c>
      <c r="G8" s="8" t="s">
        <v>1126</v>
      </c>
      <c r="H8" s="8" t="s">
        <v>2768</v>
      </c>
      <c r="I8" s="9" t="s">
        <v>2769</v>
      </c>
    </row>
    <row r="9" spans="1:9" ht="45" customHeight="1">
      <c r="A9" s="10" t="s">
        <v>2909</v>
      </c>
      <c r="B9" s="10" t="s">
        <v>1148</v>
      </c>
      <c r="C9" s="10" t="s">
        <v>2773</v>
      </c>
      <c r="D9" s="10" t="s">
        <v>2773</v>
      </c>
      <c r="E9" s="10" t="s">
        <v>2773</v>
      </c>
      <c r="F9" s="10" t="s">
        <v>2774</v>
      </c>
      <c r="G9" s="10" t="s">
        <v>1126</v>
      </c>
      <c r="H9" s="10" t="s">
        <v>2775</v>
      </c>
      <c r="I9" s="11" t="s">
        <v>1087</v>
      </c>
    </row>
    <row r="10" spans="1:9" ht="45" customHeight="1">
      <c r="A10" s="8" t="s">
        <v>2911</v>
      </c>
      <c r="B10" s="8" t="s">
        <v>1177</v>
      </c>
      <c r="C10" s="8" t="s">
        <v>2766</v>
      </c>
      <c r="D10" s="8" t="s">
        <v>2766</v>
      </c>
      <c r="E10" s="8" t="s">
        <v>2766</v>
      </c>
      <c r="F10" s="8" t="s">
        <v>2767</v>
      </c>
      <c r="G10" s="8" t="s">
        <v>1126</v>
      </c>
      <c r="H10" s="8" t="s">
        <v>2768</v>
      </c>
      <c r="I10" s="9" t="s">
        <v>2769</v>
      </c>
    </row>
    <row r="11" spans="1:9" ht="45" customHeight="1">
      <c r="A11" s="10" t="s">
        <v>2912</v>
      </c>
      <c r="B11" s="10" t="s">
        <v>1183</v>
      </c>
      <c r="C11" s="10" t="s">
        <v>2766</v>
      </c>
      <c r="D11" s="10" t="s">
        <v>2766</v>
      </c>
      <c r="E11" s="10" t="s">
        <v>2766</v>
      </c>
      <c r="F11" s="10" t="s">
        <v>2767</v>
      </c>
      <c r="G11" s="10" t="s">
        <v>1126</v>
      </c>
      <c r="H11" s="10" t="s">
        <v>2768</v>
      </c>
      <c r="I11" s="11" t="s">
        <v>2769</v>
      </c>
    </row>
    <row r="12" spans="1:9" ht="45" customHeight="1">
      <c r="A12" s="8" t="s">
        <v>2913</v>
      </c>
      <c r="B12" s="8" t="s">
        <v>1186</v>
      </c>
      <c r="C12" s="8" t="s">
        <v>2766</v>
      </c>
      <c r="D12" s="8" t="s">
        <v>2766</v>
      </c>
      <c r="E12" s="8" t="s">
        <v>2766</v>
      </c>
      <c r="F12" s="8" t="s">
        <v>2767</v>
      </c>
      <c r="G12" s="8" t="s">
        <v>1126</v>
      </c>
      <c r="H12" s="8" t="s">
        <v>2768</v>
      </c>
      <c r="I12" s="9" t="s">
        <v>2769</v>
      </c>
    </row>
    <row r="13" spans="1:9" ht="45" customHeight="1">
      <c r="A13" s="10" t="s">
        <v>2914</v>
      </c>
      <c r="B13" s="10" t="s">
        <v>1190</v>
      </c>
      <c r="C13" s="10" t="s">
        <v>2766</v>
      </c>
      <c r="D13" s="10" t="s">
        <v>2766</v>
      </c>
      <c r="E13" s="10" t="s">
        <v>2766</v>
      </c>
      <c r="F13" s="10" t="s">
        <v>2780</v>
      </c>
      <c r="G13" s="10" t="s">
        <v>1126</v>
      </c>
      <c r="H13" s="10" t="s">
        <v>2768</v>
      </c>
      <c r="I13" s="11" t="s">
        <v>2781</v>
      </c>
    </row>
    <row r="14" spans="1:9" ht="45" customHeight="1">
      <c r="A14" s="8" t="s">
        <v>2916</v>
      </c>
      <c r="B14" s="8" t="s">
        <v>1203</v>
      </c>
      <c r="C14" s="8" t="s">
        <v>2783</v>
      </c>
      <c r="D14" s="8" t="s">
        <v>2783</v>
      </c>
      <c r="E14" s="8" t="s">
        <v>2783</v>
      </c>
      <c r="F14" s="8" t="s">
        <v>2784</v>
      </c>
      <c r="G14" s="8" t="s">
        <v>1126</v>
      </c>
      <c r="H14" s="8" t="s">
        <v>2775</v>
      </c>
      <c r="I14" s="9" t="s">
        <v>1087</v>
      </c>
    </row>
    <row r="15" spans="1:9" ht="45" customHeight="1">
      <c r="A15" s="10" t="s">
        <v>2917</v>
      </c>
      <c r="B15" s="10" t="s">
        <v>1207</v>
      </c>
      <c r="C15" s="10" t="s">
        <v>2785</v>
      </c>
      <c r="D15" s="10" t="s">
        <v>2785</v>
      </c>
      <c r="E15" s="10" t="s">
        <v>2785</v>
      </c>
      <c r="F15" s="10" t="s">
        <v>2786</v>
      </c>
      <c r="G15" s="10" t="s">
        <v>1209</v>
      </c>
      <c r="H15" s="10" t="s">
        <v>2775</v>
      </c>
      <c r="I15" s="11" t="s">
        <v>2787</v>
      </c>
    </row>
    <row r="16" spans="1:9" ht="45" customHeight="1">
      <c r="A16" s="8" t="s">
        <v>2919</v>
      </c>
      <c r="B16" s="8" t="s">
        <v>1216</v>
      </c>
      <c r="C16" s="8" t="s">
        <v>2789</v>
      </c>
      <c r="D16" s="8" t="s">
        <v>2789</v>
      </c>
      <c r="E16" s="8" t="s">
        <v>2789</v>
      </c>
      <c r="F16" s="8" t="s">
        <v>2790</v>
      </c>
      <c r="G16" s="8" t="s">
        <v>1126</v>
      </c>
      <c r="H16" s="8" t="s">
        <v>2775</v>
      </c>
      <c r="I16" s="9" t="s">
        <v>188</v>
      </c>
    </row>
    <row r="17" spans="1:9" ht="45" customHeight="1">
      <c r="A17" s="10" t="s">
        <v>2921</v>
      </c>
      <c r="B17" s="10" t="s">
        <v>1221</v>
      </c>
      <c r="C17" s="10" t="s">
        <v>2766</v>
      </c>
      <c r="D17" s="10" t="s">
        <v>2766</v>
      </c>
      <c r="E17" s="10" t="s">
        <v>2766</v>
      </c>
      <c r="F17" s="10" t="s">
        <v>2767</v>
      </c>
      <c r="G17" s="10" t="s">
        <v>1126</v>
      </c>
      <c r="H17" s="10" t="s">
        <v>2768</v>
      </c>
      <c r="I17" s="11" t="s">
        <v>2769</v>
      </c>
    </row>
    <row r="18" spans="1:9" ht="45" customHeight="1">
      <c r="A18" s="8" t="s">
        <v>2922</v>
      </c>
      <c r="B18" s="8" t="s">
        <v>644</v>
      </c>
      <c r="C18" s="12" t="s">
        <v>2791</v>
      </c>
      <c r="D18" s="12" t="s">
        <v>2791</v>
      </c>
      <c r="E18" s="12" t="s">
        <v>2791</v>
      </c>
      <c r="F18" s="8" t="s">
        <v>2792</v>
      </c>
      <c r="G18" s="12" t="s">
        <v>1227</v>
      </c>
      <c r="H18" s="12" t="s">
        <v>2793</v>
      </c>
      <c r="I18" s="9" t="s">
        <v>58</v>
      </c>
    </row>
    <row r="19" spans="1:9" ht="45" customHeight="1">
      <c r="A19" s="10" t="s">
        <v>2925</v>
      </c>
      <c r="B19" s="10" t="s">
        <v>1230</v>
      </c>
      <c r="C19" s="10" t="s">
        <v>2766</v>
      </c>
      <c r="D19" s="10" t="s">
        <v>2766</v>
      </c>
      <c r="E19" s="10" t="s">
        <v>2766</v>
      </c>
      <c r="F19" s="10" t="s">
        <v>2767</v>
      </c>
      <c r="G19" s="10" t="s">
        <v>1126</v>
      </c>
      <c r="H19" s="10" t="s">
        <v>2768</v>
      </c>
      <c r="I19" s="11" t="s">
        <v>2769</v>
      </c>
    </row>
    <row r="20" spans="1:9" ht="45" customHeight="1">
      <c r="A20" s="8" t="s">
        <v>2926</v>
      </c>
      <c r="B20" s="8" t="s">
        <v>1233</v>
      </c>
      <c r="C20" s="8" t="s">
        <v>1235</v>
      </c>
      <c r="D20" s="8" t="s">
        <v>1235</v>
      </c>
      <c r="E20" s="8" t="s">
        <v>1235</v>
      </c>
      <c r="F20" s="8" t="s">
        <v>2794</v>
      </c>
      <c r="G20" s="8" t="s">
        <v>1126</v>
      </c>
      <c r="H20" s="8" t="s">
        <v>2775</v>
      </c>
      <c r="I20" s="9" t="s">
        <v>840</v>
      </c>
    </row>
    <row r="21" spans="1:9" ht="45" customHeight="1">
      <c r="A21" s="10" t="s">
        <v>2928</v>
      </c>
      <c r="B21" s="10" t="s">
        <v>1240</v>
      </c>
      <c r="C21" s="10" t="s">
        <v>2795</v>
      </c>
      <c r="D21" s="10" t="s">
        <v>2796</v>
      </c>
      <c r="E21" s="10" t="s">
        <v>2797</v>
      </c>
      <c r="F21" s="10" t="s">
        <v>2798</v>
      </c>
      <c r="G21" s="10" t="s">
        <v>1126</v>
      </c>
      <c r="H21" s="10" t="s">
        <v>2775</v>
      </c>
      <c r="I21" s="11" t="s">
        <v>127</v>
      </c>
    </row>
    <row r="22" spans="1:9" ht="45" customHeight="1">
      <c r="A22" s="8" t="s">
        <v>2930</v>
      </c>
      <c r="B22" s="8" t="s">
        <v>1253</v>
      </c>
      <c r="C22" s="8" t="s">
        <v>2766</v>
      </c>
      <c r="D22" s="8" t="s">
        <v>2766</v>
      </c>
      <c r="E22" s="8" t="s">
        <v>2766</v>
      </c>
      <c r="F22" s="8" t="s">
        <v>2767</v>
      </c>
      <c r="G22" s="8" t="s">
        <v>1126</v>
      </c>
      <c r="H22" s="8" t="s">
        <v>2768</v>
      </c>
      <c r="I22" s="9" t="s">
        <v>2769</v>
      </c>
    </row>
    <row r="23" spans="1:9" ht="45" customHeight="1">
      <c r="A23" s="10" t="s">
        <v>2931</v>
      </c>
      <c r="B23" s="10" t="s">
        <v>1274</v>
      </c>
      <c r="C23" s="10" t="s">
        <v>2766</v>
      </c>
      <c r="D23" s="10" t="s">
        <v>2766</v>
      </c>
      <c r="E23" s="10" t="s">
        <v>2766</v>
      </c>
      <c r="F23" s="10" t="s">
        <v>2767</v>
      </c>
      <c r="G23" s="10" t="s">
        <v>1161</v>
      </c>
      <c r="H23" s="10" t="s">
        <v>2768</v>
      </c>
      <c r="I23" s="11" t="s">
        <v>2769</v>
      </c>
    </row>
    <row r="24" spans="1:9" ht="34" customHeight="1">
      <c r="A24" s="8" t="s">
        <v>2932</v>
      </c>
      <c r="B24" s="8" t="s">
        <v>1278</v>
      </c>
      <c r="C24" s="8" t="s">
        <v>2770</v>
      </c>
      <c r="D24" s="8" t="s">
        <v>2770</v>
      </c>
      <c r="E24" s="8" t="s">
        <v>2770</v>
      </c>
      <c r="F24" s="8" t="s">
        <v>2771</v>
      </c>
      <c r="G24" s="12" t="s">
        <v>1136</v>
      </c>
      <c r="H24" s="12" t="s">
        <v>2772</v>
      </c>
      <c r="I24" s="9" t="s">
        <v>2769</v>
      </c>
    </row>
    <row r="25" spans="1:9" ht="45" customHeight="1">
      <c r="A25" s="10" t="s">
        <v>2933</v>
      </c>
      <c r="B25" s="10" t="s">
        <v>1288</v>
      </c>
      <c r="C25" s="10" t="s">
        <v>2766</v>
      </c>
      <c r="D25" s="10" t="s">
        <v>2766</v>
      </c>
      <c r="E25" s="10" t="s">
        <v>2766</v>
      </c>
      <c r="F25" s="10" t="s">
        <v>2799</v>
      </c>
      <c r="G25" s="10" t="s">
        <v>1126</v>
      </c>
      <c r="H25" s="10" t="s">
        <v>2768</v>
      </c>
      <c r="I25" s="11" t="s">
        <v>575</v>
      </c>
    </row>
    <row r="26" spans="1:9" ht="45" customHeight="1">
      <c r="A26" s="8" t="s">
        <v>2935</v>
      </c>
      <c r="B26" s="8" t="s">
        <v>1326</v>
      </c>
      <c r="C26" s="8" t="s">
        <v>2766</v>
      </c>
      <c r="D26" s="8" t="s">
        <v>2766</v>
      </c>
      <c r="E26" s="8" t="s">
        <v>2766</v>
      </c>
      <c r="F26" s="8" t="s">
        <v>2799</v>
      </c>
      <c r="G26" s="8" t="s">
        <v>1126</v>
      </c>
      <c r="H26" s="8" t="s">
        <v>2768</v>
      </c>
      <c r="I26" s="9" t="s">
        <v>575</v>
      </c>
    </row>
    <row r="27" spans="1:9" ht="45" customHeight="1">
      <c r="A27" s="10" t="s">
        <v>2936</v>
      </c>
      <c r="B27" s="10" t="s">
        <v>1329</v>
      </c>
      <c r="C27" s="10" t="s">
        <v>2766</v>
      </c>
      <c r="D27" s="10" t="s">
        <v>2766</v>
      </c>
      <c r="E27" s="10" t="s">
        <v>2766</v>
      </c>
      <c r="F27" s="10" t="s">
        <v>2799</v>
      </c>
      <c r="G27" s="10" t="s">
        <v>1126</v>
      </c>
      <c r="H27" s="10" t="s">
        <v>2768</v>
      </c>
      <c r="I27" s="11" t="s">
        <v>575</v>
      </c>
    </row>
    <row r="28" spans="1:9" ht="45" customHeight="1">
      <c r="A28" s="8" t="s">
        <v>2937</v>
      </c>
      <c r="B28" s="8" t="s">
        <v>1353</v>
      </c>
      <c r="C28" s="8" t="s">
        <v>2766</v>
      </c>
      <c r="D28" s="8" t="s">
        <v>2766</v>
      </c>
      <c r="E28" s="8" t="s">
        <v>2766</v>
      </c>
      <c r="F28" s="8" t="s">
        <v>2799</v>
      </c>
      <c r="G28" s="8" t="s">
        <v>1126</v>
      </c>
      <c r="H28" s="8" t="s">
        <v>2768</v>
      </c>
      <c r="I28" s="9" t="s">
        <v>575</v>
      </c>
    </row>
    <row r="29" spans="1:9" ht="45" customHeight="1">
      <c r="A29" s="10" t="s">
        <v>2938</v>
      </c>
      <c r="B29" s="10" t="s">
        <v>1356</v>
      </c>
      <c r="C29" s="10" t="s">
        <v>2766</v>
      </c>
      <c r="D29" s="10" t="s">
        <v>2766</v>
      </c>
      <c r="E29" s="10" t="s">
        <v>2766</v>
      </c>
      <c r="F29" s="10" t="s">
        <v>2799</v>
      </c>
      <c r="G29" s="10" t="s">
        <v>1126</v>
      </c>
      <c r="H29" s="10" t="s">
        <v>2768</v>
      </c>
      <c r="I29" s="11" t="s">
        <v>575</v>
      </c>
    </row>
    <row r="30" spans="1:9" ht="45" customHeight="1">
      <c r="A30" s="8" t="s">
        <v>2939</v>
      </c>
      <c r="B30" s="8" t="s">
        <v>1359</v>
      </c>
      <c r="C30" s="8" t="s">
        <v>2766</v>
      </c>
      <c r="D30" s="8" t="s">
        <v>2766</v>
      </c>
      <c r="E30" s="8" t="s">
        <v>2766</v>
      </c>
      <c r="F30" s="8" t="s">
        <v>2799</v>
      </c>
      <c r="G30" s="8" t="s">
        <v>1126</v>
      </c>
      <c r="H30" s="8" t="s">
        <v>2768</v>
      </c>
      <c r="I30" s="9" t="s">
        <v>575</v>
      </c>
    </row>
    <row r="31" spans="1:9" ht="45" customHeight="1">
      <c r="A31" s="10" t="s">
        <v>2940</v>
      </c>
      <c r="B31" s="10" t="s">
        <v>1369</v>
      </c>
      <c r="C31" s="10" t="s">
        <v>2766</v>
      </c>
      <c r="D31" s="10" t="s">
        <v>2766</v>
      </c>
      <c r="E31" s="10" t="s">
        <v>2766</v>
      </c>
      <c r="F31" s="10" t="s">
        <v>2802</v>
      </c>
      <c r="G31" s="10" t="s">
        <v>1126</v>
      </c>
      <c r="H31" s="10" t="s">
        <v>2768</v>
      </c>
      <c r="I31" s="11" t="s">
        <v>2769</v>
      </c>
    </row>
    <row r="32" spans="1:9" ht="45" customHeight="1">
      <c r="A32" s="8" t="s">
        <v>2941</v>
      </c>
      <c r="B32" s="8" t="s">
        <v>1415</v>
      </c>
      <c r="C32" s="8" t="s">
        <v>2766</v>
      </c>
      <c r="D32" s="8" t="s">
        <v>2766</v>
      </c>
      <c r="E32" s="8" t="s">
        <v>2766</v>
      </c>
      <c r="F32" s="8" t="s">
        <v>2767</v>
      </c>
      <c r="G32" s="8" t="s">
        <v>1126</v>
      </c>
      <c r="H32" s="8" t="s">
        <v>2768</v>
      </c>
      <c r="I32" s="9" t="s">
        <v>2769</v>
      </c>
    </row>
    <row r="33" spans="1:9" ht="45" customHeight="1">
      <c r="A33" s="10" t="s">
        <v>2942</v>
      </c>
      <c r="B33" s="10" t="s">
        <v>601</v>
      </c>
      <c r="C33" s="10" t="s">
        <v>603</v>
      </c>
      <c r="D33" s="10" t="s">
        <v>603</v>
      </c>
      <c r="E33" s="10" t="s">
        <v>603</v>
      </c>
      <c r="F33" s="10" t="s">
        <v>2815</v>
      </c>
      <c r="G33" s="10" t="s">
        <v>1126</v>
      </c>
      <c r="H33" s="10" t="s">
        <v>2775</v>
      </c>
      <c r="I33" s="11" t="s">
        <v>605</v>
      </c>
    </row>
    <row r="34" spans="1:9" ht="34" customHeight="1">
      <c r="A34" s="8" t="s">
        <v>2944</v>
      </c>
      <c r="B34" s="8" t="s">
        <v>1423</v>
      </c>
      <c r="C34" s="8" t="s">
        <v>2770</v>
      </c>
      <c r="D34" s="8" t="s">
        <v>2770</v>
      </c>
      <c r="E34" s="8" t="s">
        <v>2770</v>
      </c>
      <c r="F34" s="8" t="s">
        <v>2771</v>
      </c>
      <c r="G34" s="12" t="s">
        <v>1136</v>
      </c>
      <c r="H34" s="12" t="s">
        <v>2772</v>
      </c>
      <c r="I34" s="9" t="s">
        <v>2769</v>
      </c>
    </row>
    <row r="35" spans="1:9" ht="45" customHeight="1">
      <c r="A35" s="10" t="s">
        <v>2945</v>
      </c>
      <c r="B35" s="10" t="s">
        <v>1426</v>
      </c>
      <c r="C35" s="10" t="s">
        <v>2766</v>
      </c>
      <c r="D35" s="10" t="s">
        <v>2766</v>
      </c>
      <c r="E35" s="10" t="s">
        <v>2766</v>
      </c>
      <c r="F35" s="10" t="s">
        <v>2816</v>
      </c>
      <c r="G35" s="10" t="s">
        <v>1126</v>
      </c>
      <c r="H35" s="10" t="s">
        <v>2768</v>
      </c>
      <c r="I35" s="11" t="s">
        <v>605</v>
      </c>
    </row>
    <row r="36" spans="1:9" ht="34" customHeight="1">
      <c r="A36" s="8" t="s">
        <v>2946</v>
      </c>
      <c r="B36" s="8" t="s">
        <v>1431</v>
      </c>
      <c r="C36" s="8" t="s">
        <v>2770</v>
      </c>
      <c r="D36" s="8" t="s">
        <v>2770</v>
      </c>
      <c r="E36" s="8" t="s">
        <v>2770</v>
      </c>
      <c r="F36" s="8" t="s">
        <v>2771</v>
      </c>
      <c r="G36" s="12" t="s">
        <v>1136</v>
      </c>
      <c r="H36" s="12" t="s">
        <v>2772</v>
      </c>
      <c r="I36" s="9" t="s">
        <v>2769</v>
      </c>
    </row>
    <row r="37" spans="1:9" ht="34" customHeight="1">
      <c r="A37" s="10" t="s">
        <v>2947</v>
      </c>
      <c r="B37" s="10" t="s">
        <v>1446</v>
      </c>
      <c r="C37" s="10" t="s">
        <v>2770</v>
      </c>
      <c r="D37" s="10" t="s">
        <v>2770</v>
      </c>
      <c r="E37" s="10" t="s">
        <v>2770</v>
      </c>
      <c r="F37" s="10" t="s">
        <v>2771</v>
      </c>
      <c r="G37" s="12" t="s">
        <v>1136</v>
      </c>
      <c r="H37" s="12" t="s">
        <v>2772</v>
      </c>
      <c r="I37" s="11" t="s">
        <v>2769</v>
      </c>
    </row>
    <row r="38" spans="1:9" ht="45" customHeight="1">
      <c r="A38" s="8" t="s">
        <v>2948</v>
      </c>
      <c r="B38" s="8" t="s">
        <v>1449</v>
      </c>
      <c r="C38" s="8" t="s">
        <v>2766</v>
      </c>
      <c r="D38" s="8" t="s">
        <v>2766</v>
      </c>
      <c r="E38" s="8" t="s">
        <v>2766</v>
      </c>
      <c r="F38" s="8" t="s">
        <v>2767</v>
      </c>
      <c r="G38" s="8" t="s">
        <v>1161</v>
      </c>
      <c r="H38" s="8" t="s">
        <v>2768</v>
      </c>
      <c r="I38" s="9" t="s">
        <v>2769</v>
      </c>
    </row>
    <row r="39" spans="1:9" ht="45" customHeight="1">
      <c r="A39" s="10" t="s">
        <v>2949</v>
      </c>
      <c r="B39" s="10" t="s">
        <v>1453</v>
      </c>
      <c r="C39" s="10" t="s">
        <v>2766</v>
      </c>
      <c r="D39" s="10" t="s">
        <v>2766</v>
      </c>
      <c r="E39" s="10" t="s">
        <v>2766</v>
      </c>
      <c r="F39" s="10" t="s">
        <v>2767</v>
      </c>
      <c r="G39" s="10" t="s">
        <v>1126</v>
      </c>
      <c r="H39" s="10" t="s">
        <v>2768</v>
      </c>
      <c r="I39" s="11" t="s">
        <v>2769</v>
      </c>
    </row>
    <row r="40" spans="1:9" ht="45" customHeight="1">
      <c r="A40" s="8" t="s">
        <v>2950</v>
      </c>
      <c r="B40" s="8" t="s">
        <v>1457</v>
      </c>
      <c r="C40" s="8" t="s">
        <v>2766</v>
      </c>
      <c r="D40" s="8" t="s">
        <v>2766</v>
      </c>
      <c r="E40" s="8" t="s">
        <v>2766</v>
      </c>
      <c r="F40" s="8" t="s">
        <v>2802</v>
      </c>
      <c r="G40" s="8" t="s">
        <v>1126</v>
      </c>
      <c r="H40" s="8" t="s">
        <v>2768</v>
      </c>
      <c r="I40" s="9" t="s">
        <v>2769</v>
      </c>
    </row>
    <row r="41" spans="1:9" ht="45" customHeight="1">
      <c r="A41" s="10" t="s">
        <v>2951</v>
      </c>
      <c r="B41" s="10" t="s">
        <v>1462</v>
      </c>
      <c r="C41" s="10" t="s">
        <v>2766</v>
      </c>
      <c r="D41" s="10" t="s">
        <v>2766</v>
      </c>
      <c r="E41" s="10" t="s">
        <v>2766</v>
      </c>
      <c r="F41" s="10" t="s">
        <v>2802</v>
      </c>
      <c r="G41" s="10" t="s">
        <v>1126</v>
      </c>
      <c r="H41" s="10" t="s">
        <v>2768</v>
      </c>
      <c r="I41" s="11" t="s">
        <v>2769</v>
      </c>
    </row>
    <row r="42" spans="1:9" ht="45" customHeight="1">
      <c r="A42" s="8" t="s">
        <v>2952</v>
      </c>
      <c r="B42" s="8" t="s">
        <v>1467</v>
      </c>
      <c r="C42" s="8" t="s">
        <v>2766</v>
      </c>
      <c r="D42" s="8" t="s">
        <v>2766</v>
      </c>
      <c r="E42" s="8" t="s">
        <v>2766</v>
      </c>
      <c r="F42" s="8" t="s">
        <v>2802</v>
      </c>
      <c r="G42" s="8" t="s">
        <v>1126</v>
      </c>
      <c r="H42" s="8" t="s">
        <v>2768</v>
      </c>
      <c r="I42" s="9" t="s">
        <v>2769</v>
      </c>
    </row>
    <row r="43" spans="1:9" ht="45" customHeight="1">
      <c r="A43" s="10" t="s">
        <v>2953</v>
      </c>
      <c r="B43" s="10" t="s">
        <v>1470</v>
      </c>
      <c r="C43" s="10" t="s">
        <v>2766</v>
      </c>
      <c r="D43" s="10" t="s">
        <v>2766</v>
      </c>
      <c r="E43" s="10" t="s">
        <v>2766</v>
      </c>
      <c r="F43" s="10" t="s">
        <v>2767</v>
      </c>
      <c r="G43" s="10" t="s">
        <v>1126</v>
      </c>
      <c r="H43" s="10" t="s">
        <v>2768</v>
      </c>
      <c r="I43" s="11" t="s">
        <v>2769</v>
      </c>
    </row>
    <row r="44" spans="1:9" ht="45" customHeight="1">
      <c r="A44" s="8" t="s">
        <v>2954</v>
      </c>
      <c r="B44" s="8" t="s">
        <v>1477</v>
      </c>
      <c r="C44" s="8" t="s">
        <v>2766</v>
      </c>
      <c r="D44" s="8" t="s">
        <v>2766</v>
      </c>
      <c r="E44" s="8" t="s">
        <v>2766</v>
      </c>
      <c r="F44" s="8" t="s">
        <v>2767</v>
      </c>
      <c r="G44" s="8" t="s">
        <v>1126</v>
      </c>
      <c r="H44" s="8" t="s">
        <v>2768</v>
      </c>
      <c r="I44" s="9" t="s">
        <v>2769</v>
      </c>
    </row>
    <row r="45" spans="1:9" ht="45" customHeight="1">
      <c r="A45" s="10" t="s">
        <v>2955</v>
      </c>
      <c r="B45" s="10" t="s">
        <v>1482</v>
      </c>
      <c r="C45" s="10" t="s">
        <v>2766</v>
      </c>
      <c r="D45" s="10" t="s">
        <v>2766</v>
      </c>
      <c r="E45" s="10" t="s">
        <v>2766</v>
      </c>
      <c r="F45" s="10" t="s">
        <v>2767</v>
      </c>
      <c r="G45" s="10" t="s">
        <v>1126</v>
      </c>
      <c r="H45" s="10" t="s">
        <v>2768</v>
      </c>
      <c r="I45" s="11" t="s">
        <v>2769</v>
      </c>
    </row>
    <row r="46" spans="1:9" ht="45" customHeight="1">
      <c r="A46" s="8" t="s">
        <v>2956</v>
      </c>
      <c r="B46" s="8" t="s">
        <v>1489</v>
      </c>
      <c r="C46" s="8" t="s">
        <v>2766</v>
      </c>
      <c r="D46" s="8" t="s">
        <v>2766</v>
      </c>
      <c r="E46" s="8" t="s">
        <v>2766</v>
      </c>
      <c r="F46" s="8" t="s">
        <v>2816</v>
      </c>
      <c r="G46" s="8" t="s">
        <v>1126</v>
      </c>
      <c r="H46" s="8" t="s">
        <v>2768</v>
      </c>
      <c r="I46" s="9" t="s">
        <v>605</v>
      </c>
    </row>
    <row r="47" spans="1:9" ht="45" customHeight="1">
      <c r="A47" s="10" t="s">
        <v>2957</v>
      </c>
      <c r="B47" s="10" t="s">
        <v>1496</v>
      </c>
      <c r="C47" s="10" t="s">
        <v>2766</v>
      </c>
      <c r="D47" s="10" t="s">
        <v>2766</v>
      </c>
      <c r="E47" s="10" t="s">
        <v>2766</v>
      </c>
      <c r="F47" s="10" t="s">
        <v>2767</v>
      </c>
      <c r="G47" s="10" t="s">
        <v>1126</v>
      </c>
      <c r="H47" s="10" t="s">
        <v>2768</v>
      </c>
      <c r="I47" s="11" t="s">
        <v>2769</v>
      </c>
    </row>
    <row r="48" spans="1:9" ht="45" customHeight="1">
      <c r="A48" s="8" t="s">
        <v>2958</v>
      </c>
      <c r="B48" s="8" t="s">
        <v>1501</v>
      </c>
      <c r="C48" s="8" t="s">
        <v>2766</v>
      </c>
      <c r="D48" s="8" t="s">
        <v>2766</v>
      </c>
      <c r="E48" s="8" t="s">
        <v>2766</v>
      </c>
      <c r="F48" s="8" t="s">
        <v>2767</v>
      </c>
      <c r="G48" s="8" t="s">
        <v>1161</v>
      </c>
      <c r="H48" s="8" t="s">
        <v>2768</v>
      </c>
      <c r="I48" s="9" t="s">
        <v>2769</v>
      </c>
    </row>
    <row r="49" spans="1:9" ht="34" customHeight="1">
      <c r="A49" s="10" t="s">
        <v>2959</v>
      </c>
      <c r="B49" s="10" t="s">
        <v>1504</v>
      </c>
      <c r="C49" s="10" t="s">
        <v>2770</v>
      </c>
      <c r="D49" s="10" t="s">
        <v>2770</v>
      </c>
      <c r="E49" s="10" t="s">
        <v>2770</v>
      </c>
      <c r="F49" s="10" t="s">
        <v>2771</v>
      </c>
      <c r="G49" s="12" t="s">
        <v>1136</v>
      </c>
      <c r="H49" s="12" t="s">
        <v>2772</v>
      </c>
      <c r="I49" s="11" t="s">
        <v>2769</v>
      </c>
    </row>
    <row r="50" spans="1:9" ht="45" customHeight="1">
      <c r="A50" s="8" t="s">
        <v>2960</v>
      </c>
      <c r="B50" s="8" t="s">
        <v>1507</v>
      </c>
      <c r="C50" s="8" t="s">
        <v>2766</v>
      </c>
      <c r="D50" s="8" t="s">
        <v>2766</v>
      </c>
      <c r="E50" s="8" t="s">
        <v>2766</v>
      </c>
      <c r="F50" s="8" t="s">
        <v>2767</v>
      </c>
      <c r="G50" s="8" t="s">
        <v>1126</v>
      </c>
      <c r="H50" s="8" t="s">
        <v>2768</v>
      </c>
      <c r="I50" s="9" t="s">
        <v>2769</v>
      </c>
    </row>
    <row r="51" spans="1:9" ht="34" customHeight="1">
      <c r="A51" s="10" t="s">
        <v>2961</v>
      </c>
      <c r="B51" s="10" t="s">
        <v>1511</v>
      </c>
      <c r="C51" s="10" t="s">
        <v>2770</v>
      </c>
      <c r="D51" s="10" t="s">
        <v>2770</v>
      </c>
      <c r="E51" s="10" t="s">
        <v>2770</v>
      </c>
      <c r="F51" s="10" t="s">
        <v>2771</v>
      </c>
      <c r="G51" s="12" t="s">
        <v>1136</v>
      </c>
      <c r="H51" s="12" t="s">
        <v>2772</v>
      </c>
      <c r="I51" s="11" t="s">
        <v>2769</v>
      </c>
    </row>
    <row r="52" spans="1:9" ht="45" customHeight="1">
      <c r="A52" s="8" t="s">
        <v>2962</v>
      </c>
      <c r="B52" s="8" t="s">
        <v>1515</v>
      </c>
      <c r="C52" s="8" t="s">
        <v>2766</v>
      </c>
      <c r="D52" s="8" t="s">
        <v>2766</v>
      </c>
      <c r="E52" s="8" t="s">
        <v>2766</v>
      </c>
      <c r="F52" s="8" t="s">
        <v>2802</v>
      </c>
      <c r="G52" s="8" t="s">
        <v>1161</v>
      </c>
      <c r="H52" s="8" t="s">
        <v>2768</v>
      </c>
      <c r="I52" s="9" t="s">
        <v>2769</v>
      </c>
    </row>
    <row r="53" spans="1:9" ht="45" customHeight="1">
      <c r="A53" s="10" t="s">
        <v>2963</v>
      </c>
      <c r="B53" s="10" t="s">
        <v>1520</v>
      </c>
      <c r="C53" s="10" t="s">
        <v>2766</v>
      </c>
      <c r="D53" s="10" t="s">
        <v>2766</v>
      </c>
      <c r="E53" s="10" t="s">
        <v>2766</v>
      </c>
      <c r="F53" s="10" t="s">
        <v>2802</v>
      </c>
      <c r="G53" s="10" t="s">
        <v>1161</v>
      </c>
      <c r="H53" s="10" t="s">
        <v>2768</v>
      </c>
      <c r="I53" s="11" t="s">
        <v>2769</v>
      </c>
    </row>
    <row r="54" spans="1:9" ht="45" customHeight="1">
      <c r="A54" s="8" t="s">
        <v>2964</v>
      </c>
      <c r="B54" s="8" t="s">
        <v>1524</v>
      </c>
      <c r="C54" s="8" t="s">
        <v>2766</v>
      </c>
      <c r="D54" s="8" t="s">
        <v>2766</v>
      </c>
      <c r="E54" s="8" t="s">
        <v>2766</v>
      </c>
      <c r="F54" s="8" t="s">
        <v>2802</v>
      </c>
      <c r="G54" s="8" t="s">
        <v>1161</v>
      </c>
      <c r="H54" s="8" t="s">
        <v>2768</v>
      </c>
      <c r="I54" s="9" t="s">
        <v>2769</v>
      </c>
    </row>
    <row r="55" spans="1:9" ht="45" customHeight="1">
      <c r="A55" s="10" t="s">
        <v>2965</v>
      </c>
      <c r="B55" s="10" t="s">
        <v>1529</v>
      </c>
      <c r="C55" s="10" t="s">
        <v>2766</v>
      </c>
      <c r="D55" s="10" t="s">
        <v>2766</v>
      </c>
      <c r="E55" s="10" t="s">
        <v>2766</v>
      </c>
      <c r="F55" s="10" t="s">
        <v>2802</v>
      </c>
      <c r="G55" s="10" t="s">
        <v>1161</v>
      </c>
      <c r="H55" s="10" t="s">
        <v>2768</v>
      </c>
      <c r="I55" s="11" t="s">
        <v>2769</v>
      </c>
    </row>
    <row r="56" spans="1:9" ht="45" customHeight="1">
      <c r="A56" s="8" t="s">
        <v>2966</v>
      </c>
      <c r="B56" s="8" t="s">
        <v>1533</v>
      </c>
      <c r="C56" s="8" t="s">
        <v>1118</v>
      </c>
      <c r="D56" s="8" t="s">
        <v>1118</v>
      </c>
      <c r="E56" s="8" t="s">
        <v>1118</v>
      </c>
      <c r="F56" s="8" t="s">
        <v>2821</v>
      </c>
      <c r="G56" s="8" t="s">
        <v>1126</v>
      </c>
      <c r="H56" s="8" t="s">
        <v>2775</v>
      </c>
      <c r="I56" s="9" t="s">
        <v>1087</v>
      </c>
    </row>
    <row r="57" spans="1:9" ht="34" customHeight="1">
      <c r="A57" s="10" t="s">
        <v>2967</v>
      </c>
      <c r="B57" s="10" t="s">
        <v>1536</v>
      </c>
      <c r="C57" s="10" t="s">
        <v>2770</v>
      </c>
      <c r="D57" s="10" t="s">
        <v>2770</v>
      </c>
      <c r="E57" s="10" t="s">
        <v>2770</v>
      </c>
      <c r="F57" s="10" t="s">
        <v>2771</v>
      </c>
      <c r="G57" s="12" t="s">
        <v>1136</v>
      </c>
      <c r="H57" s="12" t="s">
        <v>2772</v>
      </c>
      <c r="I57" s="11" t="s">
        <v>1087</v>
      </c>
    </row>
    <row r="58" spans="1:9" ht="45" customHeight="1">
      <c r="A58" s="8" t="s">
        <v>2968</v>
      </c>
      <c r="B58" s="8" t="s">
        <v>1546</v>
      </c>
      <c r="C58" s="8" t="s">
        <v>2766</v>
      </c>
      <c r="D58" s="8" t="s">
        <v>2766</v>
      </c>
      <c r="E58" s="8" t="s">
        <v>2766</v>
      </c>
      <c r="F58" s="8" t="s">
        <v>2767</v>
      </c>
      <c r="G58" s="8" t="s">
        <v>1126</v>
      </c>
      <c r="H58" s="8" t="s">
        <v>2768</v>
      </c>
      <c r="I58" s="9" t="s">
        <v>2769</v>
      </c>
    </row>
    <row r="59" spans="1:9" ht="45" customHeight="1">
      <c r="A59" s="10" t="s">
        <v>2969</v>
      </c>
      <c r="B59" s="10" t="s">
        <v>1562</v>
      </c>
      <c r="C59" s="10" t="s">
        <v>2766</v>
      </c>
      <c r="D59" s="10" t="s">
        <v>2766</v>
      </c>
      <c r="E59" s="10" t="s">
        <v>2766</v>
      </c>
      <c r="F59" s="10" t="s">
        <v>2816</v>
      </c>
      <c r="G59" s="10" t="s">
        <v>1126</v>
      </c>
      <c r="H59" s="10" t="s">
        <v>2768</v>
      </c>
      <c r="I59" s="11" t="s">
        <v>605</v>
      </c>
    </row>
    <row r="60" spans="1:9" ht="45" customHeight="1">
      <c r="A60" s="8" t="s">
        <v>2970</v>
      </c>
      <c r="B60" s="8" t="s">
        <v>1567</v>
      </c>
      <c r="C60" s="8" t="s">
        <v>2766</v>
      </c>
      <c r="D60" s="8" t="s">
        <v>2766</v>
      </c>
      <c r="E60" s="8" t="s">
        <v>2766</v>
      </c>
      <c r="F60" s="8" t="s">
        <v>2780</v>
      </c>
      <c r="G60" s="8" t="s">
        <v>1126</v>
      </c>
      <c r="H60" s="8" t="s">
        <v>2768</v>
      </c>
      <c r="I60" s="9" t="s">
        <v>2781</v>
      </c>
    </row>
    <row r="61" spans="1:9" ht="45" customHeight="1">
      <c r="A61" s="10" t="s">
        <v>2971</v>
      </c>
      <c r="B61" s="10" t="s">
        <v>1571</v>
      </c>
      <c r="C61" s="10" t="s">
        <v>2766</v>
      </c>
      <c r="D61" s="10" t="s">
        <v>2766</v>
      </c>
      <c r="E61" s="10" t="s">
        <v>2766</v>
      </c>
      <c r="F61" s="10" t="s">
        <v>2767</v>
      </c>
      <c r="G61" s="10" t="s">
        <v>1126</v>
      </c>
      <c r="H61" s="10" t="s">
        <v>2768</v>
      </c>
      <c r="I61" s="11" t="s">
        <v>2769</v>
      </c>
    </row>
    <row r="62" spans="1:9" ht="45" customHeight="1">
      <c r="A62" s="8" t="s">
        <v>2972</v>
      </c>
      <c r="B62" s="8" t="s">
        <v>1575</v>
      </c>
      <c r="C62" s="8" t="s">
        <v>2824</v>
      </c>
      <c r="D62" s="8" t="s">
        <v>2824</v>
      </c>
      <c r="E62" s="8" t="s">
        <v>2824</v>
      </c>
      <c r="F62" s="8" t="s">
        <v>2825</v>
      </c>
      <c r="G62" s="8" t="s">
        <v>1126</v>
      </c>
      <c r="H62" s="8" t="s">
        <v>2775</v>
      </c>
      <c r="I62" s="9" t="s">
        <v>419</v>
      </c>
    </row>
    <row r="63" spans="1:9" ht="45" customHeight="1">
      <c r="A63" s="10" t="s">
        <v>2974</v>
      </c>
      <c r="B63" s="10" t="s">
        <v>1579</v>
      </c>
      <c r="C63" s="10" t="s">
        <v>2766</v>
      </c>
      <c r="D63" s="10" t="s">
        <v>2766</v>
      </c>
      <c r="E63" s="10" t="s">
        <v>2766</v>
      </c>
      <c r="F63" s="10" t="s">
        <v>2826</v>
      </c>
      <c r="G63" s="10" t="s">
        <v>1126</v>
      </c>
      <c r="H63" s="10" t="s">
        <v>2768</v>
      </c>
      <c r="I63" s="11" t="s">
        <v>2827</v>
      </c>
    </row>
    <row r="64" spans="1:9" ht="45" customHeight="1">
      <c r="A64" s="8" t="s">
        <v>2976</v>
      </c>
      <c r="B64" s="8" t="s">
        <v>1591</v>
      </c>
      <c r="C64" s="8" t="s">
        <v>2766</v>
      </c>
      <c r="D64" s="8" t="s">
        <v>2766</v>
      </c>
      <c r="E64" s="8" t="s">
        <v>2766</v>
      </c>
      <c r="F64" s="8" t="s">
        <v>2826</v>
      </c>
      <c r="G64" s="8" t="s">
        <v>1126</v>
      </c>
      <c r="H64" s="8" t="s">
        <v>2768</v>
      </c>
      <c r="I64" s="9" t="s">
        <v>2827</v>
      </c>
    </row>
    <row r="65" spans="1:9" ht="45" customHeight="1">
      <c r="A65" s="10" t="s">
        <v>2977</v>
      </c>
      <c r="B65" s="10" t="s">
        <v>1598</v>
      </c>
      <c r="C65" s="10" t="s">
        <v>2766</v>
      </c>
      <c r="D65" s="10" t="s">
        <v>2766</v>
      </c>
      <c r="E65" s="10" t="s">
        <v>2766</v>
      </c>
      <c r="F65" s="10" t="s">
        <v>2826</v>
      </c>
      <c r="G65" s="10" t="s">
        <v>1126</v>
      </c>
      <c r="H65" s="10" t="s">
        <v>2768</v>
      </c>
      <c r="I65" s="11" t="s">
        <v>2827</v>
      </c>
    </row>
    <row r="66" spans="1:9" ht="34" customHeight="1">
      <c r="A66" s="8" t="s">
        <v>2978</v>
      </c>
      <c r="B66" s="8" t="s">
        <v>1611</v>
      </c>
      <c r="C66" s="8" t="s">
        <v>2770</v>
      </c>
      <c r="D66" s="8" t="s">
        <v>2770</v>
      </c>
      <c r="E66" s="8" t="s">
        <v>2770</v>
      </c>
      <c r="F66" s="8" t="s">
        <v>2771</v>
      </c>
      <c r="G66" s="12" t="s">
        <v>1136</v>
      </c>
      <c r="H66" s="12" t="s">
        <v>2772</v>
      </c>
      <c r="I66" s="9" t="s">
        <v>2781</v>
      </c>
    </row>
    <row r="67" spans="1:9" ht="34" customHeight="1">
      <c r="A67" s="10" t="s">
        <v>2979</v>
      </c>
      <c r="B67" s="10" t="s">
        <v>1614</v>
      </c>
      <c r="C67" s="10" t="s">
        <v>2770</v>
      </c>
      <c r="D67" s="10" t="s">
        <v>2770</v>
      </c>
      <c r="E67" s="10" t="s">
        <v>2770</v>
      </c>
      <c r="F67" s="10" t="s">
        <v>2771</v>
      </c>
      <c r="G67" s="12" t="s">
        <v>1136</v>
      </c>
      <c r="H67" s="12" t="s">
        <v>2772</v>
      </c>
      <c r="I67" s="11" t="s">
        <v>2781</v>
      </c>
    </row>
    <row r="68" spans="1:9" ht="34" customHeight="1">
      <c r="A68" s="8" t="s">
        <v>2980</v>
      </c>
      <c r="B68" s="8" t="s">
        <v>1617</v>
      </c>
      <c r="C68" s="8" t="s">
        <v>2770</v>
      </c>
      <c r="D68" s="8" t="s">
        <v>2770</v>
      </c>
      <c r="E68" s="8" t="s">
        <v>2770</v>
      </c>
      <c r="F68" s="8" t="s">
        <v>2771</v>
      </c>
      <c r="G68" s="12" t="s">
        <v>1136</v>
      </c>
      <c r="H68" s="12" t="s">
        <v>2772</v>
      </c>
      <c r="I68" s="9" t="s">
        <v>2781</v>
      </c>
    </row>
    <row r="69" spans="1:9" ht="34" customHeight="1">
      <c r="A69" s="10" t="s">
        <v>2981</v>
      </c>
      <c r="B69" s="10" t="s">
        <v>1621</v>
      </c>
      <c r="C69" s="10" t="s">
        <v>2770</v>
      </c>
      <c r="D69" s="10" t="s">
        <v>2770</v>
      </c>
      <c r="E69" s="10" t="s">
        <v>2770</v>
      </c>
      <c r="F69" s="10" t="s">
        <v>2771</v>
      </c>
      <c r="G69" s="12" t="s">
        <v>1136</v>
      </c>
      <c r="H69" s="12" t="s">
        <v>2772</v>
      </c>
      <c r="I69" s="11" t="s">
        <v>2781</v>
      </c>
    </row>
    <row r="70" spans="1:9" ht="34" customHeight="1">
      <c r="A70" s="8" t="s">
        <v>2982</v>
      </c>
      <c r="B70" s="8" t="s">
        <v>1624</v>
      </c>
      <c r="C70" s="8" t="s">
        <v>2770</v>
      </c>
      <c r="D70" s="8" t="s">
        <v>2770</v>
      </c>
      <c r="E70" s="8" t="s">
        <v>2770</v>
      </c>
      <c r="F70" s="8" t="s">
        <v>2771</v>
      </c>
      <c r="G70" s="12" t="s">
        <v>1136</v>
      </c>
      <c r="H70" s="12" t="s">
        <v>2772</v>
      </c>
      <c r="I70" s="9" t="s">
        <v>2781</v>
      </c>
    </row>
    <row r="71" spans="1:9" ht="34" customHeight="1">
      <c r="A71" s="10" t="s">
        <v>2983</v>
      </c>
      <c r="B71" s="10" t="s">
        <v>1627</v>
      </c>
      <c r="C71" s="10" t="s">
        <v>2770</v>
      </c>
      <c r="D71" s="10" t="s">
        <v>2770</v>
      </c>
      <c r="E71" s="10" t="s">
        <v>2770</v>
      </c>
      <c r="F71" s="10" t="s">
        <v>2771</v>
      </c>
      <c r="G71" s="12" t="s">
        <v>1136</v>
      </c>
      <c r="H71" s="12" t="s">
        <v>2772</v>
      </c>
      <c r="I71" s="11" t="s">
        <v>2781</v>
      </c>
    </row>
    <row r="72" spans="1:9" ht="34" customHeight="1">
      <c r="A72" s="8" t="s">
        <v>2984</v>
      </c>
      <c r="B72" s="8" t="s">
        <v>1630</v>
      </c>
      <c r="C72" s="8" t="s">
        <v>2828</v>
      </c>
      <c r="D72" s="8" t="s">
        <v>2828</v>
      </c>
      <c r="E72" s="8" t="s">
        <v>2828</v>
      </c>
      <c r="F72" s="8" t="s">
        <v>2829</v>
      </c>
      <c r="G72" s="8" t="s">
        <v>1635</v>
      </c>
      <c r="H72" s="8" t="s">
        <v>2830</v>
      </c>
      <c r="I72" s="9" t="s">
        <v>556</v>
      </c>
    </row>
    <row r="73" spans="1:9" ht="34" customHeight="1">
      <c r="A73" s="10" t="s">
        <v>2986</v>
      </c>
      <c r="B73" s="10" t="s">
        <v>1638</v>
      </c>
      <c r="C73" s="10" t="s">
        <v>2770</v>
      </c>
      <c r="D73" s="10" t="s">
        <v>2770</v>
      </c>
      <c r="E73" s="10" t="s">
        <v>2770</v>
      </c>
      <c r="F73" s="10" t="s">
        <v>2771</v>
      </c>
      <c r="G73" s="12" t="s">
        <v>1136</v>
      </c>
      <c r="H73" s="12" t="s">
        <v>2772</v>
      </c>
      <c r="I73" s="11" t="s">
        <v>2781</v>
      </c>
    </row>
    <row r="74" spans="1:9" ht="45" customHeight="1">
      <c r="A74" s="8" t="s">
        <v>2987</v>
      </c>
      <c r="B74" s="8" t="s">
        <v>1652</v>
      </c>
      <c r="C74" s="8" t="s">
        <v>2766</v>
      </c>
      <c r="D74" s="8" t="s">
        <v>2766</v>
      </c>
      <c r="E74" s="8" t="s">
        <v>2766</v>
      </c>
      <c r="F74" s="8" t="s">
        <v>2826</v>
      </c>
      <c r="G74" s="8" t="s">
        <v>1126</v>
      </c>
      <c r="H74" s="8" t="s">
        <v>2768</v>
      </c>
      <c r="I74" s="9" t="s">
        <v>2827</v>
      </c>
    </row>
    <row r="75" spans="1:9" ht="45" customHeight="1">
      <c r="A75" s="10" t="s">
        <v>2988</v>
      </c>
      <c r="B75" s="10" t="s">
        <v>1660</v>
      </c>
      <c r="C75" s="10" t="s">
        <v>1662</v>
      </c>
      <c r="D75" s="10" t="s">
        <v>1662</v>
      </c>
      <c r="E75" s="10" t="s">
        <v>1662</v>
      </c>
      <c r="F75" s="10" t="s">
        <v>2831</v>
      </c>
      <c r="G75" s="10" t="s">
        <v>1126</v>
      </c>
      <c r="H75" s="10" t="s">
        <v>2775</v>
      </c>
      <c r="I75" s="11" t="s">
        <v>621</v>
      </c>
    </row>
    <row r="76" spans="1:9" ht="34" customHeight="1">
      <c r="A76" s="8" t="s">
        <v>2990</v>
      </c>
      <c r="B76" s="8" t="s">
        <v>1681</v>
      </c>
      <c r="C76" s="8" t="s">
        <v>2770</v>
      </c>
      <c r="D76" s="8" t="s">
        <v>2770</v>
      </c>
      <c r="E76" s="8" t="s">
        <v>2770</v>
      </c>
      <c r="F76" s="8" t="s">
        <v>2771</v>
      </c>
      <c r="G76" s="12" t="s">
        <v>1136</v>
      </c>
      <c r="H76" s="12" t="s">
        <v>2772</v>
      </c>
      <c r="I76" s="9" t="s">
        <v>2827</v>
      </c>
    </row>
    <row r="77" spans="1:9" ht="34" customHeight="1">
      <c r="A77" s="10" t="s">
        <v>2991</v>
      </c>
      <c r="B77" s="10" t="s">
        <v>1685</v>
      </c>
      <c r="C77" s="10" t="s">
        <v>2770</v>
      </c>
      <c r="D77" s="10" t="s">
        <v>2770</v>
      </c>
      <c r="E77" s="10" t="s">
        <v>2770</v>
      </c>
      <c r="F77" s="10" t="s">
        <v>2771</v>
      </c>
      <c r="G77" s="12" t="s">
        <v>1136</v>
      </c>
      <c r="H77" s="12" t="s">
        <v>2772</v>
      </c>
      <c r="I77" s="11" t="s">
        <v>2779</v>
      </c>
    </row>
    <row r="78" spans="1:9" ht="34" customHeight="1">
      <c r="A78" s="8" t="s">
        <v>2993</v>
      </c>
      <c r="B78" s="8" t="s">
        <v>1693</v>
      </c>
      <c r="C78" s="8" t="s">
        <v>2770</v>
      </c>
      <c r="D78" s="8" t="s">
        <v>2770</v>
      </c>
      <c r="E78" s="8" t="s">
        <v>2770</v>
      </c>
      <c r="F78" s="8" t="s">
        <v>2771</v>
      </c>
      <c r="G78" s="12" t="s">
        <v>1136</v>
      </c>
      <c r="H78" s="12" t="s">
        <v>2772</v>
      </c>
      <c r="I78" s="9" t="s">
        <v>2827</v>
      </c>
    </row>
    <row r="79" spans="1:9" ht="34" customHeight="1">
      <c r="A79" s="10" t="s">
        <v>2994</v>
      </c>
      <c r="B79" s="10" t="s">
        <v>1698</v>
      </c>
      <c r="C79" s="10" t="s">
        <v>2770</v>
      </c>
      <c r="D79" s="10" t="s">
        <v>2770</v>
      </c>
      <c r="E79" s="10" t="s">
        <v>2770</v>
      </c>
      <c r="F79" s="10" t="s">
        <v>2771</v>
      </c>
      <c r="G79" s="12" t="s">
        <v>1136</v>
      </c>
      <c r="H79" s="12" t="s">
        <v>2772</v>
      </c>
      <c r="I79" s="11" t="s">
        <v>2827</v>
      </c>
    </row>
    <row r="80" spans="1:9" ht="34" customHeight="1">
      <c r="A80" s="8" t="s">
        <v>2995</v>
      </c>
      <c r="B80" s="8" t="s">
        <v>1701</v>
      </c>
      <c r="C80" s="8" t="s">
        <v>2770</v>
      </c>
      <c r="D80" s="8" t="s">
        <v>2770</v>
      </c>
      <c r="E80" s="8" t="s">
        <v>2770</v>
      </c>
      <c r="F80" s="8" t="s">
        <v>2771</v>
      </c>
      <c r="G80" s="12" t="s">
        <v>1136</v>
      </c>
      <c r="H80" s="12" t="s">
        <v>2772</v>
      </c>
      <c r="I80" s="9" t="s">
        <v>2827</v>
      </c>
    </row>
    <row r="81" spans="1:9" ht="45" customHeight="1">
      <c r="A81" s="10" t="s">
        <v>2996</v>
      </c>
      <c r="B81" s="10" t="s">
        <v>1704</v>
      </c>
      <c r="C81" s="10" t="s">
        <v>2766</v>
      </c>
      <c r="D81" s="10" t="s">
        <v>2766</v>
      </c>
      <c r="E81" s="10" t="s">
        <v>2766</v>
      </c>
      <c r="F81" s="10" t="s">
        <v>2836</v>
      </c>
      <c r="G81" s="10" t="s">
        <v>1126</v>
      </c>
      <c r="H81" s="10" t="s">
        <v>2768</v>
      </c>
      <c r="I81" s="11" t="s">
        <v>621</v>
      </c>
    </row>
    <row r="82" spans="1:9" ht="45" customHeight="1">
      <c r="A82" s="8" t="s">
        <v>2997</v>
      </c>
      <c r="B82" s="8" t="s">
        <v>1707</v>
      </c>
      <c r="C82" s="8" t="s">
        <v>2766</v>
      </c>
      <c r="D82" s="8" t="s">
        <v>2766</v>
      </c>
      <c r="E82" s="8" t="s">
        <v>2766</v>
      </c>
      <c r="F82" s="8" t="s">
        <v>2836</v>
      </c>
      <c r="G82" s="8" t="s">
        <v>1161</v>
      </c>
      <c r="H82" s="8" t="s">
        <v>2768</v>
      </c>
      <c r="I82" s="9" t="s">
        <v>621</v>
      </c>
    </row>
    <row r="83" spans="1:9" ht="45" customHeight="1">
      <c r="A83" s="10" t="s">
        <v>2998</v>
      </c>
      <c r="B83" s="10" t="s">
        <v>1711</v>
      </c>
      <c r="C83" s="10" t="s">
        <v>2766</v>
      </c>
      <c r="D83" s="10" t="s">
        <v>2766</v>
      </c>
      <c r="E83" s="10" t="s">
        <v>2766</v>
      </c>
      <c r="F83" s="10" t="s">
        <v>2836</v>
      </c>
      <c r="G83" s="10" t="s">
        <v>1126</v>
      </c>
      <c r="H83" s="10" t="s">
        <v>2768</v>
      </c>
      <c r="I83" s="11" t="s">
        <v>621</v>
      </c>
    </row>
    <row r="84" spans="1:9" ht="45" customHeight="1">
      <c r="A84" s="8" t="s">
        <v>2999</v>
      </c>
      <c r="B84" s="8" t="s">
        <v>1726</v>
      </c>
      <c r="C84" s="8" t="s">
        <v>2766</v>
      </c>
      <c r="D84" s="8" t="s">
        <v>2766</v>
      </c>
      <c r="E84" s="8" t="s">
        <v>2766</v>
      </c>
      <c r="F84" s="8" t="s">
        <v>2836</v>
      </c>
      <c r="G84" s="8" t="s">
        <v>1126</v>
      </c>
      <c r="H84" s="8" t="s">
        <v>2768</v>
      </c>
      <c r="I84" s="9" t="s">
        <v>621</v>
      </c>
    </row>
    <row r="85" spans="1:9" ht="45" customHeight="1">
      <c r="A85" s="10" t="s">
        <v>3000</v>
      </c>
      <c r="B85" s="10" t="s">
        <v>1734</v>
      </c>
      <c r="C85" s="10" t="s">
        <v>2766</v>
      </c>
      <c r="D85" s="10" t="s">
        <v>2766</v>
      </c>
      <c r="E85" s="10" t="s">
        <v>2766</v>
      </c>
      <c r="F85" s="10" t="s">
        <v>2836</v>
      </c>
      <c r="G85" s="10" t="s">
        <v>1126</v>
      </c>
      <c r="H85" s="10" t="s">
        <v>2768</v>
      </c>
      <c r="I85" s="11" t="s">
        <v>621</v>
      </c>
    </row>
    <row r="86" spans="1:9" ht="34" customHeight="1">
      <c r="A86" s="8" t="s">
        <v>3001</v>
      </c>
      <c r="B86" s="8" t="s">
        <v>1737</v>
      </c>
      <c r="C86" s="8" t="s">
        <v>2770</v>
      </c>
      <c r="D86" s="8" t="s">
        <v>2770</v>
      </c>
      <c r="E86" s="8" t="s">
        <v>2770</v>
      </c>
      <c r="F86" s="8" t="s">
        <v>2771</v>
      </c>
      <c r="G86" s="12" t="s">
        <v>1136</v>
      </c>
      <c r="H86" s="12" t="s">
        <v>2772</v>
      </c>
      <c r="I86" s="9" t="s">
        <v>2827</v>
      </c>
    </row>
    <row r="87" spans="1:9" ht="34" customHeight="1">
      <c r="A87" s="10" t="s">
        <v>3002</v>
      </c>
      <c r="B87" s="10" t="s">
        <v>1742</v>
      </c>
      <c r="C87" s="10" t="s">
        <v>2770</v>
      </c>
      <c r="D87" s="10" t="s">
        <v>2770</v>
      </c>
      <c r="E87" s="10" t="s">
        <v>2770</v>
      </c>
      <c r="F87" s="10" t="s">
        <v>2771</v>
      </c>
      <c r="G87" s="12" t="s">
        <v>1136</v>
      </c>
      <c r="H87" s="12" t="s">
        <v>2772</v>
      </c>
      <c r="I87" s="11" t="s">
        <v>2827</v>
      </c>
    </row>
    <row r="88" spans="1:9" ht="45" customHeight="1">
      <c r="A88" s="8" t="s">
        <v>3003</v>
      </c>
      <c r="B88" s="8" t="s">
        <v>616</v>
      </c>
      <c r="C88" s="8" t="s">
        <v>618</v>
      </c>
      <c r="D88" s="8" t="s">
        <v>619</v>
      </c>
      <c r="E88" s="8" t="s">
        <v>618</v>
      </c>
      <c r="F88" s="8" t="s">
        <v>2837</v>
      </c>
      <c r="G88" s="8" t="s">
        <v>1126</v>
      </c>
      <c r="H88" s="8" t="s">
        <v>2775</v>
      </c>
      <c r="I88" s="9" t="s">
        <v>621</v>
      </c>
    </row>
    <row r="89" spans="1:9" ht="34" customHeight="1">
      <c r="A89" s="10" t="s">
        <v>3004</v>
      </c>
      <c r="B89" s="10" t="s">
        <v>1751</v>
      </c>
      <c r="C89" s="10" t="s">
        <v>2770</v>
      </c>
      <c r="D89" s="10" t="s">
        <v>2770</v>
      </c>
      <c r="E89" s="10" t="s">
        <v>2770</v>
      </c>
      <c r="F89" s="10" t="s">
        <v>2771</v>
      </c>
      <c r="G89" s="12" t="s">
        <v>1136</v>
      </c>
      <c r="H89" s="12" t="s">
        <v>2772</v>
      </c>
      <c r="I89" s="11" t="s">
        <v>2827</v>
      </c>
    </row>
    <row r="90" spans="1:9" ht="45" customHeight="1">
      <c r="A90" s="8" t="s">
        <v>3005</v>
      </c>
      <c r="B90" s="8" t="s">
        <v>1754</v>
      </c>
      <c r="C90" s="8" t="s">
        <v>2766</v>
      </c>
      <c r="D90" s="8" t="s">
        <v>2766</v>
      </c>
      <c r="E90" s="8" t="s">
        <v>2766</v>
      </c>
      <c r="F90" s="8" t="s">
        <v>2826</v>
      </c>
      <c r="G90" s="8" t="s">
        <v>1126</v>
      </c>
      <c r="H90" s="8" t="s">
        <v>2768</v>
      </c>
      <c r="I90" s="9" t="s">
        <v>2827</v>
      </c>
    </row>
    <row r="91" spans="1:9" ht="45" customHeight="1">
      <c r="A91" s="10" t="s">
        <v>3006</v>
      </c>
      <c r="B91" s="10" t="s">
        <v>1757</v>
      </c>
      <c r="C91" s="10" t="s">
        <v>2766</v>
      </c>
      <c r="D91" s="10" t="s">
        <v>2766</v>
      </c>
      <c r="E91" s="10" t="s">
        <v>2766</v>
      </c>
      <c r="F91" s="10" t="s">
        <v>2826</v>
      </c>
      <c r="G91" s="10" t="s">
        <v>1126</v>
      </c>
      <c r="H91" s="10" t="s">
        <v>2768</v>
      </c>
      <c r="I91" s="11" t="s">
        <v>2827</v>
      </c>
    </row>
    <row r="92" spans="1:9" ht="45" customHeight="1">
      <c r="A92" s="8" t="s">
        <v>3007</v>
      </c>
      <c r="B92" s="8" t="s">
        <v>1762</v>
      </c>
      <c r="C92" s="8" t="s">
        <v>2766</v>
      </c>
      <c r="D92" s="8" t="s">
        <v>2766</v>
      </c>
      <c r="E92" s="8" t="s">
        <v>2766</v>
      </c>
      <c r="F92" s="8" t="s">
        <v>2826</v>
      </c>
      <c r="G92" s="8" t="s">
        <v>1126</v>
      </c>
      <c r="H92" s="8" t="s">
        <v>2768</v>
      </c>
      <c r="I92" s="9" t="s">
        <v>2827</v>
      </c>
    </row>
    <row r="93" spans="1:9" ht="45" customHeight="1">
      <c r="A93" s="10" t="s">
        <v>3008</v>
      </c>
      <c r="B93" s="10" t="s">
        <v>1765</v>
      </c>
      <c r="C93" s="10" t="s">
        <v>2766</v>
      </c>
      <c r="D93" s="10" t="s">
        <v>2766</v>
      </c>
      <c r="E93" s="10" t="s">
        <v>2766</v>
      </c>
      <c r="F93" s="10" t="s">
        <v>2826</v>
      </c>
      <c r="G93" s="10" t="s">
        <v>1126</v>
      </c>
      <c r="H93" s="10" t="s">
        <v>2768</v>
      </c>
      <c r="I93" s="11" t="s">
        <v>2827</v>
      </c>
    </row>
    <row r="94" spans="1:9" ht="45" customHeight="1">
      <c r="A94" s="8" t="s">
        <v>3009</v>
      </c>
      <c r="B94" s="8" t="s">
        <v>1768</v>
      </c>
      <c r="C94" s="8" t="s">
        <v>2766</v>
      </c>
      <c r="D94" s="8" t="s">
        <v>2766</v>
      </c>
      <c r="E94" s="8" t="s">
        <v>2766</v>
      </c>
      <c r="F94" s="8" t="s">
        <v>2826</v>
      </c>
      <c r="G94" s="8" t="s">
        <v>1126</v>
      </c>
      <c r="H94" s="8" t="s">
        <v>2768</v>
      </c>
      <c r="I94" s="9" t="s">
        <v>2827</v>
      </c>
    </row>
    <row r="95" spans="1:9" ht="45" customHeight="1">
      <c r="A95" s="10" t="s">
        <v>3010</v>
      </c>
      <c r="B95" s="10" t="s">
        <v>1771</v>
      </c>
      <c r="C95" s="10" t="s">
        <v>2766</v>
      </c>
      <c r="D95" s="10" t="s">
        <v>2766</v>
      </c>
      <c r="E95" s="10" t="s">
        <v>2766</v>
      </c>
      <c r="F95" s="10" t="s">
        <v>2826</v>
      </c>
      <c r="G95" s="10" t="s">
        <v>1126</v>
      </c>
      <c r="H95" s="10" t="s">
        <v>2768</v>
      </c>
      <c r="I95" s="11" t="s">
        <v>2827</v>
      </c>
    </row>
    <row r="96" spans="1:9" ht="45" customHeight="1">
      <c r="A96" s="8" t="s">
        <v>3011</v>
      </c>
      <c r="B96" s="8" t="s">
        <v>1774</v>
      </c>
      <c r="C96" s="8" t="s">
        <v>2766</v>
      </c>
      <c r="D96" s="8" t="s">
        <v>2766</v>
      </c>
      <c r="E96" s="8" t="s">
        <v>2766</v>
      </c>
      <c r="F96" s="8" t="s">
        <v>2826</v>
      </c>
      <c r="G96" s="8" t="s">
        <v>1126</v>
      </c>
      <c r="H96" s="8" t="s">
        <v>2768</v>
      </c>
      <c r="I96" s="9" t="s">
        <v>2827</v>
      </c>
    </row>
    <row r="97" spans="1:9" ht="45" customHeight="1">
      <c r="A97" s="10" t="s">
        <v>3012</v>
      </c>
      <c r="B97" s="10" t="s">
        <v>1777</v>
      </c>
      <c r="C97" s="10" t="s">
        <v>2766</v>
      </c>
      <c r="D97" s="10" t="s">
        <v>2766</v>
      </c>
      <c r="E97" s="10" t="s">
        <v>2766</v>
      </c>
      <c r="F97" s="10" t="s">
        <v>2826</v>
      </c>
      <c r="G97" s="10" t="s">
        <v>1126</v>
      </c>
      <c r="H97" s="10" t="s">
        <v>2768</v>
      </c>
      <c r="I97" s="11" t="s">
        <v>2827</v>
      </c>
    </row>
    <row r="98" spans="1:9" ht="45" customHeight="1">
      <c r="A98" s="8" t="s">
        <v>3013</v>
      </c>
      <c r="B98" s="8" t="s">
        <v>1780</v>
      </c>
      <c r="C98" s="8" t="s">
        <v>2766</v>
      </c>
      <c r="D98" s="8" t="s">
        <v>2766</v>
      </c>
      <c r="E98" s="8" t="s">
        <v>2766</v>
      </c>
      <c r="F98" s="8" t="s">
        <v>2826</v>
      </c>
      <c r="G98" s="8" t="s">
        <v>1126</v>
      </c>
      <c r="H98" s="8" t="s">
        <v>2768</v>
      </c>
      <c r="I98" s="9" t="s">
        <v>2827</v>
      </c>
    </row>
    <row r="99" spans="1:9" ht="45" customHeight="1">
      <c r="A99" s="10" t="s">
        <v>3014</v>
      </c>
      <c r="B99" s="10" t="s">
        <v>1785</v>
      </c>
      <c r="C99" s="10" t="s">
        <v>2766</v>
      </c>
      <c r="D99" s="10" t="s">
        <v>2766</v>
      </c>
      <c r="E99" s="10" t="s">
        <v>2766</v>
      </c>
      <c r="F99" s="10" t="s">
        <v>2826</v>
      </c>
      <c r="G99" s="10" t="s">
        <v>1126</v>
      </c>
      <c r="H99" s="10" t="s">
        <v>2768</v>
      </c>
      <c r="I99" s="11" t="s">
        <v>2827</v>
      </c>
    </row>
    <row r="100" spans="1:9" ht="45" customHeight="1">
      <c r="A100" s="8" t="s">
        <v>3015</v>
      </c>
      <c r="B100" s="8" t="s">
        <v>1792</v>
      </c>
      <c r="C100" s="8" t="s">
        <v>2766</v>
      </c>
      <c r="D100" s="8" t="s">
        <v>2766</v>
      </c>
      <c r="E100" s="8" t="s">
        <v>2766</v>
      </c>
      <c r="F100" s="8" t="s">
        <v>2826</v>
      </c>
      <c r="G100" s="8" t="s">
        <v>1161</v>
      </c>
      <c r="H100" s="8" t="s">
        <v>2768</v>
      </c>
      <c r="I100" s="9" t="s">
        <v>2827</v>
      </c>
    </row>
    <row r="101" spans="1:9" ht="45" customHeight="1">
      <c r="A101" s="10" t="s">
        <v>3016</v>
      </c>
      <c r="B101" s="10" t="s">
        <v>1808</v>
      </c>
      <c r="C101" s="10" t="s">
        <v>2766</v>
      </c>
      <c r="D101" s="10" t="s">
        <v>2766</v>
      </c>
      <c r="E101" s="10" t="s">
        <v>2766</v>
      </c>
      <c r="F101" s="10" t="s">
        <v>2826</v>
      </c>
      <c r="G101" s="10" t="s">
        <v>1126</v>
      </c>
      <c r="H101" s="10" t="s">
        <v>2768</v>
      </c>
      <c r="I101" s="11" t="s">
        <v>2827</v>
      </c>
    </row>
    <row r="102" spans="1:9" ht="45" customHeight="1">
      <c r="A102" s="8" t="s">
        <v>3017</v>
      </c>
      <c r="B102" s="8" t="s">
        <v>1814</v>
      </c>
      <c r="C102" s="8" t="s">
        <v>1285</v>
      </c>
      <c r="D102" s="8" t="s">
        <v>1285</v>
      </c>
      <c r="E102" s="8" t="s">
        <v>1285</v>
      </c>
      <c r="F102" s="8" t="s">
        <v>2838</v>
      </c>
      <c r="G102" s="8" t="s">
        <v>1126</v>
      </c>
      <c r="H102" s="8" t="s">
        <v>2775</v>
      </c>
      <c r="I102" s="9" t="s">
        <v>1087</v>
      </c>
    </row>
    <row r="103" spans="1:9" ht="34" customHeight="1">
      <c r="A103" s="10" t="s">
        <v>3018</v>
      </c>
      <c r="B103" s="10" t="s">
        <v>1825</v>
      </c>
      <c r="C103" s="10" t="s">
        <v>2770</v>
      </c>
      <c r="D103" s="10" t="s">
        <v>2770</v>
      </c>
      <c r="E103" s="10" t="s">
        <v>2770</v>
      </c>
      <c r="F103" s="10" t="s">
        <v>2771</v>
      </c>
      <c r="G103" s="12" t="s">
        <v>1136</v>
      </c>
      <c r="H103" s="12" t="s">
        <v>2772</v>
      </c>
      <c r="I103" s="11" t="s">
        <v>2827</v>
      </c>
    </row>
    <row r="104" spans="1:9" ht="34" customHeight="1">
      <c r="A104" s="8" t="s">
        <v>3019</v>
      </c>
      <c r="B104" s="8" t="s">
        <v>1829</v>
      </c>
      <c r="C104" s="8" t="s">
        <v>2770</v>
      </c>
      <c r="D104" s="8" t="s">
        <v>2770</v>
      </c>
      <c r="E104" s="8" t="s">
        <v>2770</v>
      </c>
      <c r="F104" s="8" t="s">
        <v>2771</v>
      </c>
      <c r="G104" s="12" t="s">
        <v>1136</v>
      </c>
      <c r="H104" s="12" t="s">
        <v>2772</v>
      </c>
      <c r="I104" s="9" t="s">
        <v>2827</v>
      </c>
    </row>
    <row r="105" spans="1:9" ht="45" customHeight="1">
      <c r="A105" s="10" t="s">
        <v>3020</v>
      </c>
      <c r="B105" s="10" t="s">
        <v>1832</v>
      </c>
      <c r="C105" s="10" t="s">
        <v>2766</v>
      </c>
      <c r="D105" s="10" t="s">
        <v>2766</v>
      </c>
      <c r="E105" s="10" t="s">
        <v>2766</v>
      </c>
      <c r="F105" s="10" t="s">
        <v>2826</v>
      </c>
      <c r="G105" s="10" t="s">
        <v>1126</v>
      </c>
      <c r="H105" s="10" t="s">
        <v>2768</v>
      </c>
      <c r="I105" s="11" t="s">
        <v>2827</v>
      </c>
    </row>
    <row r="106" spans="1:9" ht="45" customHeight="1">
      <c r="A106" s="8" t="s">
        <v>3021</v>
      </c>
      <c r="B106" s="8" t="s">
        <v>1842</v>
      </c>
      <c r="C106" s="8" t="s">
        <v>2766</v>
      </c>
      <c r="D106" s="8" t="s">
        <v>2766</v>
      </c>
      <c r="E106" s="8" t="s">
        <v>2766</v>
      </c>
      <c r="F106" s="8" t="s">
        <v>2780</v>
      </c>
      <c r="G106" s="8" t="s">
        <v>1161</v>
      </c>
      <c r="H106" s="8" t="s">
        <v>2768</v>
      </c>
      <c r="I106" s="9" t="s">
        <v>2781</v>
      </c>
    </row>
    <row r="107" spans="1:9" ht="45" customHeight="1">
      <c r="A107" s="10" t="s">
        <v>3022</v>
      </c>
      <c r="B107" s="10" t="s">
        <v>1851</v>
      </c>
      <c r="C107" s="10" t="s">
        <v>2766</v>
      </c>
      <c r="D107" s="10" t="s">
        <v>2766</v>
      </c>
      <c r="E107" s="10" t="s">
        <v>2766</v>
      </c>
      <c r="F107" s="10" t="s">
        <v>2826</v>
      </c>
      <c r="G107" s="10" t="s">
        <v>1126</v>
      </c>
      <c r="H107" s="10" t="s">
        <v>2768</v>
      </c>
      <c r="I107" s="11" t="s">
        <v>2827</v>
      </c>
    </row>
    <row r="108" spans="1:9" ht="45" customHeight="1">
      <c r="A108" s="8" t="s">
        <v>3023</v>
      </c>
      <c r="B108" s="8" t="s">
        <v>1855</v>
      </c>
      <c r="C108" s="8" t="s">
        <v>1662</v>
      </c>
      <c r="D108" s="8" t="s">
        <v>1662</v>
      </c>
      <c r="E108" s="8" t="s">
        <v>1662</v>
      </c>
      <c r="F108" s="8" t="s">
        <v>2840</v>
      </c>
      <c r="G108" s="8" t="s">
        <v>1126</v>
      </c>
      <c r="H108" s="8" t="s">
        <v>2775</v>
      </c>
      <c r="I108" s="9" t="s">
        <v>2841</v>
      </c>
    </row>
    <row r="109" spans="1:9" ht="45" customHeight="1">
      <c r="A109" s="10" t="s">
        <v>3025</v>
      </c>
      <c r="B109" s="10" t="s">
        <v>1862</v>
      </c>
      <c r="C109" s="10" t="s">
        <v>2766</v>
      </c>
      <c r="D109" s="10" t="s">
        <v>2766</v>
      </c>
      <c r="E109" s="10" t="s">
        <v>2766</v>
      </c>
      <c r="F109" s="10" t="s">
        <v>2826</v>
      </c>
      <c r="G109" s="10" t="s">
        <v>1126</v>
      </c>
      <c r="H109" s="10" t="s">
        <v>2768</v>
      </c>
      <c r="I109" s="11" t="s">
        <v>2827</v>
      </c>
    </row>
    <row r="110" spans="1:9" ht="45" customHeight="1">
      <c r="A110" s="8" t="s">
        <v>3026</v>
      </c>
      <c r="B110" s="8" t="s">
        <v>1867</v>
      </c>
      <c r="C110" s="8" t="s">
        <v>1179</v>
      </c>
      <c r="D110" s="8" t="s">
        <v>1179</v>
      </c>
      <c r="E110" s="8" t="s">
        <v>1179</v>
      </c>
      <c r="F110" s="8" t="s">
        <v>2842</v>
      </c>
      <c r="G110" s="8" t="s">
        <v>1126</v>
      </c>
      <c r="H110" s="8" t="s">
        <v>2775</v>
      </c>
      <c r="I110" s="9" t="s">
        <v>621</v>
      </c>
    </row>
    <row r="111" spans="1:9" ht="45" customHeight="1">
      <c r="A111" s="10" t="s">
        <v>3027</v>
      </c>
      <c r="B111" s="10" t="s">
        <v>1870</v>
      </c>
      <c r="C111" s="10" t="s">
        <v>1662</v>
      </c>
      <c r="D111" s="10" t="s">
        <v>1662</v>
      </c>
      <c r="E111" s="10" t="s">
        <v>1662</v>
      </c>
      <c r="F111" s="10" t="s">
        <v>2843</v>
      </c>
      <c r="G111" s="10" t="s">
        <v>1126</v>
      </c>
      <c r="H111" s="10" t="s">
        <v>2775</v>
      </c>
      <c r="I111" s="11" t="s">
        <v>621</v>
      </c>
    </row>
    <row r="112" spans="1:9" ht="45" customHeight="1">
      <c r="A112" s="8" t="s">
        <v>3028</v>
      </c>
      <c r="B112" s="8" t="s">
        <v>1874</v>
      </c>
      <c r="C112" s="8" t="s">
        <v>2766</v>
      </c>
      <c r="D112" s="8" t="s">
        <v>2766</v>
      </c>
      <c r="E112" s="8" t="s">
        <v>2766</v>
      </c>
      <c r="F112" s="8" t="s">
        <v>2826</v>
      </c>
      <c r="G112" s="8" t="s">
        <v>1126</v>
      </c>
      <c r="H112" s="8" t="s">
        <v>2768</v>
      </c>
      <c r="I112" s="9" t="s">
        <v>2827</v>
      </c>
    </row>
    <row r="113" spans="1:9" ht="45" customHeight="1">
      <c r="A113" s="10" t="s">
        <v>3029</v>
      </c>
      <c r="B113" s="10" t="s">
        <v>1877</v>
      </c>
      <c r="C113" s="10" t="s">
        <v>2766</v>
      </c>
      <c r="D113" s="10" t="s">
        <v>2766</v>
      </c>
      <c r="E113" s="10" t="s">
        <v>2766</v>
      </c>
      <c r="F113" s="10" t="s">
        <v>2826</v>
      </c>
      <c r="G113" s="10" t="s">
        <v>1126</v>
      </c>
      <c r="H113" s="10" t="s">
        <v>2768</v>
      </c>
      <c r="I113" s="11" t="s">
        <v>2827</v>
      </c>
    </row>
    <row r="114" spans="1:9" ht="45" customHeight="1">
      <c r="A114" s="8" t="s">
        <v>3030</v>
      </c>
      <c r="B114" s="8" t="s">
        <v>1880</v>
      </c>
      <c r="C114" s="8" t="s">
        <v>2766</v>
      </c>
      <c r="D114" s="8" t="s">
        <v>2766</v>
      </c>
      <c r="E114" s="8" t="s">
        <v>2766</v>
      </c>
      <c r="F114" s="8" t="s">
        <v>2826</v>
      </c>
      <c r="G114" s="8" t="s">
        <v>1126</v>
      </c>
      <c r="H114" s="8" t="s">
        <v>2768</v>
      </c>
      <c r="I114" s="9" t="s">
        <v>2827</v>
      </c>
    </row>
    <row r="115" spans="1:9" ht="45" customHeight="1">
      <c r="A115" s="10" t="s">
        <v>3031</v>
      </c>
      <c r="B115" s="10" t="s">
        <v>1883</v>
      </c>
      <c r="C115" s="10" t="s">
        <v>2766</v>
      </c>
      <c r="D115" s="10" t="s">
        <v>2766</v>
      </c>
      <c r="E115" s="10" t="s">
        <v>2766</v>
      </c>
      <c r="F115" s="10" t="s">
        <v>2826</v>
      </c>
      <c r="G115" s="10" t="s">
        <v>1126</v>
      </c>
      <c r="H115" s="10" t="s">
        <v>2768</v>
      </c>
      <c r="I115" s="11" t="s">
        <v>2827</v>
      </c>
    </row>
    <row r="116" spans="1:9" ht="34" customHeight="1">
      <c r="A116" s="8" t="s">
        <v>3032</v>
      </c>
      <c r="B116" s="8" t="s">
        <v>1901</v>
      </c>
      <c r="C116" s="8" t="s">
        <v>2770</v>
      </c>
      <c r="D116" s="8" t="s">
        <v>2770</v>
      </c>
      <c r="E116" s="8" t="s">
        <v>2770</v>
      </c>
      <c r="F116" s="8" t="s">
        <v>2771</v>
      </c>
      <c r="G116" s="12" t="s">
        <v>1136</v>
      </c>
      <c r="H116" s="12" t="s">
        <v>2772</v>
      </c>
      <c r="I116" s="9" t="s">
        <v>2827</v>
      </c>
    </row>
    <row r="117" spans="1:9" ht="45" customHeight="1">
      <c r="A117" s="10" t="s">
        <v>3033</v>
      </c>
      <c r="B117" s="10" t="s">
        <v>1904</v>
      </c>
      <c r="C117" s="10" t="s">
        <v>2766</v>
      </c>
      <c r="D117" s="10" t="s">
        <v>2766</v>
      </c>
      <c r="E117" s="10" t="s">
        <v>2766</v>
      </c>
      <c r="F117" s="10" t="s">
        <v>2826</v>
      </c>
      <c r="G117" s="10" t="s">
        <v>1126</v>
      </c>
      <c r="H117" s="10" t="s">
        <v>2768</v>
      </c>
      <c r="I117" s="11" t="s">
        <v>2827</v>
      </c>
    </row>
    <row r="118" spans="1:9" ht="34" customHeight="1">
      <c r="A118" s="8" t="s">
        <v>3034</v>
      </c>
      <c r="B118" s="8" t="s">
        <v>1913</v>
      </c>
      <c r="C118" s="8" t="s">
        <v>2770</v>
      </c>
      <c r="D118" s="8" t="s">
        <v>2770</v>
      </c>
      <c r="E118" s="8" t="s">
        <v>2770</v>
      </c>
      <c r="F118" s="8" t="s">
        <v>2771</v>
      </c>
      <c r="G118" s="12" t="s">
        <v>1136</v>
      </c>
      <c r="H118" s="12" t="s">
        <v>2772</v>
      </c>
      <c r="I118" s="9" t="s">
        <v>2827</v>
      </c>
    </row>
    <row r="119" spans="1:9" ht="34" customHeight="1">
      <c r="A119" s="10" t="s">
        <v>3035</v>
      </c>
      <c r="B119" s="10" t="s">
        <v>1916</v>
      </c>
      <c r="C119" s="10" t="s">
        <v>2770</v>
      </c>
      <c r="D119" s="10" t="s">
        <v>2770</v>
      </c>
      <c r="E119" s="10" t="s">
        <v>2770</v>
      </c>
      <c r="F119" s="10" t="s">
        <v>2771</v>
      </c>
      <c r="G119" s="12" t="s">
        <v>1136</v>
      </c>
      <c r="H119" s="12" t="s">
        <v>2772</v>
      </c>
      <c r="I119" s="11" t="s">
        <v>2827</v>
      </c>
    </row>
    <row r="120" spans="1:9" ht="45" customHeight="1">
      <c r="A120" s="8" t="s">
        <v>3036</v>
      </c>
      <c r="B120" s="8" t="s">
        <v>613</v>
      </c>
      <c r="C120" s="8" t="s">
        <v>608</v>
      </c>
      <c r="D120" s="8" t="s">
        <v>609</v>
      </c>
      <c r="E120" s="8" t="s">
        <v>2846</v>
      </c>
      <c r="F120" s="8" t="s">
        <v>2847</v>
      </c>
      <c r="G120" s="8" t="s">
        <v>1126</v>
      </c>
      <c r="H120" s="8" t="s">
        <v>2775</v>
      </c>
      <c r="I120" s="9" t="s">
        <v>615</v>
      </c>
    </row>
    <row r="121" spans="1:9" ht="45" customHeight="1">
      <c r="A121" s="10" t="s">
        <v>3038</v>
      </c>
      <c r="B121" s="10" t="s">
        <v>1922</v>
      </c>
      <c r="C121" s="10" t="s">
        <v>2766</v>
      </c>
      <c r="D121" s="10" t="s">
        <v>2766</v>
      </c>
      <c r="E121" s="10" t="s">
        <v>2766</v>
      </c>
      <c r="F121" s="10" t="s">
        <v>2767</v>
      </c>
      <c r="G121" s="10" t="s">
        <v>1126</v>
      </c>
      <c r="H121" s="10" t="s">
        <v>2768</v>
      </c>
      <c r="I121" s="11" t="s">
        <v>2769</v>
      </c>
    </row>
    <row r="122" spans="1:9" ht="45" customHeight="1">
      <c r="A122" s="8" t="s">
        <v>3039</v>
      </c>
      <c r="B122" s="8" t="s">
        <v>1928</v>
      </c>
      <c r="C122" s="8" t="s">
        <v>2766</v>
      </c>
      <c r="D122" s="8" t="s">
        <v>2766</v>
      </c>
      <c r="E122" s="8" t="s">
        <v>2766</v>
      </c>
      <c r="F122" s="8" t="s">
        <v>2780</v>
      </c>
      <c r="G122" s="8" t="s">
        <v>1126</v>
      </c>
      <c r="H122" s="8" t="s">
        <v>2768</v>
      </c>
      <c r="I122" s="9" t="s">
        <v>2781</v>
      </c>
    </row>
    <row r="123" spans="1:9" ht="45" customHeight="1">
      <c r="A123" s="10" t="s">
        <v>3040</v>
      </c>
      <c r="B123" s="10" t="s">
        <v>1933</v>
      </c>
      <c r="C123" s="10" t="s">
        <v>2766</v>
      </c>
      <c r="D123" s="10" t="s">
        <v>2766</v>
      </c>
      <c r="E123" s="10" t="s">
        <v>2766</v>
      </c>
      <c r="F123" s="10" t="s">
        <v>2767</v>
      </c>
      <c r="G123" s="10" t="s">
        <v>1126</v>
      </c>
      <c r="H123" s="10" t="s">
        <v>2768</v>
      </c>
      <c r="I123" s="11" t="s">
        <v>2769</v>
      </c>
    </row>
    <row r="124" spans="1:9" ht="45" customHeight="1">
      <c r="A124" s="8" t="s">
        <v>3041</v>
      </c>
      <c r="B124" s="8" t="s">
        <v>1936</v>
      </c>
      <c r="C124" s="8" t="s">
        <v>2766</v>
      </c>
      <c r="D124" s="8" t="s">
        <v>2766</v>
      </c>
      <c r="E124" s="8" t="s">
        <v>2766</v>
      </c>
      <c r="F124" s="8" t="s">
        <v>2780</v>
      </c>
      <c r="G124" s="8" t="s">
        <v>1126</v>
      </c>
      <c r="H124" s="8" t="s">
        <v>2768</v>
      </c>
      <c r="I124" s="9" t="s">
        <v>2781</v>
      </c>
    </row>
    <row r="125" spans="1:9" ht="45" customHeight="1">
      <c r="A125" s="10" t="s">
        <v>3042</v>
      </c>
      <c r="B125" s="10" t="s">
        <v>1941</v>
      </c>
      <c r="C125" s="10" t="s">
        <v>2766</v>
      </c>
      <c r="D125" s="10" t="s">
        <v>2766</v>
      </c>
      <c r="E125" s="10" t="s">
        <v>2766</v>
      </c>
      <c r="F125" s="10" t="s">
        <v>2802</v>
      </c>
      <c r="G125" s="10" t="s">
        <v>1126</v>
      </c>
      <c r="H125" s="10" t="s">
        <v>2768</v>
      </c>
      <c r="I125" s="11" t="s">
        <v>2769</v>
      </c>
    </row>
    <row r="126" spans="1:9" ht="45" customHeight="1">
      <c r="A126" s="8" t="s">
        <v>3043</v>
      </c>
      <c r="B126" s="8" t="s">
        <v>1945</v>
      </c>
      <c r="C126" s="8" t="s">
        <v>2766</v>
      </c>
      <c r="D126" s="8" t="s">
        <v>2766</v>
      </c>
      <c r="E126" s="8" t="s">
        <v>2766</v>
      </c>
      <c r="F126" s="8" t="s">
        <v>2802</v>
      </c>
      <c r="G126" s="8" t="s">
        <v>1126</v>
      </c>
      <c r="H126" s="8" t="s">
        <v>2768</v>
      </c>
      <c r="I126" s="9" t="s">
        <v>2769</v>
      </c>
    </row>
    <row r="127" spans="1:9" ht="45" customHeight="1">
      <c r="A127" s="10" t="s">
        <v>3044</v>
      </c>
      <c r="B127" s="10" t="s">
        <v>1949</v>
      </c>
      <c r="C127" s="10" t="s">
        <v>2766</v>
      </c>
      <c r="D127" s="10" t="s">
        <v>2766</v>
      </c>
      <c r="E127" s="10" t="s">
        <v>2766</v>
      </c>
      <c r="F127" s="10" t="s">
        <v>2802</v>
      </c>
      <c r="G127" s="10" t="s">
        <v>1126</v>
      </c>
      <c r="H127" s="10" t="s">
        <v>2768</v>
      </c>
      <c r="I127" s="11" t="s">
        <v>2769</v>
      </c>
    </row>
    <row r="128" spans="1:9" ht="45" customHeight="1">
      <c r="A128" s="8" t="s">
        <v>3045</v>
      </c>
      <c r="B128" s="8" t="s">
        <v>1956</v>
      </c>
      <c r="C128" s="8" t="s">
        <v>1118</v>
      </c>
      <c r="D128" s="8" t="s">
        <v>1118</v>
      </c>
      <c r="E128" s="8" t="s">
        <v>1118</v>
      </c>
      <c r="F128" s="8" t="s">
        <v>2848</v>
      </c>
      <c r="G128" s="8" t="s">
        <v>1126</v>
      </c>
      <c r="H128" s="8" t="s">
        <v>2775</v>
      </c>
      <c r="I128" s="9" t="s">
        <v>605</v>
      </c>
    </row>
    <row r="129" spans="1:9" ht="45" customHeight="1">
      <c r="A129" s="10" t="s">
        <v>3046</v>
      </c>
      <c r="B129" s="10" t="s">
        <v>622</v>
      </c>
      <c r="C129" s="10" t="s">
        <v>603</v>
      </c>
      <c r="D129" s="10" t="s">
        <v>619</v>
      </c>
      <c r="E129" s="10" t="s">
        <v>603</v>
      </c>
      <c r="F129" s="10" t="s">
        <v>2849</v>
      </c>
      <c r="G129" s="10" t="s">
        <v>1126</v>
      </c>
      <c r="H129" s="10" t="s">
        <v>2775</v>
      </c>
      <c r="I129" s="11" t="s">
        <v>605</v>
      </c>
    </row>
    <row r="130" spans="1:9" ht="34" customHeight="1">
      <c r="A130" s="8" t="s">
        <v>3047</v>
      </c>
      <c r="B130" s="8" t="s">
        <v>1962</v>
      </c>
      <c r="C130" s="8" t="s">
        <v>2770</v>
      </c>
      <c r="D130" s="8" t="s">
        <v>2770</v>
      </c>
      <c r="E130" s="8" t="s">
        <v>2770</v>
      </c>
      <c r="F130" s="8" t="s">
        <v>2771</v>
      </c>
      <c r="G130" s="12" t="s">
        <v>1136</v>
      </c>
      <c r="H130" s="12" t="s">
        <v>2772</v>
      </c>
      <c r="I130" s="9" t="s">
        <v>1087</v>
      </c>
    </row>
    <row r="131" spans="1:9" ht="45" customHeight="1">
      <c r="A131" s="10" t="s">
        <v>3048</v>
      </c>
      <c r="B131" s="10" t="s">
        <v>1966</v>
      </c>
      <c r="C131" s="10" t="s">
        <v>2766</v>
      </c>
      <c r="D131" s="10" t="s">
        <v>2766</v>
      </c>
      <c r="E131" s="10" t="s">
        <v>2766</v>
      </c>
      <c r="F131" s="10" t="s">
        <v>2850</v>
      </c>
      <c r="G131" s="10" t="s">
        <v>1126</v>
      </c>
      <c r="H131" s="10" t="s">
        <v>2768</v>
      </c>
      <c r="I131" s="11" t="s">
        <v>1087</v>
      </c>
    </row>
    <row r="132" spans="1:9" ht="34" customHeight="1">
      <c r="A132" s="8" t="s">
        <v>3049</v>
      </c>
      <c r="B132" s="8" t="s">
        <v>1969</v>
      </c>
      <c r="C132" s="8" t="s">
        <v>2770</v>
      </c>
      <c r="D132" s="8" t="s">
        <v>2770</v>
      </c>
      <c r="E132" s="8" t="s">
        <v>2770</v>
      </c>
      <c r="F132" s="8" t="s">
        <v>2771</v>
      </c>
      <c r="G132" s="12" t="s">
        <v>1136</v>
      </c>
      <c r="H132" s="12" t="s">
        <v>2772</v>
      </c>
      <c r="I132" s="9" t="s">
        <v>1087</v>
      </c>
    </row>
    <row r="133" spans="1:9" ht="45" customHeight="1">
      <c r="A133" s="10" t="s">
        <v>3050</v>
      </c>
      <c r="B133" s="10" t="s">
        <v>1973</v>
      </c>
      <c r="C133" s="10" t="s">
        <v>2766</v>
      </c>
      <c r="D133" s="10" t="s">
        <v>2766</v>
      </c>
      <c r="E133" s="10" t="s">
        <v>2766</v>
      </c>
      <c r="F133" s="10" t="s">
        <v>2850</v>
      </c>
      <c r="G133" s="10" t="s">
        <v>1126</v>
      </c>
      <c r="H133" s="10" t="s">
        <v>2768</v>
      </c>
      <c r="I133" s="11" t="s">
        <v>1087</v>
      </c>
    </row>
    <row r="134" spans="1:9" ht="45" customHeight="1">
      <c r="A134" s="8" t="s">
        <v>3051</v>
      </c>
      <c r="B134" s="8" t="s">
        <v>1978</v>
      </c>
      <c r="C134" s="8" t="s">
        <v>2766</v>
      </c>
      <c r="D134" s="8" t="s">
        <v>2766</v>
      </c>
      <c r="E134" s="8" t="s">
        <v>2766</v>
      </c>
      <c r="F134" s="8" t="s">
        <v>2850</v>
      </c>
      <c r="G134" s="8" t="s">
        <v>1126</v>
      </c>
      <c r="H134" s="8" t="s">
        <v>2768</v>
      </c>
      <c r="I134" s="9" t="s">
        <v>1087</v>
      </c>
    </row>
    <row r="135" spans="1:9" ht="45" customHeight="1">
      <c r="A135" s="10" t="s">
        <v>3052</v>
      </c>
      <c r="B135" s="10" t="s">
        <v>1982</v>
      </c>
      <c r="C135" s="10" t="s">
        <v>1984</v>
      </c>
      <c r="D135" s="10" t="s">
        <v>1984</v>
      </c>
      <c r="E135" s="10" t="s">
        <v>1984</v>
      </c>
      <c r="F135" s="10" t="s">
        <v>2851</v>
      </c>
      <c r="G135" s="10" t="s">
        <v>1126</v>
      </c>
      <c r="H135" s="10" t="s">
        <v>2775</v>
      </c>
      <c r="I135" s="11" t="s">
        <v>1087</v>
      </c>
    </row>
    <row r="136" spans="1:9" ht="45" customHeight="1">
      <c r="A136" s="8" t="s">
        <v>3053</v>
      </c>
      <c r="B136" s="8" t="s">
        <v>1988</v>
      </c>
      <c r="C136" s="8" t="s">
        <v>1118</v>
      </c>
      <c r="D136" s="8" t="s">
        <v>1118</v>
      </c>
      <c r="E136" s="8" t="s">
        <v>1118</v>
      </c>
      <c r="F136" s="8" t="s">
        <v>2852</v>
      </c>
      <c r="G136" s="8" t="s">
        <v>1126</v>
      </c>
      <c r="H136" s="8" t="s">
        <v>2775</v>
      </c>
      <c r="I136" s="9" t="s">
        <v>605</v>
      </c>
    </row>
    <row r="137" spans="1:9" ht="34" customHeight="1">
      <c r="A137" s="10" t="s">
        <v>3054</v>
      </c>
      <c r="B137" s="10" t="s">
        <v>1991</v>
      </c>
      <c r="C137" s="10" t="s">
        <v>2770</v>
      </c>
      <c r="D137" s="10" t="s">
        <v>2770</v>
      </c>
      <c r="E137" s="10" t="s">
        <v>2770</v>
      </c>
      <c r="F137" s="10" t="s">
        <v>2771</v>
      </c>
      <c r="G137" s="12" t="s">
        <v>1136</v>
      </c>
      <c r="H137" s="12" t="s">
        <v>2772</v>
      </c>
      <c r="I137" s="11" t="s">
        <v>1087</v>
      </c>
    </row>
    <row r="138" spans="1:9" ht="45" customHeight="1">
      <c r="A138" s="8" t="s">
        <v>3055</v>
      </c>
      <c r="B138" s="8" t="s">
        <v>1994</v>
      </c>
      <c r="C138" s="8" t="s">
        <v>1285</v>
      </c>
      <c r="D138" s="8" t="s">
        <v>1285</v>
      </c>
      <c r="E138" s="8" t="s">
        <v>1285</v>
      </c>
      <c r="F138" s="8" t="s">
        <v>2853</v>
      </c>
      <c r="G138" s="8" t="s">
        <v>1126</v>
      </c>
      <c r="H138" s="8" t="s">
        <v>2775</v>
      </c>
      <c r="I138" s="9" t="s">
        <v>605</v>
      </c>
    </row>
    <row r="139" spans="1:9" ht="45" customHeight="1">
      <c r="A139" s="10" t="s">
        <v>3056</v>
      </c>
      <c r="B139" s="10" t="s">
        <v>1997</v>
      </c>
      <c r="C139" s="10" t="s">
        <v>2766</v>
      </c>
      <c r="D139" s="10" t="s">
        <v>2766</v>
      </c>
      <c r="E139" s="10" t="s">
        <v>2766</v>
      </c>
      <c r="F139" s="10" t="s">
        <v>2850</v>
      </c>
      <c r="G139" s="10" t="s">
        <v>1126</v>
      </c>
      <c r="H139" s="10" t="s">
        <v>2768</v>
      </c>
      <c r="I139" s="11" t="s">
        <v>1087</v>
      </c>
    </row>
    <row r="140" spans="1:9" ht="45" customHeight="1">
      <c r="A140" s="8" t="s">
        <v>3057</v>
      </c>
      <c r="B140" s="8" t="s">
        <v>2000</v>
      </c>
      <c r="C140" s="8" t="s">
        <v>2766</v>
      </c>
      <c r="D140" s="8" t="s">
        <v>2766</v>
      </c>
      <c r="E140" s="8" t="s">
        <v>2766</v>
      </c>
      <c r="F140" s="8" t="s">
        <v>2850</v>
      </c>
      <c r="G140" s="8" t="s">
        <v>1126</v>
      </c>
      <c r="H140" s="8" t="s">
        <v>2768</v>
      </c>
      <c r="I140" s="9" t="s">
        <v>1087</v>
      </c>
    </row>
    <row r="141" spans="1:9" ht="45" customHeight="1">
      <c r="A141" s="10" t="s">
        <v>3058</v>
      </c>
      <c r="B141" s="10" t="s">
        <v>2003</v>
      </c>
      <c r="C141" s="10" t="s">
        <v>2766</v>
      </c>
      <c r="D141" s="10" t="s">
        <v>2766</v>
      </c>
      <c r="E141" s="10" t="s">
        <v>2766</v>
      </c>
      <c r="F141" s="10" t="s">
        <v>2850</v>
      </c>
      <c r="G141" s="10" t="s">
        <v>1126</v>
      </c>
      <c r="H141" s="10" t="s">
        <v>2768</v>
      </c>
      <c r="I141" s="11" t="s">
        <v>1087</v>
      </c>
    </row>
    <row r="142" spans="1:9" ht="45" customHeight="1">
      <c r="A142" s="8" t="s">
        <v>3059</v>
      </c>
      <c r="B142" s="8" t="s">
        <v>2006</v>
      </c>
      <c r="C142" s="8" t="s">
        <v>2854</v>
      </c>
      <c r="D142" s="8" t="s">
        <v>618</v>
      </c>
      <c r="E142" s="8" t="s">
        <v>2854</v>
      </c>
      <c r="F142" s="8" t="s">
        <v>2855</v>
      </c>
      <c r="G142" s="8" t="s">
        <v>1126</v>
      </c>
      <c r="H142" s="8" t="s">
        <v>2775</v>
      </c>
      <c r="I142" s="9" t="s">
        <v>605</v>
      </c>
    </row>
    <row r="143" spans="1:9" ht="45" customHeight="1">
      <c r="A143" s="10" t="s">
        <v>3060</v>
      </c>
      <c r="B143" s="10" t="s">
        <v>2015</v>
      </c>
      <c r="C143" s="10" t="s">
        <v>2766</v>
      </c>
      <c r="D143" s="10" t="s">
        <v>2766</v>
      </c>
      <c r="E143" s="10" t="s">
        <v>2766</v>
      </c>
      <c r="F143" s="10" t="s">
        <v>2767</v>
      </c>
      <c r="G143" s="10" t="s">
        <v>1126</v>
      </c>
      <c r="H143" s="10" t="s">
        <v>2768</v>
      </c>
      <c r="I143" s="11" t="s">
        <v>2769</v>
      </c>
    </row>
    <row r="144" spans="1:9" ht="45" customHeight="1">
      <c r="A144" s="8" t="s">
        <v>3061</v>
      </c>
      <c r="B144" s="8" t="s">
        <v>2021</v>
      </c>
      <c r="C144" s="8" t="s">
        <v>2858</v>
      </c>
      <c r="D144" s="8" t="s">
        <v>2858</v>
      </c>
      <c r="E144" s="8" t="s">
        <v>2858</v>
      </c>
      <c r="F144" s="8" t="s">
        <v>2859</v>
      </c>
      <c r="G144" s="8" t="s">
        <v>1126</v>
      </c>
      <c r="H144" s="8" t="s">
        <v>2775</v>
      </c>
      <c r="I144" s="9" t="s">
        <v>585</v>
      </c>
    </row>
    <row r="145" spans="1:9" ht="45" customHeight="1">
      <c r="A145" s="10" t="s">
        <v>3063</v>
      </c>
      <c r="B145" s="10" t="s">
        <v>2027</v>
      </c>
      <c r="C145" s="10" t="s">
        <v>2766</v>
      </c>
      <c r="D145" s="10" t="s">
        <v>2766</v>
      </c>
      <c r="E145" s="10" t="s">
        <v>2766</v>
      </c>
      <c r="F145" s="10" t="s">
        <v>2780</v>
      </c>
      <c r="G145" s="10" t="s">
        <v>1126</v>
      </c>
      <c r="H145" s="10" t="s">
        <v>2768</v>
      </c>
      <c r="I145" s="11" t="s">
        <v>2781</v>
      </c>
    </row>
    <row r="146" spans="1:9" ht="34" customHeight="1">
      <c r="A146" s="8" t="s">
        <v>3064</v>
      </c>
      <c r="B146" s="8" t="s">
        <v>2031</v>
      </c>
      <c r="C146" s="8" t="s">
        <v>2770</v>
      </c>
      <c r="D146" s="8" t="s">
        <v>2770</v>
      </c>
      <c r="E146" s="8" t="s">
        <v>2770</v>
      </c>
      <c r="F146" s="8" t="s">
        <v>2771</v>
      </c>
      <c r="G146" s="12" t="s">
        <v>1136</v>
      </c>
      <c r="H146" s="12" t="s">
        <v>2772</v>
      </c>
      <c r="I146" s="9" t="s">
        <v>2769</v>
      </c>
    </row>
    <row r="147" spans="1:9" ht="45" customHeight="1">
      <c r="A147" s="10" t="s">
        <v>3065</v>
      </c>
      <c r="B147" s="10" t="s">
        <v>2037</v>
      </c>
      <c r="C147" s="10" t="s">
        <v>2766</v>
      </c>
      <c r="D147" s="10" t="s">
        <v>2766</v>
      </c>
      <c r="E147" s="10" t="s">
        <v>2766</v>
      </c>
      <c r="F147" s="10" t="s">
        <v>2780</v>
      </c>
      <c r="G147" s="10" t="s">
        <v>1126</v>
      </c>
      <c r="H147" s="10" t="s">
        <v>2768</v>
      </c>
      <c r="I147" s="11" t="s">
        <v>2781</v>
      </c>
    </row>
    <row r="148" spans="1:9" ht="45" customHeight="1">
      <c r="A148" s="8" t="s">
        <v>3066</v>
      </c>
      <c r="B148" s="8" t="s">
        <v>2041</v>
      </c>
      <c r="C148" s="8" t="s">
        <v>2766</v>
      </c>
      <c r="D148" s="8" t="s">
        <v>2766</v>
      </c>
      <c r="E148" s="8" t="s">
        <v>2766</v>
      </c>
      <c r="F148" s="8" t="s">
        <v>2767</v>
      </c>
      <c r="G148" s="8" t="s">
        <v>1126</v>
      </c>
      <c r="H148" s="8" t="s">
        <v>2768</v>
      </c>
      <c r="I148" s="9" t="s">
        <v>2769</v>
      </c>
    </row>
    <row r="149" spans="1:9" ht="45" customHeight="1">
      <c r="A149" s="10" t="s">
        <v>3067</v>
      </c>
      <c r="B149" s="10" t="s">
        <v>557</v>
      </c>
      <c r="C149" s="10" t="s">
        <v>2860</v>
      </c>
      <c r="D149" s="10" t="s">
        <v>2860</v>
      </c>
      <c r="E149" s="10" t="s">
        <v>2860</v>
      </c>
      <c r="F149" s="10" t="s">
        <v>2861</v>
      </c>
      <c r="G149" s="10" t="s">
        <v>2049</v>
      </c>
      <c r="H149" s="10" t="s">
        <v>2775</v>
      </c>
      <c r="I149" s="11" t="s">
        <v>2862</v>
      </c>
    </row>
    <row r="150" spans="1:9" ht="45" customHeight="1">
      <c r="A150" s="8" t="s">
        <v>3069</v>
      </c>
      <c r="B150" s="8" t="s">
        <v>2052</v>
      </c>
      <c r="C150" s="8" t="s">
        <v>2766</v>
      </c>
      <c r="D150" s="8" t="s">
        <v>2766</v>
      </c>
      <c r="E150" s="8" t="s">
        <v>2766</v>
      </c>
      <c r="F150" s="8" t="s">
        <v>2767</v>
      </c>
      <c r="G150" s="8" t="s">
        <v>1126</v>
      </c>
      <c r="H150" s="8" t="s">
        <v>2768</v>
      </c>
      <c r="I150" s="9" t="s">
        <v>2769</v>
      </c>
    </row>
    <row r="151" spans="1:9" ht="45" customHeight="1">
      <c r="A151" s="10" t="s">
        <v>3070</v>
      </c>
      <c r="B151" s="10" t="s">
        <v>2056</v>
      </c>
      <c r="C151" s="10" t="s">
        <v>2766</v>
      </c>
      <c r="D151" s="10" t="s">
        <v>2766</v>
      </c>
      <c r="E151" s="10" t="s">
        <v>2766</v>
      </c>
      <c r="F151" s="10" t="s">
        <v>2767</v>
      </c>
      <c r="G151" s="10" t="s">
        <v>1161</v>
      </c>
      <c r="H151" s="10" t="s">
        <v>2768</v>
      </c>
      <c r="I151" s="11" t="s">
        <v>2769</v>
      </c>
    </row>
    <row r="152" spans="1:9" ht="45" customHeight="1">
      <c r="A152" s="8" t="s">
        <v>3071</v>
      </c>
      <c r="B152" s="8" t="s">
        <v>2060</v>
      </c>
      <c r="C152" s="8" t="s">
        <v>2766</v>
      </c>
      <c r="D152" s="8" t="s">
        <v>2766</v>
      </c>
      <c r="E152" s="8" t="s">
        <v>2766</v>
      </c>
      <c r="F152" s="8" t="s">
        <v>2767</v>
      </c>
      <c r="G152" s="8" t="s">
        <v>1126</v>
      </c>
      <c r="H152" s="8" t="s">
        <v>2768</v>
      </c>
      <c r="I152" s="9" t="s">
        <v>2769</v>
      </c>
    </row>
    <row r="153" spans="1:9" ht="45" customHeight="1">
      <c r="A153" s="10" t="s">
        <v>3072</v>
      </c>
      <c r="B153" s="10" t="s">
        <v>625</v>
      </c>
      <c r="C153" s="10" t="s">
        <v>627</v>
      </c>
      <c r="D153" s="10" t="s">
        <v>628</v>
      </c>
      <c r="E153" s="10" t="s">
        <v>2863</v>
      </c>
      <c r="F153" s="10" t="s">
        <v>2864</v>
      </c>
      <c r="G153" s="10" t="s">
        <v>1126</v>
      </c>
      <c r="H153" s="10" t="s">
        <v>2775</v>
      </c>
      <c r="I153" s="11" t="s">
        <v>605</v>
      </c>
    </row>
    <row r="154" spans="1:9" ht="45" customHeight="1">
      <c r="A154" s="8" t="s">
        <v>3073</v>
      </c>
      <c r="B154" s="8" t="s">
        <v>2065</v>
      </c>
      <c r="C154" s="8" t="s">
        <v>2766</v>
      </c>
      <c r="D154" s="8" t="s">
        <v>2766</v>
      </c>
      <c r="E154" s="8" t="s">
        <v>2766</v>
      </c>
      <c r="F154" s="8" t="s">
        <v>2780</v>
      </c>
      <c r="G154" s="8" t="s">
        <v>1126</v>
      </c>
      <c r="H154" s="8" t="s">
        <v>2768</v>
      </c>
      <c r="I154" s="9" t="s">
        <v>2781</v>
      </c>
    </row>
    <row r="155" spans="1:9" ht="45" customHeight="1">
      <c r="A155" s="10" t="s">
        <v>3074</v>
      </c>
      <c r="B155" s="10" t="s">
        <v>2070</v>
      </c>
      <c r="C155" s="10" t="s">
        <v>2766</v>
      </c>
      <c r="D155" s="10" t="s">
        <v>2766</v>
      </c>
      <c r="E155" s="10" t="s">
        <v>2766</v>
      </c>
      <c r="F155" s="10" t="s">
        <v>2767</v>
      </c>
      <c r="G155" s="10" t="s">
        <v>1126</v>
      </c>
      <c r="H155" s="10" t="s">
        <v>2768</v>
      </c>
      <c r="I155" s="11" t="s">
        <v>2769</v>
      </c>
    </row>
    <row r="156" spans="1:9" ht="45" customHeight="1">
      <c r="A156" s="8" t="s">
        <v>3075</v>
      </c>
      <c r="B156" s="8" t="s">
        <v>2073</v>
      </c>
      <c r="C156" s="8" t="s">
        <v>2766</v>
      </c>
      <c r="D156" s="8" t="s">
        <v>2766</v>
      </c>
      <c r="E156" s="8" t="s">
        <v>2766</v>
      </c>
      <c r="F156" s="8" t="s">
        <v>2816</v>
      </c>
      <c r="G156" s="8" t="s">
        <v>1126</v>
      </c>
      <c r="H156" s="8" t="s">
        <v>2768</v>
      </c>
      <c r="I156" s="9" t="s">
        <v>605</v>
      </c>
    </row>
    <row r="157" spans="1:9" ht="34" customHeight="1">
      <c r="A157" s="10" t="s">
        <v>3076</v>
      </c>
      <c r="B157" s="10" t="s">
        <v>2078</v>
      </c>
      <c r="C157" s="10" t="s">
        <v>2770</v>
      </c>
      <c r="D157" s="10" t="s">
        <v>2770</v>
      </c>
      <c r="E157" s="10" t="s">
        <v>2770</v>
      </c>
      <c r="F157" s="10" t="s">
        <v>2771</v>
      </c>
      <c r="G157" s="12" t="s">
        <v>1136</v>
      </c>
      <c r="H157" s="12" t="s">
        <v>2772</v>
      </c>
      <c r="I157" s="11" t="s">
        <v>2769</v>
      </c>
    </row>
    <row r="158" spans="1:9" ht="45" customHeight="1">
      <c r="A158" s="8" t="s">
        <v>3077</v>
      </c>
      <c r="B158" s="8" t="s">
        <v>2083</v>
      </c>
      <c r="C158" s="8" t="s">
        <v>2766</v>
      </c>
      <c r="D158" s="8" t="s">
        <v>2766</v>
      </c>
      <c r="E158" s="8" t="s">
        <v>2766</v>
      </c>
      <c r="F158" s="8" t="s">
        <v>2767</v>
      </c>
      <c r="G158" s="8" t="s">
        <v>1126</v>
      </c>
      <c r="H158" s="8" t="s">
        <v>2768</v>
      </c>
      <c r="I158" s="9" t="s">
        <v>2769</v>
      </c>
    </row>
    <row r="159" spans="1:9" ht="45" customHeight="1">
      <c r="A159" s="10" t="s">
        <v>3078</v>
      </c>
      <c r="B159" s="10" t="s">
        <v>2088</v>
      </c>
      <c r="C159" s="10" t="s">
        <v>2766</v>
      </c>
      <c r="D159" s="10" t="s">
        <v>2766</v>
      </c>
      <c r="E159" s="10" t="s">
        <v>2766</v>
      </c>
      <c r="F159" s="10" t="s">
        <v>2767</v>
      </c>
      <c r="G159" s="10" t="s">
        <v>1126</v>
      </c>
      <c r="H159" s="10" t="s">
        <v>2768</v>
      </c>
      <c r="I159" s="11" t="s">
        <v>2769</v>
      </c>
    </row>
    <row r="160" spans="1:9" ht="45" customHeight="1">
      <c r="A160" s="8" t="s">
        <v>3079</v>
      </c>
      <c r="B160" s="8" t="s">
        <v>2092</v>
      </c>
      <c r="C160" s="8" t="s">
        <v>2766</v>
      </c>
      <c r="D160" s="8" t="s">
        <v>2766</v>
      </c>
      <c r="E160" s="8" t="s">
        <v>2766</v>
      </c>
      <c r="F160" s="8" t="s">
        <v>2767</v>
      </c>
      <c r="G160" s="8" t="s">
        <v>1126</v>
      </c>
      <c r="H160" s="8" t="s">
        <v>2768</v>
      </c>
      <c r="I160" s="9" t="s">
        <v>2769</v>
      </c>
    </row>
    <row r="161" spans="1:9" ht="45" customHeight="1">
      <c r="A161" s="10" t="s">
        <v>3080</v>
      </c>
      <c r="B161" s="10" t="s">
        <v>2096</v>
      </c>
      <c r="C161" s="10" t="s">
        <v>2766</v>
      </c>
      <c r="D161" s="10" t="s">
        <v>2766</v>
      </c>
      <c r="E161" s="10" t="s">
        <v>2766</v>
      </c>
      <c r="F161" s="10" t="s">
        <v>2767</v>
      </c>
      <c r="G161" s="10" t="s">
        <v>1126</v>
      </c>
      <c r="H161" s="10" t="s">
        <v>2768</v>
      </c>
      <c r="I161" s="11" t="s">
        <v>2769</v>
      </c>
    </row>
    <row r="162" spans="1:9" ht="45" customHeight="1">
      <c r="A162" s="8" t="s">
        <v>3081</v>
      </c>
      <c r="B162" s="8" t="s">
        <v>2100</v>
      </c>
      <c r="C162" s="8" t="s">
        <v>2865</v>
      </c>
      <c r="D162" s="8" t="s">
        <v>2865</v>
      </c>
      <c r="E162" s="8" t="s">
        <v>2865</v>
      </c>
      <c r="F162" s="8" t="s">
        <v>2866</v>
      </c>
      <c r="G162" s="8" t="s">
        <v>1126</v>
      </c>
      <c r="H162" s="8" t="s">
        <v>2775</v>
      </c>
      <c r="I162" s="9" t="s">
        <v>612</v>
      </c>
    </row>
    <row r="163" spans="1:9" ht="45" customHeight="1">
      <c r="A163" s="10" t="s">
        <v>3083</v>
      </c>
      <c r="B163" s="10" t="s">
        <v>2104</v>
      </c>
      <c r="C163" s="10" t="s">
        <v>2766</v>
      </c>
      <c r="D163" s="10" t="s">
        <v>2766</v>
      </c>
      <c r="E163" s="10" t="s">
        <v>2766</v>
      </c>
      <c r="F163" s="10" t="s">
        <v>2767</v>
      </c>
      <c r="G163" s="10" t="s">
        <v>1126</v>
      </c>
      <c r="H163" s="10" t="s">
        <v>2768</v>
      </c>
      <c r="I163" s="11" t="s">
        <v>2769</v>
      </c>
    </row>
    <row r="164" spans="1:9" ht="45" customHeight="1">
      <c r="A164" s="8" t="s">
        <v>3084</v>
      </c>
      <c r="B164" s="8" t="s">
        <v>2107</v>
      </c>
      <c r="C164" s="8" t="s">
        <v>2766</v>
      </c>
      <c r="D164" s="8" t="s">
        <v>2766</v>
      </c>
      <c r="E164" s="8" t="s">
        <v>2766</v>
      </c>
      <c r="F164" s="8" t="s">
        <v>2767</v>
      </c>
      <c r="G164" s="8" t="s">
        <v>1126</v>
      </c>
      <c r="H164" s="8" t="s">
        <v>2768</v>
      </c>
      <c r="I164" s="9" t="s">
        <v>2769</v>
      </c>
    </row>
    <row r="165" spans="1:9" ht="45" customHeight="1">
      <c r="A165" s="10" t="s">
        <v>3085</v>
      </c>
      <c r="B165" s="10" t="s">
        <v>2110</v>
      </c>
      <c r="C165" s="10" t="s">
        <v>2766</v>
      </c>
      <c r="D165" s="10" t="s">
        <v>2766</v>
      </c>
      <c r="E165" s="10" t="s">
        <v>2766</v>
      </c>
      <c r="F165" s="10" t="s">
        <v>2802</v>
      </c>
      <c r="G165" s="10" t="s">
        <v>1126</v>
      </c>
      <c r="H165" s="10" t="s">
        <v>2768</v>
      </c>
      <c r="I165" s="11" t="s">
        <v>2769</v>
      </c>
    </row>
    <row r="166" spans="1:9" ht="45" customHeight="1">
      <c r="A166" s="8" t="s">
        <v>3086</v>
      </c>
      <c r="B166" s="8" t="s">
        <v>2114</v>
      </c>
      <c r="C166" s="8" t="s">
        <v>2766</v>
      </c>
      <c r="D166" s="8" t="s">
        <v>2766</v>
      </c>
      <c r="E166" s="8" t="s">
        <v>2766</v>
      </c>
      <c r="F166" s="8" t="s">
        <v>2802</v>
      </c>
      <c r="G166" s="8" t="s">
        <v>1126</v>
      </c>
      <c r="H166" s="8" t="s">
        <v>2768</v>
      </c>
      <c r="I166" s="9" t="s">
        <v>2769</v>
      </c>
    </row>
    <row r="167" spans="1:9" ht="45" customHeight="1">
      <c r="A167" s="10" t="s">
        <v>3087</v>
      </c>
      <c r="B167" s="10" t="s">
        <v>2119</v>
      </c>
      <c r="C167" s="10" t="s">
        <v>2766</v>
      </c>
      <c r="D167" s="10" t="s">
        <v>2766</v>
      </c>
      <c r="E167" s="10" t="s">
        <v>2766</v>
      </c>
      <c r="F167" s="10" t="s">
        <v>2802</v>
      </c>
      <c r="G167" s="10" t="s">
        <v>1161</v>
      </c>
      <c r="H167" s="10" t="s">
        <v>2768</v>
      </c>
      <c r="I167" s="11" t="s">
        <v>2769</v>
      </c>
    </row>
    <row r="168" spans="1:9" ht="45" customHeight="1">
      <c r="A168" s="8" t="s">
        <v>3088</v>
      </c>
      <c r="B168" s="8" t="s">
        <v>2124</v>
      </c>
      <c r="C168" s="8" t="s">
        <v>2766</v>
      </c>
      <c r="D168" s="8" t="s">
        <v>2766</v>
      </c>
      <c r="E168" s="8" t="s">
        <v>2766</v>
      </c>
      <c r="F168" s="8" t="s">
        <v>2802</v>
      </c>
      <c r="G168" s="8" t="s">
        <v>1126</v>
      </c>
      <c r="H168" s="8" t="s">
        <v>2768</v>
      </c>
      <c r="I168" s="9" t="s">
        <v>2769</v>
      </c>
    </row>
    <row r="169" spans="1:9" ht="45" customHeight="1">
      <c r="A169" s="10" t="s">
        <v>3089</v>
      </c>
      <c r="B169" s="10" t="s">
        <v>2128</v>
      </c>
      <c r="C169" s="10" t="s">
        <v>2766</v>
      </c>
      <c r="D169" s="10" t="s">
        <v>2766</v>
      </c>
      <c r="E169" s="10" t="s">
        <v>2766</v>
      </c>
      <c r="F169" s="10" t="s">
        <v>2802</v>
      </c>
      <c r="G169" s="10" t="s">
        <v>1126</v>
      </c>
      <c r="H169" s="10" t="s">
        <v>2768</v>
      </c>
      <c r="I169" s="11" t="s">
        <v>2769</v>
      </c>
    </row>
    <row r="170" spans="1:9" ht="45" customHeight="1">
      <c r="A170" s="8" t="s">
        <v>3090</v>
      </c>
      <c r="B170" s="8" t="s">
        <v>2132</v>
      </c>
      <c r="C170" s="8" t="s">
        <v>2766</v>
      </c>
      <c r="D170" s="8" t="s">
        <v>2766</v>
      </c>
      <c r="E170" s="8" t="s">
        <v>2766</v>
      </c>
      <c r="F170" s="8" t="s">
        <v>2802</v>
      </c>
      <c r="G170" s="8" t="s">
        <v>1126</v>
      </c>
      <c r="H170" s="8" t="s">
        <v>2768</v>
      </c>
      <c r="I170" s="9" t="s">
        <v>2769</v>
      </c>
    </row>
    <row r="171" spans="1:9" ht="45" customHeight="1">
      <c r="A171" s="10" t="s">
        <v>3091</v>
      </c>
      <c r="B171" s="10" t="s">
        <v>2143</v>
      </c>
      <c r="C171" s="10" t="s">
        <v>2766</v>
      </c>
      <c r="D171" s="10" t="s">
        <v>2766</v>
      </c>
      <c r="E171" s="10" t="s">
        <v>2766</v>
      </c>
      <c r="F171" s="10" t="s">
        <v>2780</v>
      </c>
      <c r="G171" s="10" t="s">
        <v>1126</v>
      </c>
      <c r="H171" s="10" t="s">
        <v>2768</v>
      </c>
      <c r="I171" s="11" t="s">
        <v>2781</v>
      </c>
    </row>
    <row r="172" spans="1:9" ht="45" customHeight="1">
      <c r="A172" s="8" t="s">
        <v>3092</v>
      </c>
      <c r="B172" s="8" t="s">
        <v>635</v>
      </c>
      <c r="C172" s="8" t="s">
        <v>619</v>
      </c>
      <c r="D172" s="8" t="s">
        <v>619</v>
      </c>
      <c r="E172" s="8" t="s">
        <v>619</v>
      </c>
      <c r="F172" s="8" t="s">
        <v>2870</v>
      </c>
      <c r="G172" s="8" t="s">
        <v>1126</v>
      </c>
      <c r="H172" s="8" t="s">
        <v>2775</v>
      </c>
      <c r="I172" s="9" t="s">
        <v>605</v>
      </c>
    </row>
    <row r="173" spans="1:9" ht="45" customHeight="1">
      <c r="A173" s="10" t="s">
        <v>3093</v>
      </c>
      <c r="B173" s="10" t="s">
        <v>2149</v>
      </c>
      <c r="C173" s="10" t="s">
        <v>2766</v>
      </c>
      <c r="D173" s="10" t="s">
        <v>2766</v>
      </c>
      <c r="E173" s="10" t="s">
        <v>2766</v>
      </c>
      <c r="F173" s="10" t="s">
        <v>2778</v>
      </c>
      <c r="G173" s="10" t="s">
        <v>1126</v>
      </c>
      <c r="H173" s="10" t="s">
        <v>2768</v>
      </c>
      <c r="I173" s="11" t="s">
        <v>2779</v>
      </c>
    </row>
    <row r="174" spans="1:9" ht="45" customHeight="1">
      <c r="A174" s="8" t="s">
        <v>3094</v>
      </c>
      <c r="B174" s="8" t="s">
        <v>639</v>
      </c>
      <c r="C174" s="8" t="s">
        <v>641</v>
      </c>
      <c r="D174" s="8" t="s">
        <v>641</v>
      </c>
      <c r="E174" s="8" t="s">
        <v>641</v>
      </c>
      <c r="F174" s="8" t="s">
        <v>2871</v>
      </c>
      <c r="G174" s="8" t="s">
        <v>1126</v>
      </c>
      <c r="H174" s="8" t="s">
        <v>2775</v>
      </c>
      <c r="I174" s="9" t="s">
        <v>605</v>
      </c>
    </row>
    <row r="175" spans="1:9" ht="45" customHeight="1">
      <c r="A175" s="10" t="s">
        <v>3095</v>
      </c>
      <c r="B175" s="10" t="s">
        <v>2159</v>
      </c>
      <c r="C175" s="10" t="s">
        <v>2766</v>
      </c>
      <c r="D175" s="10" t="s">
        <v>2766</v>
      </c>
      <c r="E175" s="10" t="s">
        <v>2766</v>
      </c>
      <c r="F175" s="10" t="s">
        <v>2816</v>
      </c>
      <c r="G175" s="10" t="s">
        <v>1126</v>
      </c>
      <c r="H175" s="10" t="s">
        <v>2768</v>
      </c>
      <c r="I175" s="11" t="s">
        <v>605</v>
      </c>
    </row>
    <row r="176" spans="1:9" ht="45" customHeight="1">
      <c r="A176" s="8" t="s">
        <v>3096</v>
      </c>
      <c r="B176" s="8" t="s">
        <v>2162</v>
      </c>
      <c r="C176" s="8" t="s">
        <v>2766</v>
      </c>
      <c r="D176" s="8" t="s">
        <v>2766</v>
      </c>
      <c r="E176" s="8" t="s">
        <v>2766</v>
      </c>
      <c r="F176" s="8" t="s">
        <v>2816</v>
      </c>
      <c r="G176" s="8" t="s">
        <v>1126</v>
      </c>
      <c r="H176" s="8" t="s">
        <v>2768</v>
      </c>
      <c r="I176" s="9" t="s">
        <v>605</v>
      </c>
    </row>
    <row r="177" spans="1:9" ht="45" customHeight="1">
      <c r="A177" s="10" t="s">
        <v>3097</v>
      </c>
      <c r="B177" s="10" t="s">
        <v>2167</v>
      </c>
      <c r="C177" s="10" t="s">
        <v>2766</v>
      </c>
      <c r="D177" s="10" t="s">
        <v>2766</v>
      </c>
      <c r="E177" s="10" t="s">
        <v>2766</v>
      </c>
      <c r="F177" s="10" t="s">
        <v>2816</v>
      </c>
      <c r="G177" s="10" t="s">
        <v>1126</v>
      </c>
      <c r="H177" s="10" t="s">
        <v>2768</v>
      </c>
      <c r="I177" s="11" t="s">
        <v>605</v>
      </c>
    </row>
    <row r="178" spans="1:9" ht="45" customHeight="1">
      <c r="A178" s="8" t="s">
        <v>3098</v>
      </c>
      <c r="B178" s="8" t="s">
        <v>2171</v>
      </c>
      <c r="C178" s="8" t="s">
        <v>2766</v>
      </c>
      <c r="D178" s="8" t="s">
        <v>2766</v>
      </c>
      <c r="E178" s="8" t="s">
        <v>2766</v>
      </c>
      <c r="F178" s="8" t="s">
        <v>2816</v>
      </c>
      <c r="G178" s="8" t="s">
        <v>1126</v>
      </c>
      <c r="H178" s="8" t="s">
        <v>2768</v>
      </c>
      <c r="I178" s="9" t="s">
        <v>605</v>
      </c>
    </row>
    <row r="179" spans="1:9" ht="45" customHeight="1">
      <c r="A179" s="10" t="s">
        <v>3099</v>
      </c>
      <c r="B179" s="10" t="s">
        <v>2175</v>
      </c>
      <c r="C179" s="10" t="s">
        <v>2766</v>
      </c>
      <c r="D179" s="10" t="s">
        <v>2766</v>
      </c>
      <c r="E179" s="10" t="s">
        <v>2766</v>
      </c>
      <c r="F179" s="10" t="s">
        <v>2816</v>
      </c>
      <c r="G179" s="10" t="s">
        <v>1126</v>
      </c>
      <c r="H179" s="10" t="s">
        <v>2768</v>
      </c>
      <c r="I179" s="11" t="s">
        <v>605</v>
      </c>
    </row>
    <row r="180" spans="1:9" ht="45" customHeight="1">
      <c r="A180" s="8" t="s">
        <v>3100</v>
      </c>
      <c r="B180" s="8" t="s">
        <v>2179</v>
      </c>
      <c r="C180" s="8" t="s">
        <v>2766</v>
      </c>
      <c r="D180" s="8" t="s">
        <v>2766</v>
      </c>
      <c r="E180" s="8" t="s">
        <v>2766</v>
      </c>
      <c r="F180" s="8" t="s">
        <v>2816</v>
      </c>
      <c r="G180" s="8" t="s">
        <v>1126</v>
      </c>
      <c r="H180" s="8" t="s">
        <v>2768</v>
      </c>
      <c r="I180" s="9" t="s">
        <v>605</v>
      </c>
    </row>
    <row r="181" spans="1:9" ht="45" customHeight="1">
      <c r="A181" s="10" t="s">
        <v>3101</v>
      </c>
      <c r="B181" s="10" t="s">
        <v>2182</v>
      </c>
      <c r="C181" s="10" t="s">
        <v>2766</v>
      </c>
      <c r="D181" s="10" t="s">
        <v>2766</v>
      </c>
      <c r="E181" s="10" t="s">
        <v>2766</v>
      </c>
      <c r="F181" s="10" t="s">
        <v>2816</v>
      </c>
      <c r="G181" s="10" t="s">
        <v>1126</v>
      </c>
      <c r="H181" s="10" t="s">
        <v>2768</v>
      </c>
      <c r="I181" s="11" t="s">
        <v>605</v>
      </c>
    </row>
    <row r="182" spans="1:9" ht="45" customHeight="1">
      <c r="A182" s="8" t="s">
        <v>3102</v>
      </c>
      <c r="B182" s="8" t="s">
        <v>2185</v>
      </c>
      <c r="C182" s="8" t="s">
        <v>2766</v>
      </c>
      <c r="D182" s="8" t="s">
        <v>2766</v>
      </c>
      <c r="E182" s="8" t="s">
        <v>2766</v>
      </c>
      <c r="F182" s="8" t="s">
        <v>2816</v>
      </c>
      <c r="G182" s="8" t="s">
        <v>1126</v>
      </c>
      <c r="H182" s="8" t="s">
        <v>2768</v>
      </c>
      <c r="I182" s="9" t="s">
        <v>605</v>
      </c>
    </row>
    <row r="183" spans="1:9" ht="45" customHeight="1">
      <c r="A183" s="10" t="s">
        <v>3103</v>
      </c>
      <c r="B183" s="10" t="s">
        <v>2203</v>
      </c>
      <c r="C183" s="10" t="s">
        <v>2872</v>
      </c>
      <c r="D183" s="10" t="s">
        <v>2872</v>
      </c>
      <c r="E183" s="10" t="s">
        <v>2872</v>
      </c>
      <c r="F183" s="10" t="s">
        <v>2873</v>
      </c>
      <c r="G183" s="10" t="s">
        <v>1161</v>
      </c>
      <c r="H183" s="10" t="s">
        <v>2775</v>
      </c>
      <c r="I183" s="11" t="s">
        <v>2874</v>
      </c>
    </row>
    <row r="184" spans="1:9" ht="45" customHeight="1">
      <c r="A184" s="8" t="s">
        <v>3105</v>
      </c>
      <c r="B184" s="8" t="s">
        <v>2207</v>
      </c>
      <c r="C184" s="8" t="s">
        <v>2766</v>
      </c>
      <c r="D184" s="8" t="s">
        <v>2766</v>
      </c>
      <c r="E184" s="8" t="s">
        <v>2766</v>
      </c>
      <c r="F184" s="8" t="s">
        <v>2875</v>
      </c>
      <c r="G184" s="8" t="s">
        <v>1161</v>
      </c>
      <c r="H184" s="8" t="s">
        <v>2768</v>
      </c>
      <c r="I184" s="9" t="s">
        <v>2876</v>
      </c>
    </row>
    <row r="185" spans="1:9" ht="45" customHeight="1">
      <c r="A185" s="10" t="s">
        <v>3107</v>
      </c>
      <c r="B185" s="10" t="s">
        <v>2213</v>
      </c>
      <c r="C185" s="10" t="s">
        <v>2766</v>
      </c>
      <c r="D185" s="10" t="s">
        <v>2766</v>
      </c>
      <c r="E185" s="10" t="s">
        <v>2766</v>
      </c>
      <c r="F185" s="10" t="s">
        <v>2875</v>
      </c>
      <c r="G185" s="10" t="s">
        <v>1161</v>
      </c>
      <c r="H185" s="10" t="s">
        <v>2768</v>
      </c>
      <c r="I185" s="11" t="s">
        <v>2876</v>
      </c>
    </row>
    <row r="186" spans="1:9" ht="45" customHeight="1">
      <c r="A186" s="8" t="s">
        <v>3108</v>
      </c>
      <c r="B186" s="8" t="s">
        <v>2216</v>
      </c>
      <c r="C186" s="8" t="s">
        <v>2766</v>
      </c>
      <c r="D186" s="8" t="s">
        <v>2766</v>
      </c>
      <c r="E186" s="8" t="s">
        <v>2766</v>
      </c>
      <c r="F186" s="8" t="s">
        <v>2875</v>
      </c>
      <c r="G186" s="8" t="s">
        <v>1161</v>
      </c>
      <c r="H186" s="8" t="s">
        <v>2768</v>
      </c>
      <c r="I186" s="9" t="s">
        <v>2876</v>
      </c>
    </row>
    <row r="187" spans="1:9" ht="45" customHeight="1">
      <c r="A187" s="10" t="s">
        <v>3109</v>
      </c>
      <c r="B187" s="10" t="s">
        <v>2219</v>
      </c>
      <c r="C187" s="10" t="s">
        <v>2766</v>
      </c>
      <c r="D187" s="10" t="s">
        <v>2766</v>
      </c>
      <c r="E187" s="10" t="s">
        <v>2766</v>
      </c>
      <c r="F187" s="10" t="s">
        <v>2875</v>
      </c>
      <c r="G187" s="10" t="s">
        <v>1161</v>
      </c>
      <c r="H187" s="10" t="s">
        <v>2768</v>
      </c>
      <c r="I187" s="11" t="s">
        <v>2876</v>
      </c>
    </row>
    <row r="188" spans="1:9" ht="45" customHeight="1">
      <c r="A188" s="8" t="s">
        <v>3110</v>
      </c>
      <c r="B188" s="8" t="s">
        <v>2222</v>
      </c>
      <c r="C188" s="8" t="s">
        <v>2766</v>
      </c>
      <c r="D188" s="8" t="s">
        <v>2766</v>
      </c>
      <c r="E188" s="8" t="s">
        <v>2766</v>
      </c>
      <c r="F188" s="8" t="s">
        <v>2875</v>
      </c>
      <c r="G188" s="8" t="s">
        <v>1161</v>
      </c>
      <c r="H188" s="8" t="s">
        <v>2768</v>
      </c>
      <c r="I188" s="9" t="s">
        <v>2876</v>
      </c>
    </row>
    <row r="189" spans="1:9" ht="45" customHeight="1">
      <c r="A189" s="10" t="s">
        <v>3111</v>
      </c>
      <c r="B189" s="10" t="s">
        <v>2225</v>
      </c>
      <c r="C189" s="10" t="s">
        <v>2766</v>
      </c>
      <c r="D189" s="10" t="s">
        <v>2766</v>
      </c>
      <c r="E189" s="10" t="s">
        <v>2766</v>
      </c>
      <c r="F189" s="10" t="s">
        <v>2875</v>
      </c>
      <c r="G189" s="10" t="s">
        <v>1161</v>
      </c>
      <c r="H189" s="10" t="s">
        <v>2768</v>
      </c>
      <c r="I189" s="11" t="s">
        <v>2876</v>
      </c>
    </row>
    <row r="190" spans="1:9" ht="45" customHeight="1">
      <c r="A190" s="8" t="s">
        <v>3112</v>
      </c>
      <c r="B190" s="8" t="s">
        <v>2228</v>
      </c>
      <c r="C190" s="8" t="s">
        <v>2766</v>
      </c>
      <c r="D190" s="8" t="s">
        <v>2766</v>
      </c>
      <c r="E190" s="8" t="s">
        <v>2766</v>
      </c>
      <c r="F190" s="8" t="s">
        <v>2875</v>
      </c>
      <c r="G190" s="8" t="s">
        <v>1161</v>
      </c>
      <c r="H190" s="8" t="s">
        <v>2768</v>
      </c>
      <c r="I190" s="9" t="s">
        <v>2876</v>
      </c>
    </row>
    <row r="191" spans="1:9" ht="45" customHeight="1">
      <c r="A191" s="10" t="s">
        <v>3113</v>
      </c>
      <c r="B191" s="10" t="s">
        <v>2231</v>
      </c>
      <c r="C191" s="10" t="s">
        <v>2766</v>
      </c>
      <c r="D191" s="10" t="s">
        <v>2766</v>
      </c>
      <c r="E191" s="10" t="s">
        <v>2766</v>
      </c>
      <c r="F191" s="10" t="s">
        <v>2875</v>
      </c>
      <c r="G191" s="10" t="s">
        <v>1161</v>
      </c>
      <c r="H191" s="10" t="s">
        <v>2768</v>
      </c>
      <c r="I191" s="11" t="s">
        <v>2876</v>
      </c>
    </row>
    <row r="192" spans="1:9" ht="45" customHeight="1">
      <c r="A192" s="8" t="s">
        <v>3114</v>
      </c>
      <c r="B192" s="8" t="s">
        <v>2234</v>
      </c>
      <c r="C192" s="8" t="s">
        <v>2766</v>
      </c>
      <c r="D192" s="8" t="s">
        <v>2766</v>
      </c>
      <c r="E192" s="8" t="s">
        <v>2766</v>
      </c>
      <c r="F192" s="8" t="s">
        <v>2875</v>
      </c>
      <c r="G192" s="8" t="s">
        <v>1161</v>
      </c>
      <c r="H192" s="8" t="s">
        <v>2768</v>
      </c>
      <c r="I192" s="9" t="s">
        <v>2876</v>
      </c>
    </row>
    <row r="193" spans="1:9" ht="45" customHeight="1">
      <c r="A193" s="10" t="s">
        <v>3115</v>
      </c>
      <c r="B193" s="10" t="s">
        <v>2237</v>
      </c>
      <c r="C193" s="10" t="s">
        <v>2766</v>
      </c>
      <c r="D193" s="10" t="s">
        <v>2766</v>
      </c>
      <c r="E193" s="10" t="s">
        <v>2766</v>
      </c>
      <c r="F193" s="10" t="s">
        <v>2875</v>
      </c>
      <c r="G193" s="10" t="s">
        <v>1161</v>
      </c>
      <c r="H193" s="10" t="s">
        <v>2768</v>
      </c>
      <c r="I193" s="11" t="s">
        <v>2876</v>
      </c>
    </row>
    <row r="194" spans="1:9" ht="45" customHeight="1">
      <c r="A194" s="8" t="s">
        <v>3116</v>
      </c>
      <c r="B194" s="8" t="s">
        <v>2240</v>
      </c>
      <c r="C194" s="8" t="s">
        <v>2766</v>
      </c>
      <c r="D194" s="8" t="s">
        <v>2766</v>
      </c>
      <c r="E194" s="8" t="s">
        <v>2766</v>
      </c>
      <c r="F194" s="8" t="s">
        <v>2875</v>
      </c>
      <c r="G194" s="8" t="s">
        <v>1161</v>
      </c>
      <c r="H194" s="8" t="s">
        <v>2768</v>
      </c>
      <c r="I194" s="9" t="s">
        <v>2876</v>
      </c>
    </row>
    <row r="195" spans="1:9" ht="45" customHeight="1">
      <c r="A195" s="10" t="s">
        <v>3117</v>
      </c>
      <c r="B195" s="10" t="s">
        <v>2243</v>
      </c>
      <c r="C195" s="10" t="s">
        <v>2766</v>
      </c>
      <c r="D195" s="10" t="s">
        <v>2766</v>
      </c>
      <c r="E195" s="10" t="s">
        <v>2766</v>
      </c>
      <c r="F195" s="10" t="s">
        <v>2875</v>
      </c>
      <c r="G195" s="10" t="s">
        <v>1161</v>
      </c>
      <c r="H195" s="10" t="s">
        <v>2768</v>
      </c>
      <c r="I195" s="11" t="s">
        <v>2876</v>
      </c>
    </row>
    <row r="196" spans="1:9" ht="45" customHeight="1">
      <c r="A196" s="8" t="s">
        <v>3118</v>
      </c>
      <c r="B196" s="8" t="s">
        <v>2246</v>
      </c>
      <c r="C196" s="8" t="s">
        <v>2766</v>
      </c>
      <c r="D196" s="8" t="s">
        <v>2766</v>
      </c>
      <c r="E196" s="8" t="s">
        <v>2766</v>
      </c>
      <c r="F196" s="8" t="s">
        <v>2875</v>
      </c>
      <c r="G196" s="8" t="s">
        <v>1161</v>
      </c>
      <c r="H196" s="8" t="s">
        <v>2768</v>
      </c>
      <c r="I196" s="9" t="s">
        <v>2876</v>
      </c>
    </row>
    <row r="197" spans="1:9" ht="45" customHeight="1">
      <c r="A197" s="10" t="s">
        <v>3119</v>
      </c>
      <c r="B197" s="10" t="s">
        <v>2249</v>
      </c>
      <c r="C197" s="10" t="s">
        <v>2766</v>
      </c>
      <c r="D197" s="10" t="s">
        <v>2766</v>
      </c>
      <c r="E197" s="10" t="s">
        <v>2766</v>
      </c>
      <c r="F197" s="10" t="s">
        <v>2875</v>
      </c>
      <c r="G197" s="10" t="s">
        <v>1161</v>
      </c>
      <c r="H197" s="10" t="s">
        <v>2768</v>
      </c>
      <c r="I197" s="11" t="s">
        <v>2876</v>
      </c>
    </row>
    <row r="198" spans="1:9" ht="45" customHeight="1">
      <c r="A198" s="8" t="s">
        <v>3120</v>
      </c>
      <c r="B198" s="8" t="s">
        <v>2252</v>
      </c>
      <c r="C198" s="8" t="s">
        <v>2766</v>
      </c>
      <c r="D198" s="8" t="s">
        <v>2766</v>
      </c>
      <c r="E198" s="8" t="s">
        <v>2766</v>
      </c>
      <c r="F198" s="8" t="s">
        <v>2875</v>
      </c>
      <c r="G198" s="8" t="s">
        <v>1161</v>
      </c>
      <c r="H198" s="8" t="s">
        <v>2768</v>
      </c>
      <c r="I198" s="9" t="s">
        <v>2876</v>
      </c>
    </row>
    <row r="199" spans="1:9" ht="45" customHeight="1">
      <c r="A199" s="10" t="s">
        <v>3121</v>
      </c>
      <c r="B199" s="10" t="s">
        <v>2255</v>
      </c>
      <c r="C199" s="10" t="s">
        <v>2766</v>
      </c>
      <c r="D199" s="10" t="s">
        <v>2766</v>
      </c>
      <c r="E199" s="10" t="s">
        <v>2766</v>
      </c>
      <c r="F199" s="10" t="s">
        <v>2875</v>
      </c>
      <c r="G199" s="10" t="s">
        <v>1161</v>
      </c>
      <c r="H199" s="10" t="s">
        <v>2768</v>
      </c>
      <c r="I199" s="11" t="s">
        <v>2876</v>
      </c>
    </row>
    <row r="200" spans="1:9" ht="45" customHeight="1">
      <c r="A200" s="8" t="s">
        <v>3122</v>
      </c>
      <c r="B200" s="8" t="s">
        <v>2259</v>
      </c>
      <c r="C200" s="8" t="s">
        <v>2766</v>
      </c>
      <c r="D200" s="8" t="s">
        <v>2766</v>
      </c>
      <c r="E200" s="8" t="s">
        <v>2766</v>
      </c>
      <c r="F200" s="8" t="s">
        <v>2875</v>
      </c>
      <c r="G200" s="8" t="s">
        <v>1161</v>
      </c>
      <c r="H200" s="8" t="s">
        <v>2768</v>
      </c>
      <c r="I200" s="9" t="s">
        <v>2876</v>
      </c>
    </row>
    <row r="201" spans="1:9" ht="45" customHeight="1">
      <c r="A201" s="10" t="s">
        <v>3123</v>
      </c>
      <c r="B201" s="10" t="s">
        <v>2262</v>
      </c>
      <c r="C201" s="10" t="s">
        <v>2766</v>
      </c>
      <c r="D201" s="10" t="s">
        <v>2766</v>
      </c>
      <c r="E201" s="10" t="s">
        <v>2766</v>
      </c>
      <c r="F201" s="10" t="s">
        <v>2875</v>
      </c>
      <c r="G201" s="10" t="s">
        <v>1161</v>
      </c>
      <c r="H201" s="10" t="s">
        <v>2768</v>
      </c>
      <c r="I201" s="11" t="s">
        <v>2876</v>
      </c>
    </row>
    <row r="202" spans="1:9" ht="45" customHeight="1">
      <c r="A202" s="8" t="s">
        <v>3124</v>
      </c>
      <c r="B202" s="8" t="s">
        <v>2265</v>
      </c>
      <c r="C202" s="8" t="s">
        <v>2766</v>
      </c>
      <c r="D202" s="8" t="s">
        <v>2766</v>
      </c>
      <c r="E202" s="8" t="s">
        <v>2766</v>
      </c>
      <c r="F202" s="8" t="s">
        <v>2875</v>
      </c>
      <c r="G202" s="8" t="s">
        <v>1161</v>
      </c>
      <c r="H202" s="8" t="s">
        <v>2768</v>
      </c>
      <c r="I202" s="9" t="s">
        <v>2876</v>
      </c>
    </row>
    <row r="203" spans="1:9" ht="45" customHeight="1">
      <c r="A203" s="10" t="s">
        <v>3125</v>
      </c>
      <c r="B203" s="10" t="s">
        <v>2268</v>
      </c>
      <c r="C203" s="10" t="s">
        <v>2766</v>
      </c>
      <c r="D203" s="10" t="s">
        <v>2766</v>
      </c>
      <c r="E203" s="10" t="s">
        <v>2766</v>
      </c>
      <c r="F203" s="10" t="s">
        <v>2875</v>
      </c>
      <c r="G203" s="10" t="s">
        <v>1161</v>
      </c>
      <c r="H203" s="10" t="s">
        <v>2768</v>
      </c>
      <c r="I203" s="11" t="s">
        <v>2876</v>
      </c>
    </row>
    <row r="204" spans="1:9" ht="45" customHeight="1">
      <c r="A204" s="8" t="s">
        <v>3126</v>
      </c>
      <c r="B204" s="8" t="s">
        <v>2271</v>
      </c>
      <c r="C204" s="8" t="s">
        <v>2766</v>
      </c>
      <c r="D204" s="8" t="s">
        <v>2766</v>
      </c>
      <c r="E204" s="8" t="s">
        <v>2766</v>
      </c>
      <c r="F204" s="8" t="s">
        <v>2875</v>
      </c>
      <c r="G204" s="8" t="s">
        <v>1161</v>
      </c>
      <c r="H204" s="8" t="s">
        <v>2768</v>
      </c>
      <c r="I204" s="9" t="s">
        <v>2876</v>
      </c>
    </row>
    <row r="205" spans="1:9" ht="45" customHeight="1">
      <c r="A205" s="10" t="s">
        <v>3127</v>
      </c>
      <c r="B205" s="10" t="s">
        <v>2274</v>
      </c>
      <c r="C205" s="10" t="s">
        <v>2766</v>
      </c>
      <c r="D205" s="10" t="s">
        <v>2766</v>
      </c>
      <c r="E205" s="10" t="s">
        <v>2766</v>
      </c>
      <c r="F205" s="10" t="s">
        <v>2875</v>
      </c>
      <c r="G205" s="10" t="s">
        <v>1161</v>
      </c>
      <c r="H205" s="10" t="s">
        <v>2768</v>
      </c>
      <c r="I205" s="11" t="s">
        <v>2876</v>
      </c>
    </row>
    <row r="206" spans="1:9" ht="45" customHeight="1">
      <c r="A206" s="8" t="s">
        <v>3128</v>
      </c>
      <c r="B206" s="8" t="s">
        <v>2277</v>
      </c>
      <c r="C206" s="8" t="s">
        <v>2766</v>
      </c>
      <c r="D206" s="8" t="s">
        <v>2766</v>
      </c>
      <c r="E206" s="8" t="s">
        <v>2766</v>
      </c>
      <c r="F206" s="8" t="s">
        <v>2875</v>
      </c>
      <c r="G206" s="8" t="s">
        <v>1161</v>
      </c>
      <c r="H206" s="8" t="s">
        <v>2768</v>
      </c>
      <c r="I206" s="9" t="s">
        <v>2876</v>
      </c>
    </row>
    <row r="207" spans="1:9" ht="45" customHeight="1">
      <c r="A207" s="10" t="s">
        <v>3129</v>
      </c>
      <c r="B207" s="10" t="s">
        <v>2280</v>
      </c>
      <c r="C207" s="10" t="s">
        <v>2766</v>
      </c>
      <c r="D207" s="10" t="s">
        <v>2766</v>
      </c>
      <c r="E207" s="10" t="s">
        <v>2766</v>
      </c>
      <c r="F207" s="10" t="s">
        <v>2875</v>
      </c>
      <c r="G207" s="10" t="s">
        <v>1161</v>
      </c>
      <c r="H207" s="10" t="s">
        <v>2768</v>
      </c>
      <c r="I207" s="11" t="s">
        <v>2876</v>
      </c>
    </row>
    <row r="208" spans="1:9" ht="45" customHeight="1">
      <c r="A208" s="8" t="s">
        <v>3130</v>
      </c>
      <c r="B208" s="8" t="s">
        <v>2283</v>
      </c>
      <c r="C208" s="8" t="s">
        <v>2766</v>
      </c>
      <c r="D208" s="8" t="s">
        <v>2766</v>
      </c>
      <c r="E208" s="8" t="s">
        <v>2766</v>
      </c>
      <c r="F208" s="8" t="s">
        <v>2875</v>
      </c>
      <c r="G208" s="8" t="s">
        <v>1161</v>
      </c>
      <c r="H208" s="8" t="s">
        <v>2768</v>
      </c>
      <c r="I208" s="9" t="s">
        <v>2876</v>
      </c>
    </row>
    <row r="209" spans="1:9" ht="45" customHeight="1">
      <c r="A209" s="10" t="s">
        <v>3131</v>
      </c>
      <c r="B209" s="10" t="s">
        <v>2288</v>
      </c>
      <c r="C209" s="10" t="s">
        <v>2766</v>
      </c>
      <c r="D209" s="10" t="s">
        <v>2766</v>
      </c>
      <c r="E209" s="10" t="s">
        <v>2766</v>
      </c>
      <c r="F209" s="10" t="s">
        <v>2875</v>
      </c>
      <c r="G209" s="10" t="s">
        <v>1161</v>
      </c>
      <c r="H209" s="10" t="s">
        <v>2768</v>
      </c>
      <c r="I209" s="11" t="s">
        <v>2876</v>
      </c>
    </row>
    <row r="210" spans="1:9" ht="45" customHeight="1">
      <c r="A210" s="8" t="s">
        <v>3132</v>
      </c>
      <c r="B210" s="8" t="s">
        <v>2291</v>
      </c>
      <c r="C210" s="8" t="s">
        <v>2766</v>
      </c>
      <c r="D210" s="8" t="s">
        <v>2766</v>
      </c>
      <c r="E210" s="8" t="s">
        <v>2766</v>
      </c>
      <c r="F210" s="8" t="s">
        <v>2875</v>
      </c>
      <c r="G210" s="8" t="s">
        <v>1161</v>
      </c>
      <c r="H210" s="8" t="s">
        <v>2768</v>
      </c>
      <c r="I210" s="9" t="s">
        <v>2876</v>
      </c>
    </row>
    <row r="211" spans="1:9" ht="45" customHeight="1">
      <c r="A211" s="10" t="s">
        <v>3133</v>
      </c>
      <c r="B211" s="10" t="s">
        <v>2294</v>
      </c>
      <c r="C211" s="10" t="s">
        <v>2766</v>
      </c>
      <c r="D211" s="10" t="s">
        <v>2766</v>
      </c>
      <c r="E211" s="10" t="s">
        <v>2766</v>
      </c>
      <c r="F211" s="10" t="s">
        <v>2875</v>
      </c>
      <c r="G211" s="10" t="s">
        <v>1126</v>
      </c>
      <c r="H211" s="10" t="s">
        <v>2768</v>
      </c>
      <c r="I211" s="11" t="s">
        <v>2876</v>
      </c>
    </row>
    <row r="212" spans="1:9" ht="45" customHeight="1">
      <c r="A212" s="8" t="s">
        <v>3134</v>
      </c>
      <c r="B212" s="8" t="s">
        <v>2297</v>
      </c>
      <c r="C212" s="8" t="s">
        <v>2766</v>
      </c>
      <c r="D212" s="8" t="s">
        <v>2766</v>
      </c>
      <c r="E212" s="8" t="s">
        <v>2766</v>
      </c>
      <c r="F212" s="8" t="s">
        <v>2875</v>
      </c>
      <c r="G212" s="8" t="s">
        <v>1161</v>
      </c>
      <c r="H212" s="8" t="s">
        <v>2768</v>
      </c>
      <c r="I212" s="9" t="s">
        <v>2876</v>
      </c>
    </row>
    <row r="213" spans="1:9" ht="45" customHeight="1">
      <c r="A213" s="10" t="s">
        <v>3135</v>
      </c>
      <c r="B213" s="10" t="s">
        <v>2301</v>
      </c>
      <c r="C213" s="10" t="s">
        <v>2766</v>
      </c>
      <c r="D213" s="10" t="s">
        <v>2766</v>
      </c>
      <c r="E213" s="10" t="s">
        <v>2766</v>
      </c>
      <c r="F213" s="10" t="s">
        <v>2875</v>
      </c>
      <c r="G213" s="10" t="s">
        <v>1161</v>
      </c>
      <c r="H213" s="10" t="s">
        <v>2768</v>
      </c>
      <c r="I213" s="11" t="s">
        <v>2876</v>
      </c>
    </row>
    <row r="214" spans="1:9" ht="45" customHeight="1">
      <c r="A214" s="8" t="s">
        <v>3136</v>
      </c>
      <c r="B214" s="8" t="s">
        <v>2304</v>
      </c>
      <c r="C214" s="8" t="s">
        <v>2766</v>
      </c>
      <c r="D214" s="8" t="s">
        <v>2766</v>
      </c>
      <c r="E214" s="8" t="s">
        <v>2766</v>
      </c>
      <c r="F214" s="8" t="s">
        <v>2875</v>
      </c>
      <c r="G214" s="8" t="s">
        <v>1161</v>
      </c>
      <c r="H214" s="8" t="s">
        <v>2768</v>
      </c>
      <c r="I214" s="9" t="s">
        <v>2876</v>
      </c>
    </row>
    <row r="215" spans="1:9" ht="45" customHeight="1">
      <c r="A215" s="10" t="s">
        <v>3137</v>
      </c>
      <c r="B215" s="10" t="s">
        <v>2307</v>
      </c>
      <c r="C215" s="10" t="s">
        <v>2766</v>
      </c>
      <c r="D215" s="10" t="s">
        <v>2766</v>
      </c>
      <c r="E215" s="10" t="s">
        <v>2766</v>
      </c>
      <c r="F215" s="10" t="s">
        <v>2875</v>
      </c>
      <c r="G215" s="10" t="s">
        <v>1161</v>
      </c>
      <c r="H215" s="10" t="s">
        <v>2768</v>
      </c>
      <c r="I215" s="11" t="s">
        <v>2876</v>
      </c>
    </row>
    <row r="216" spans="1:9" ht="45" customHeight="1">
      <c r="A216" s="8" t="s">
        <v>3138</v>
      </c>
      <c r="B216" s="8" t="s">
        <v>2310</v>
      </c>
      <c r="C216" s="8" t="s">
        <v>2766</v>
      </c>
      <c r="D216" s="8" t="s">
        <v>2766</v>
      </c>
      <c r="E216" s="8" t="s">
        <v>2766</v>
      </c>
      <c r="F216" s="8" t="s">
        <v>2875</v>
      </c>
      <c r="G216" s="8" t="s">
        <v>1161</v>
      </c>
      <c r="H216" s="8" t="s">
        <v>2768</v>
      </c>
      <c r="I216" s="9" t="s">
        <v>2876</v>
      </c>
    </row>
    <row r="217" spans="1:9" ht="45" customHeight="1">
      <c r="A217" s="10" t="s">
        <v>3139</v>
      </c>
      <c r="B217" s="10" t="s">
        <v>2314</v>
      </c>
      <c r="C217" s="10" t="s">
        <v>2766</v>
      </c>
      <c r="D217" s="10" t="s">
        <v>2766</v>
      </c>
      <c r="E217" s="10" t="s">
        <v>2766</v>
      </c>
      <c r="F217" s="10" t="s">
        <v>2875</v>
      </c>
      <c r="G217" s="10" t="s">
        <v>1161</v>
      </c>
      <c r="H217" s="10" t="s">
        <v>2768</v>
      </c>
      <c r="I217" s="11" t="s">
        <v>2876</v>
      </c>
    </row>
    <row r="218" spans="1:9" ht="45" customHeight="1">
      <c r="A218" s="8" t="s">
        <v>3140</v>
      </c>
      <c r="B218" s="8" t="s">
        <v>2318</v>
      </c>
      <c r="C218" s="8" t="s">
        <v>2766</v>
      </c>
      <c r="D218" s="8" t="s">
        <v>2766</v>
      </c>
      <c r="E218" s="8" t="s">
        <v>2766</v>
      </c>
      <c r="F218" s="8" t="s">
        <v>2875</v>
      </c>
      <c r="G218" s="8" t="s">
        <v>1161</v>
      </c>
      <c r="H218" s="8" t="s">
        <v>2768</v>
      </c>
      <c r="I218" s="9" t="s">
        <v>2876</v>
      </c>
    </row>
    <row r="219" spans="1:9" ht="45" customHeight="1">
      <c r="A219" s="10" t="s">
        <v>3141</v>
      </c>
      <c r="B219" s="10" t="s">
        <v>2322</v>
      </c>
      <c r="C219" s="10" t="s">
        <v>2766</v>
      </c>
      <c r="D219" s="10" t="s">
        <v>2766</v>
      </c>
      <c r="E219" s="10" t="s">
        <v>2766</v>
      </c>
      <c r="F219" s="10" t="s">
        <v>2875</v>
      </c>
      <c r="G219" s="10" t="s">
        <v>1161</v>
      </c>
      <c r="H219" s="10" t="s">
        <v>2768</v>
      </c>
      <c r="I219" s="11" t="s">
        <v>2876</v>
      </c>
    </row>
    <row r="220" spans="1:9" ht="45" customHeight="1">
      <c r="A220" s="8" t="s">
        <v>3142</v>
      </c>
      <c r="B220" s="8" t="s">
        <v>2325</v>
      </c>
      <c r="C220" s="8" t="s">
        <v>2766</v>
      </c>
      <c r="D220" s="8" t="s">
        <v>2766</v>
      </c>
      <c r="E220" s="8" t="s">
        <v>2766</v>
      </c>
      <c r="F220" s="8" t="s">
        <v>2875</v>
      </c>
      <c r="G220" s="8" t="s">
        <v>1161</v>
      </c>
      <c r="H220" s="8" t="s">
        <v>2768</v>
      </c>
      <c r="I220" s="9" t="s">
        <v>2876</v>
      </c>
    </row>
    <row r="221" spans="1:9" ht="45" customHeight="1">
      <c r="A221" s="10" t="s">
        <v>3143</v>
      </c>
      <c r="B221" s="10" t="s">
        <v>2328</v>
      </c>
      <c r="C221" s="10" t="s">
        <v>2766</v>
      </c>
      <c r="D221" s="10" t="s">
        <v>2766</v>
      </c>
      <c r="E221" s="10" t="s">
        <v>2766</v>
      </c>
      <c r="F221" s="10" t="s">
        <v>2875</v>
      </c>
      <c r="G221" s="10" t="s">
        <v>1161</v>
      </c>
      <c r="H221" s="10" t="s">
        <v>2768</v>
      </c>
      <c r="I221" s="11" t="s">
        <v>2876</v>
      </c>
    </row>
    <row r="222" spans="1:9" ht="45" customHeight="1">
      <c r="A222" s="8" t="s">
        <v>3144</v>
      </c>
      <c r="B222" s="8" t="s">
        <v>2331</v>
      </c>
      <c r="C222" s="8" t="s">
        <v>2766</v>
      </c>
      <c r="D222" s="8" t="s">
        <v>2766</v>
      </c>
      <c r="E222" s="8" t="s">
        <v>2766</v>
      </c>
      <c r="F222" s="8" t="s">
        <v>2875</v>
      </c>
      <c r="G222" s="8" t="s">
        <v>1161</v>
      </c>
      <c r="H222" s="8" t="s">
        <v>2768</v>
      </c>
      <c r="I222" s="9" t="s">
        <v>2876</v>
      </c>
    </row>
    <row r="223" spans="1:9" ht="45" customHeight="1">
      <c r="A223" s="10" t="s">
        <v>3145</v>
      </c>
      <c r="B223" s="10" t="s">
        <v>2334</v>
      </c>
      <c r="C223" s="10" t="s">
        <v>2766</v>
      </c>
      <c r="D223" s="10" t="s">
        <v>2766</v>
      </c>
      <c r="E223" s="10" t="s">
        <v>2766</v>
      </c>
      <c r="F223" s="10" t="s">
        <v>2875</v>
      </c>
      <c r="G223" s="10" t="s">
        <v>1161</v>
      </c>
      <c r="H223" s="10" t="s">
        <v>2768</v>
      </c>
      <c r="I223" s="11" t="s">
        <v>2876</v>
      </c>
    </row>
    <row r="224" spans="1:9" ht="45" customHeight="1">
      <c r="A224" s="8" t="s">
        <v>3146</v>
      </c>
      <c r="B224" s="8" t="s">
        <v>2337</v>
      </c>
      <c r="C224" s="8" t="s">
        <v>2766</v>
      </c>
      <c r="D224" s="8" t="s">
        <v>2766</v>
      </c>
      <c r="E224" s="8" t="s">
        <v>2766</v>
      </c>
      <c r="F224" s="8" t="s">
        <v>2875</v>
      </c>
      <c r="G224" s="8" t="s">
        <v>1161</v>
      </c>
      <c r="H224" s="8" t="s">
        <v>2768</v>
      </c>
      <c r="I224" s="9" t="s">
        <v>2876</v>
      </c>
    </row>
    <row r="225" spans="1:9" ht="45" customHeight="1">
      <c r="A225" s="10" t="s">
        <v>3147</v>
      </c>
      <c r="B225" s="10" t="s">
        <v>2340</v>
      </c>
      <c r="C225" s="10" t="s">
        <v>2766</v>
      </c>
      <c r="D225" s="10" t="s">
        <v>2766</v>
      </c>
      <c r="E225" s="10" t="s">
        <v>2766</v>
      </c>
      <c r="F225" s="10" t="s">
        <v>2875</v>
      </c>
      <c r="G225" s="10" t="s">
        <v>1161</v>
      </c>
      <c r="H225" s="10" t="s">
        <v>2768</v>
      </c>
      <c r="I225" s="11" t="s">
        <v>2876</v>
      </c>
    </row>
    <row r="226" spans="1:9" ht="45" customHeight="1">
      <c r="A226" s="8" t="s">
        <v>3148</v>
      </c>
      <c r="B226" s="8" t="s">
        <v>2343</v>
      </c>
      <c r="C226" s="8" t="s">
        <v>2766</v>
      </c>
      <c r="D226" s="8" t="s">
        <v>2766</v>
      </c>
      <c r="E226" s="8" t="s">
        <v>2766</v>
      </c>
      <c r="F226" s="8" t="s">
        <v>2875</v>
      </c>
      <c r="G226" s="8" t="s">
        <v>1161</v>
      </c>
      <c r="H226" s="8" t="s">
        <v>2768</v>
      </c>
      <c r="I226" s="9" t="s">
        <v>2876</v>
      </c>
    </row>
    <row r="227" spans="1:9" ht="45" customHeight="1">
      <c r="A227" s="10" t="s">
        <v>3149</v>
      </c>
      <c r="B227" s="10" t="s">
        <v>2346</v>
      </c>
      <c r="C227" s="10" t="s">
        <v>2766</v>
      </c>
      <c r="D227" s="10" t="s">
        <v>2766</v>
      </c>
      <c r="E227" s="10" t="s">
        <v>2766</v>
      </c>
      <c r="F227" s="10" t="s">
        <v>2875</v>
      </c>
      <c r="G227" s="10" t="s">
        <v>1161</v>
      </c>
      <c r="H227" s="10" t="s">
        <v>2768</v>
      </c>
      <c r="I227" s="11" t="s">
        <v>2876</v>
      </c>
    </row>
    <row r="228" spans="1:9" ht="45" customHeight="1">
      <c r="A228" s="8" t="s">
        <v>3150</v>
      </c>
      <c r="B228" s="8" t="s">
        <v>2350</v>
      </c>
      <c r="C228" s="8" t="s">
        <v>2766</v>
      </c>
      <c r="D228" s="8" t="s">
        <v>2766</v>
      </c>
      <c r="E228" s="8" t="s">
        <v>2766</v>
      </c>
      <c r="F228" s="8" t="s">
        <v>2875</v>
      </c>
      <c r="G228" s="8" t="s">
        <v>1161</v>
      </c>
      <c r="H228" s="8" t="s">
        <v>2768</v>
      </c>
      <c r="I228" s="9" t="s">
        <v>2876</v>
      </c>
    </row>
    <row r="229" spans="1:9" ht="45" customHeight="1">
      <c r="A229" s="10" t="s">
        <v>3151</v>
      </c>
      <c r="B229" s="10" t="s">
        <v>2353</v>
      </c>
      <c r="C229" s="10" t="s">
        <v>2766</v>
      </c>
      <c r="D229" s="10" t="s">
        <v>2766</v>
      </c>
      <c r="E229" s="10" t="s">
        <v>2766</v>
      </c>
      <c r="F229" s="10" t="s">
        <v>2875</v>
      </c>
      <c r="G229" s="10" t="s">
        <v>1161</v>
      </c>
      <c r="H229" s="10" t="s">
        <v>2768</v>
      </c>
      <c r="I229" s="11" t="s">
        <v>2876</v>
      </c>
    </row>
    <row r="230" spans="1:9" ht="45" customHeight="1">
      <c r="A230" s="8" t="s">
        <v>3152</v>
      </c>
      <c r="B230" s="8" t="s">
        <v>2356</v>
      </c>
      <c r="C230" s="8" t="s">
        <v>2766</v>
      </c>
      <c r="D230" s="8" t="s">
        <v>2766</v>
      </c>
      <c r="E230" s="8" t="s">
        <v>2766</v>
      </c>
      <c r="F230" s="8" t="s">
        <v>2875</v>
      </c>
      <c r="G230" s="8" t="s">
        <v>1161</v>
      </c>
      <c r="H230" s="8" t="s">
        <v>2768</v>
      </c>
      <c r="I230" s="9" t="s">
        <v>2876</v>
      </c>
    </row>
    <row r="231" spans="1:9" ht="45" customHeight="1">
      <c r="A231" s="10" t="s">
        <v>3153</v>
      </c>
      <c r="B231" s="10" t="s">
        <v>2359</v>
      </c>
      <c r="C231" s="10" t="s">
        <v>2766</v>
      </c>
      <c r="D231" s="10" t="s">
        <v>2766</v>
      </c>
      <c r="E231" s="10" t="s">
        <v>2766</v>
      </c>
      <c r="F231" s="10" t="s">
        <v>2875</v>
      </c>
      <c r="G231" s="10" t="s">
        <v>1161</v>
      </c>
      <c r="H231" s="10" t="s">
        <v>2768</v>
      </c>
      <c r="I231" s="11" t="s">
        <v>2876</v>
      </c>
    </row>
    <row r="232" spans="1:9" ht="45" customHeight="1">
      <c r="A232" s="8" t="s">
        <v>3154</v>
      </c>
      <c r="B232" s="8" t="s">
        <v>2362</v>
      </c>
      <c r="C232" s="8" t="s">
        <v>2766</v>
      </c>
      <c r="D232" s="8" t="s">
        <v>2766</v>
      </c>
      <c r="E232" s="8" t="s">
        <v>2766</v>
      </c>
      <c r="F232" s="8" t="s">
        <v>2875</v>
      </c>
      <c r="G232" s="8" t="s">
        <v>1161</v>
      </c>
      <c r="H232" s="8" t="s">
        <v>2768</v>
      </c>
      <c r="I232" s="9" t="s">
        <v>2876</v>
      </c>
    </row>
    <row r="233" spans="1:9" ht="45" customHeight="1">
      <c r="A233" s="10" t="s">
        <v>3155</v>
      </c>
      <c r="B233" s="10" t="s">
        <v>2365</v>
      </c>
      <c r="C233" s="10" t="s">
        <v>2766</v>
      </c>
      <c r="D233" s="10" t="s">
        <v>2766</v>
      </c>
      <c r="E233" s="10" t="s">
        <v>2766</v>
      </c>
      <c r="F233" s="10" t="s">
        <v>2875</v>
      </c>
      <c r="G233" s="10" t="s">
        <v>1161</v>
      </c>
      <c r="H233" s="10" t="s">
        <v>2768</v>
      </c>
      <c r="I233" s="11" t="s">
        <v>2876</v>
      </c>
    </row>
    <row r="234" spans="1:9" ht="45" customHeight="1">
      <c r="A234" s="8" t="s">
        <v>3156</v>
      </c>
      <c r="B234" s="8" t="s">
        <v>2368</v>
      </c>
      <c r="C234" s="8" t="s">
        <v>2766</v>
      </c>
      <c r="D234" s="8" t="s">
        <v>2766</v>
      </c>
      <c r="E234" s="8" t="s">
        <v>2766</v>
      </c>
      <c r="F234" s="8" t="s">
        <v>2875</v>
      </c>
      <c r="G234" s="8" t="s">
        <v>1161</v>
      </c>
      <c r="H234" s="8" t="s">
        <v>2768</v>
      </c>
      <c r="I234" s="9" t="s">
        <v>2876</v>
      </c>
    </row>
    <row r="235" spans="1:9" ht="45" customHeight="1">
      <c r="A235" s="10" t="s">
        <v>3157</v>
      </c>
      <c r="B235" s="10" t="s">
        <v>2371</v>
      </c>
      <c r="C235" s="10" t="s">
        <v>2766</v>
      </c>
      <c r="D235" s="10" t="s">
        <v>2766</v>
      </c>
      <c r="E235" s="10" t="s">
        <v>2766</v>
      </c>
      <c r="F235" s="10" t="s">
        <v>2875</v>
      </c>
      <c r="G235" s="10" t="s">
        <v>1161</v>
      </c>
      <c r="H235" s="10" t="s">
        <v>2768</v>
      </c>
      <c r="I235" s="11" t="s">
        <v>2876</v>
      </c>
    </row>
    <row r="236" spans="1:9" ht="45" customHeight="1">
      <c r="A236" s="8" t="s">
        <v>3158</v>
      </c>
      <c r="B236" s="8" t="s">
        <v>2374</v>
      </c>
      <c r="C236" s="8" t="s">
        <v>2766</v>
      </c>
      <c r="D236" s="8" t="s">
        <v>2766</v>
      </c>
      <c r="E236" s="8" t="s">
        <v>2766</v>
      </c>
      <c r="F236" s="8" t="s">
        <v>2875</v>
      </c>
      <c r="G236" s="8" t="s">
        <v>1161</v>
      </c>
      <c r="H236" s="8" t="s">
        <v>2768</v>
      </c>
      <c r="I236" s="9" t="s">
        <v>2876</v>
      </c>
    </row>
    <row r="237" spans="1:9" ht="45" customHeight="1">
      <c r="A237" s="10" t="s">
        <v>3159</v>
      </c>
      <c r="B237" s="10" t="s">
        <v>2377</v>
      </c>
      <c r="C237" s="10" t="s">
        <v>2766</v>
      </c>
      <c r="D237" s="10" t="s">
        <v>2766</v>
      </c>
      <c r="E237" s="10" t="s">
        <v>2766</v>
      </c>
      <c r="F237" s="10" t="s">
        <v>2875</v>
      </c>
      <c r="G237" s="10" t="s">
        <v>1161</v>
      </c>
      <c r="H237" s="10" t="s">
        <v>2768</v>
      </c>
      <c r="I237" s="11" t="s">
        <v>2876</v>
      </c>
    </row>
    <row r="238" spans="1:9" ht="45" customHeight="1">
      <c r="A238" s="8" t="s">
        <v>3160</v>
      </c>
      <c r="B238" s="8" t="s">
        <v>2380</v>
      </c>
      <c r="C238" s="8" t="s">
        <v>2766</v>
      </c>
      <c r="D238" s="8" t="s">
        <v>2766</v>
      </c>
      <c r="E238" s="8" t="s">
        <v>2766</v>
      </c>
      <c r="F238" s="8" t="s">
        <v>2875</v>
      </c>
      <c r="G238" s="8" t="s">
        <v>1126</v>
      </c>
      <c r="H238" s="8" t="s">
        <v>2768</v>
      </c>
      <c r="I238" s="9" t="s">
        <v>2876</v>
      </c>
    </row>
    <row r="239" spans="1:9" ht="45" customHeight="1">
      <c r="A239" s="10" t="s">
        <v>3161</v>
      </c>
      <c r="B239" s="10" t="s">
        <v>2383</v>
      </c>
      <c r="C239" s="10" t="s">
        <v>2766</v>
      </c>
      <c r="D239" s="10" t="s">
        <v>2766</v>
      </c>
      <c r="E239" s="10" t="s">
        <v>2766</v>
      </c>
      <c r="F239" s="10" t="s">
        <v>2875</v>
      </c>
      <c r="G239" s="10" t="s">
        <v>1161</v>
      </c>
      <c r="H239" s="10" t="s">
        <v>2768</v>
      </c>
      <c r="I239" s="11" t="s">
        <v>2876</v>
      </c>
    </row>
    <row r="240" spans="1:9" ht="34" customHeight="1">
      <c r="A240" s="8" t="s">
        <v>3162</v>
      </c>
      <c r="B240" s="8" t="s">
        <v>2386</v>
      </c>
      <c r="C240" s="8" t="s">
        <v>2770</v>
      </c>
      <c r="D240" s="8" t="s">
        <v>2770</v>
      </c>
      <c r="E240" s="8" t="s">
        <v>2770</v>
      </c>
      <c r="F240" s="8" t="s">
        <v>2771</v>
      </c>
      <c r="G240" s="12" t="s">
        <v>1136</v>
      </c>
      <c r="H240" s="12" t="s">
        <v>2772</v>
      </c>
      <c r="I240" s="9" t="s">
        <v>2769</v>
      </c>
    </row>
    <row r="241" spans="1:9" ht="34" customHeight="1">
      <c r="A241" s="10" t="s">
        <v>3163</v>
      </c>
      <c r="B241" s="10" t="s">
        <v>2390</v>
      </c>
      <c r="C241" s="10" t="s">
        <v>2770</v>
      </c>
      <c r="D241" s="10" t="s">
        <v>2770</v>
      </c>
      <c r="E241" s="10" t="s">
        <v>2770</v>
      </c>
      <c r="F241" s="10" t="s">
        <v>2771</v>
      </c>
      <c r="G241" s="12" t="s">
        <v>1136</v>
      </c>
      <c r="H241" s="12" t="s">
        <v>2772</v>
      </c>
      <c r="I241" s="11" t="s">
        <v>2769</v>
      </c>
    </row>
    <row r="242" spans="1:9" ht="34" customHeight="1">
      <c r="A242" s="8" t="s">
        <v>3164</v>
      </c>
      <c r="B242" s="8" t="s">
        <v>2394</v>
      </c>
      <c r="C242" s="8" t="s">
        <v>2770</v>
      </c>
      <c r="D242" s="8" t="s">
        <v>2770</v>
      </c>
      <c r="E242" s="8" t="s">
        <v>2770</v>
      </c>
      <c r="F242" s="8" t="s">
        <v>2771</v>
      </c>
      <c r="G242" s="12" t="s">
        <v>1136</v>
      </c>
      <c r="H242" s="12" t="s">
        <v>2772</v>
      </c>
      <c r="I242" s="9" t="s">
        <v>2769</v>
      </c>
    </row>
    <row r="243" spans="1:9" ht="45" customHeight="1">
      <c r="A243" s="10" t="s">
        <v>3165</v>
      </c>
      <c r="B243" s="10" t="s">
        <v>2399</v>
      </c>
      <c r="C243" s="10" t="s">
        <v>2766</v>
      </c>
      <c r="D243" s="10" t="s">
        <v>2766</v>
      </c>
      <c r="E243" s="10" t="s">
        <v>2766</v>
      </c>
      <c r="F243" s="10" t="s">
        <v>2780</v>
      </c>
      <c r="G243" s="10" t="s">
        <v>1126</v>
      </c>
      <c r="H243" s="10" t="s">
        <v>2768</v>
      </c>
      <c r="I243" s="11" t="s">
        <v>2781</v>
      </c>
    </row>
    <row r="244" spans="1:9" ht="45" customHeight="1">
      <c r="A244" s="8" t="s">
        <v>3166</v>
      </c>
      <c r="B244" s="8" t="s">
        <v>2402</v>
      </c>
      <c r="C244" s="8" t="s">
        <v>2766</v>
      </c>
      <c r="D244" s="8" t="s">
        <v>2766</v>
      </c>
      <c r="E244" s="8" t="s">
        <v>2766</v>
      </c>
      <c r="F244" s="8" t="s">
        <v>2767</v>
      </c>
      <c r="G244" s="8" t="s">
        <v>1126</v>
      </c>
      <c r="H244" s="8" t="s">
        <v>2768</v>
      </c>
      <c r="I244" s="9" t="s">
        <v>2769</v>
      </c>
    </row>
    <row r="245" spans="1:9" ht="45" customHeight="1">
      <c r="A245" s="10" t="s">
        <v>3167</v>
      </c>
      <c r="B245" s="10" t="s">
        <v>2406</v>
      </c>
      <c r="C245" s="10" t="s">
        <v>2766</v>
      </c>
      <c r="D245" s="10" t="s">
        <v>2766</v>
      </c>
      <c r="E245" s="10" t="s">
        <v>2766</v>
      </c>
      <c r="F245" s="10" t="s">
        <v>2767</v>
      </c>
      <c r="G245" s="10" t="s">
        <v>1126</v>
      </c>
      <c r="H245" s="10" t="s">
        <v>2768</v>
      </c>
      <c r="I245" s="11" t="s">
        <v>2769</v>
      </c>
    </row>
    <row r="246" spans="1:9" ht="45" customHeight="1">
      <c r="A246" s="8" t="s">
        <v>3168</v>
      </c>
      <c r="B246" s="8" t="s">
        <v>2411</v>
      </c>
      <c r="C246" s="8" t="s">
        <v>2766</v>
      </c>
      <c r="D246" s="8" t="s">
        <v>2766</v>
      </c>
      <c r="E246" s="8" t="s">
        <v>2766</v>
      </c>
      <c r="F246" s="8" t="s">
        <v>2767</v>
      </c>
      <c r="G246" s="8" t="s">
        <v>1126</v>
      </c>
      <c r="H246" s="8" t="s">
        <v>2768</v>
      </c>
      <c r="I246" s="9" t="s">
        <v>2769</v>
      </c>
    </row>
    <row r="247" spans="1:9" ht="45" customHeight="1">
      <c r="A247" s="10" t="s">
        <v>3169</v>
      </c>
      <c r="B247" s="10" t="s">
        <v>2415</v>
      </c>
      <c r="C247" s="10" t="s">
        <v>2766</v>
      </c>
      <c r="D247" s="10" t="s">
        <v>2766</v>
      </c>
      <c r="E247" s="10" t="s">
        <v>2766</v>
      </c>
      <c r="F247" s="10" t="s">
        <v>2816</v>
      </c>
      <c r="G247" s="10" t="s">
        <v>1126</v>
      </c>
      <c r="H247" s="10" t="s">
        <v>2768</v>
      </c>
      <c r="I247" s="11" t="s">
        <v>605</v>
      </c>
    </row>
    <row r="248" spans="1:9" ht="45" customHeight="1">
      <c r="A248" s="8" t="s">
        <v>3170</v>
      </c>
      <c r="B248" s="8" t="s">
        <v>2419</v>
      </c>
      <c r="C248" s="8" t="s">
        <v>2766</v>
      </c>
      <c r="D248" s="8" t="s">
        <v>2766</v>
      </c>
      <c r="E248" s="8" t="s">
        <v>2766</v>
      </c>
      <c r="F248" s="8" t="s">
        <v>2816</v>
      </c>
      <c r="G248" s="8" t="s">
        <v>1126</v>
      </c>
      <c r="H248" s="8" t="s">
        <v>2768</v>
      </c>
      <c r="I248" s="9" t="s">
        <v>605</v>
      </c>
    </row>
    <row r="249" spans="1:9" ht="45" customHeight="1">
      <c r="A249" s="10" t="s">
        <v>3171</v>
      </c>
      <c r="B249" s="10" t="s">
        <v>2422</v>
      </c>
      <c r="C249" s="10" t="s">
        <v>2766</v>
      </c>
      <c r="D249" s="10" t="s">
        <v>2766</v>
      </c>
      <c r="E249" s="10" t="s">
        <v>2766</v>
      </c>
      <c r="F249" s="10" t="s">
        <v>2780</v>
      </c>
      <c r="G249" s="10" t="s">
        <v>1126</v>
      </c>
      <c r="H249" s="10" t="s">
        <v>2768</v>
      </c>
      <c r="I249" s="11" t="s">
        <v>2781</v>
      </c>
    </row>
    <row r="250" spans="1:9" ht="45" customHeight="1">
      <c r="A250" s="8" t="s">
        <v>3172</v>
      </c>
      <c r="B250" s="8" t="s">
        <v>2433</v>
      </c>
      <c r="C250" s="8" t="s">
        <v>2766</v>
      </c>
      <c r="D250" s="8" t="s">
        <v>2766</v>
      </c>
      <c r="E250" s="8" t="s">
        <v>2766</v>
      </c>
      <c r="F250" s="8" t="s">
        <v>2780</v>
      </c>
      <c r="G250" s="8" t="s">
        <v>1126</v>
      </c>
      <c r="H250" s="8" t="s">
        <v>2768</v>
      </c>
      <c r="I250" s="9" t="s">
        <v>2781</v>
      </c>
    </row>
    <row r="251" spans="1:9" ht="45" customHeight="1">
      <c r="A251" s="10" t="s">
        <v>3173</v>
      </c>
      <c r="B251" s="10" t="s">
        <v>2437</v>
      </c>
      <c r="C251" s="10" t="s">
        <v>2766</v>
      </c>
      <c r="D251" s="10" t="s">
        <v>2766</v>
      </c>
      <c r="E251" s="10" t="s">
        <v>2766</v>
      </c>
      <c r="F251" s="10" t="s">
        <v>2816</v>
      </c>
      <c r="G251" s="10" t="s">
        <v>1126</v>
      </c>
      <c r="H251" s="10" t="s">
        <v>2768</v>
      </c>
      <c r="I251" s="11" t="s">
        <v>605</v>
      </c>
    </row>
    <row r="252" spans="1:9" ht="45" customHeight="1">
      <c r="A252" s="8" t="s">
        <v>3174</v>
      </c>
      <c r="B252" s="8" t="s">
        <v>2441</v>
      </c>
      <c r="C252" s="8" t="s">
        <v>2766</v>
      </c>
      <c r="D252" s="8" t="s">
        <v>2766</v>
      </c>
      <c r="E252" s="8" t="s">
        <v>2766</v>
      </c>
      <c r="F252" s="8" t="s">
        <v>2816</v>
      </c>
      <c r="G252" s="8" t="s">
        <v>1126</v>
      </c>
      <c r="H252" s="8" t="s">
        <v>2768</v>
      </c>
      <c r="I252" s="9" t="s">
        <v>605</v>
      </c>
    </row>
    <row r="253" spans="1:9" ht="34" customHeight="1">
      <c r="A253" s="10" t="s">
        <v>3175</v>
      </c>
      <c r="B253" s="10" t="s">
        <v>2445</v>
      </c>
      <c r="C253" s="10" t="s">
        <v>2770</v>
      </c>
      <c r="D253" s="10" t="s">
        <v>2770</v>
      </c>
      <c r="E253" s="10" t="s">
        <v>2770</v>
      </c>
      <c r="F253" s="10" t="s">
        <v>2771</v>
      </c>
      <c r="G253" s="12" t="s">
        <v>1136</v>
      </c>
      <c r="H253" s="12" t="s">
        <v>2772</v>
      </c>
      <c r="I253" s="11" t="s">
        <v>575</v>
      </c>
    </row>
    <row r="254" spans="1:9" ht="34" customHeight="1">
      <c r="A254" s="8" t="s">
        <v>3176</v>
      </c>
      <c r="B254" s="8" t="s">
        <v>2449</v>
      </c>
      <c r="C254" s="8" t="s">
        <v>2770</v>
      </c>
      <c r="D254" s="8" t="s">
        <v>2770</v>
      </c>
      <c r="E254" s="8" t="s">
        <v>2770</v>
      </c>
      <c r="F254" s="8" t="s">
        <v>2771</v>
      </c>
      <c r="G254" s="12" t="s">
        <v>1136</v>
      </c>
      <c r="H254" s="12" t="s">
        <v>2772</v>
      </c>
      <c r="I254" s="9" t="s">
        <v>575</v>
      </c>
    </row>
    <row r="255" spans="1:9" ht="45" customHeight="1">
      <c r="A255" s="10" t="s">
        <v>3177</v>
      </c>
      <c r="B255" s="10" t="s">
        <v>2455</v>
      </c>
      <c r="C255" s="10" t="s">
        <v>2766</v>
      </c>
      <c r="D255" s="10" t="s">
        <v>2766</v>
      </c>
      <c r="E255" s="10" t="s">
        <v>2766</v>
      </c>
      <c r="F255" s="10" t="s">
        <v>2799</v>
      </c>
      <c r="G255" s="10" t="s">
        <v>1126</v>
      </c>
      <c r="H255" s="10" t="s">
        <v>2768</v>
      </c>
      <c r="I255" s="11" t="s">
        <v>575</v>
      </c>
    </row>
    <row r="256" spans="1:9" ht="45" customHeight="1">
      <c r="A256" s="8" t="s">
        <v>3178</v>
      </c>
      <c r="B256" s="8" t="s">
        <v>2460</v>
      </c>
      <c r="C256" s="8" t="s">
        <v>2766</v>
      </c>
      <c r="D256" s="8" t="s">
        <v>2766</v>
      </c>
      <c r="E256" s="8" t="s">
        <v>2766</v>
      </c>
      <c r="F256" s="8" t="s">
        <v>2799</v>
      </c>
      <c r="G256" s="8" t="s">
        <v>1126</v>
      </c>
      <c r="H256" s="8" t="s">
        <v>2768</v>
      </c>
      <c r="I256" s="9" t="s">
        <v>575</v>
      </c>
    </row>
    <row r="257" spans="1:9" ht="45" customHeight="1">
      <c r="A257" s="10" t="s">
        <v>3179</v>
      </c>
      <c r="B257" s="10" t="s">
        <v>2468</v>
      </c>
      <c r="C257" s="10" t="s">
        <v>2766</v>
      </c>
      <c r="D257" s="10" t="s">
        <v>2766</v>
      </c>
      <c r="E257" s="10" t="s">
        <v>2766</v>
      </c>
      <c r="F257" s="10" t="s">
        <v>2799</v>
      </c>
      <c r="G257" s="10" t="s">
        <v>1126</v>
      </c>
      <c r="H257" s="10" t="s">
        <v>2768</v>
      </c>
      <c r="I257" s="11" t="s">
        <v>575</v>
      </c>
    </row>
    <row r="258" spans="1:9" ht="45" customHeight="1">
      <c r="A258" s="8" t="s">
        <v>3180</v>
      </c>
      <c r="B258" s="8" t="s">
        <v>2471</v>
      </c>
      <c r="C258" s="8" t="s">
        <v>2766</v>
      </c>
      <c r="D258" s="8" t="s">
        <v>2766</v>
      </c>
      <c r="E258" s="8" t="s">
        <v>2766</v>
      </c>
      <c r="F258" s="8" t="s">
        <v>2799</v>
      </c>
      <c r="G258" s="8" t="s">
        <v>1126</v>
      </c>
      <c r="H258" s="8" t="s">
        <v>2768</v>
      </c>
      <c r="I258" s="9" t="s">
        <v>575</v>
      </c>
    </row>
    <row r="259" spans="1:9" ht="45" customHeight="1">
      <c r="A259" s="10" t="s">
        <v>3181</v>
      </c>
      <c r="B259" s="10" t="s">
        <v>2482</v>
      </c>
      <c r="C259" s="10" t="s">
        <v>2766</v>
      </c>
      <c r="D259" s="10" t="s">
        <v>2766</v>
      </c>
      <c r="E259" s="10" t="s">
        <v>2766</v>
      </c>
      <c r="F259" s="10" t="s">
        <v>2799</v>
      </c>
      <c r="G259" s="10" t="s">
        <v>1126</v>
      </c>
      <c r="H259" s="10" t="s">
        <v>2768</v>
      </c>
      <c r="I259" s="11" t="s">
        <v>575</v>
      </c>
    </row>
    <row r="260" spans="1:9" ht="45" customHeight="1">
      <c r="A260" s="8" t="s">
        <v>3182</v>
      </c>
      <c r="B260" s="8" t="s">
        <v>2522</v>
      </c>
      <c r="C260" s="8" t="s">
        <v>2766</v>
      </c>
      <c r="D260" s="8" t="s">
        <v>2766</v>
      </c>
      <c r="E260" s="8" t="s">
        <v>2766</v>
      </c>
      <c r="F260" s="8" t="s">
        <v>2767</v>
      </c>
      <c r="G260" s="8" t="s">
        <v>1161</v>
      </c>
      <c r="H260" s="8" t="s">
        <v>2768</v>
      </c>
      <c r="I260" s="9" t="s">
        <v>2769</v>
      </c>
    </row>
    <row r="261" spans="1:9" ht="45" customHeight="1">
      <c r="A261" s="10" t="s">
        <v>3183</v>
      </c>
      <c r="B261" s="10" t="s">
        <v>2525</v>
      </c>
      <c r="C261" s="10" t="s">
        <v>2766</v>
      </c>
      <c r="D261" s="10" t="s">
        <v>2766</v>
      </c>
      <c r="E261" s="10" t="s">
        <v>2766</v>
      </c>
      <c r="F261" s="10" t="s">
        <v>2780</v>
      </c>
      <c r="G261" s="10" t="s">
        <v>1126</v>
      </c>
      <c r="H261" s="10" t="s">
        <v>2768</v>
      </c>
      <c r="I261" s="11" t="s">
        <v>2781</v>
      </c>
    </row>
    <row r="262" spans="1:9" ht="34" customHeight="1">
      <c r="A262" s="8" t="s">
        <v>3184</v>
      </c>
      <c r="B262" s="8" t="s">
        <v>2530</v>
      </c>
      <c r="C262" s="8" t="s">
        <v>2770</v>
      </c>
      <c r="D262" s="8" t="s">
        <v>2770</v>
      </c>
      <c r="E262" s="8" t="s">
        <v>2770</v>
      </c>
      <c r="F262" s="8" t="s">
        <v>2771</v>
      </c>
      <c r="G262" s="12" t="s">
        <v>1136</v>
      </c>
      <c r="H262" s="12" t="s">
        <v>2772</v>
      </c>
      <c r="I262" s="9" t="s">
        <v>2769</v>
      </c>
    </row>
    <row r="263" spans="1:9" ht="45" customHeight="1">
      <c r="A263" s="10" t="s">
        <v>3185</v>
      </c>
      <c r="B263" s="10" t="s">
        <v>2558</v>
      </c>
      <c r="C263" s="10" t="s">
        <v>2766</v>
      </c>
      <c r="D263" s="10" t="s">
        <v>2766</v>
      </c>
      <c r="E263" s="10" t="s">
        <v>2766</v>
      </c>
      <c r="F263" s="10" t="s">
        <v>2767</v>
      </c>
      <c r="G263" s="10" t="s">
        <v>1126</v>
      </c>
      <c r="H263" s="10" t="s">
        <v>2768</v>
      </c>
      <c r="I263" s="11" t="s">
        <v>2769</v>
      </c>
    </row>
    <row r="264" spans="1:9" ht="45" customHeight="1">
      <c r="A264" s="8" t="s">
        <v>3186</v>
      </c>
      <c r="B264" s="8" t="s">
        <v>2561</v>
      </c>
      <c r="C264" s="8" t="s">
        <v>2766</v>
      </c>
      <c r="D264" s="8" t="s">
        <v>2766</v>
      </c>
      <c r="E264" s="8" t="s">
        <v>2766</v>
      </c>
      <c r="F264" s="8" t="s">
        <v>2767</v>
      </c>
      <c r="G264" s="8" t="s">
        <v>1126</v>
      </c>
      <c r="H264" s="8" t="s">
        <v>2768</v>
      </c>
      <c r="I264" s="9" t="s">
        <v>2769</v>
      </c>
    </row>
    <row r="265" spans="1:9" ht="34" customHeight="1">
      <c r="A265" s="10" t="s">
        <v>3187</v>
      </c>
      <c r="B265" s="10" t="s">
        <v>2564</v>
      </c>
      <c r="C265" s="10" t="s">
        <v>2770</v>
      </c>
      <c r="D265" s="10" t="s">
        <v>2770</v>
      </c>
      <c r="E265" s="10" t="s">
        <v>2770</v>
      </c>
      <c r="F265" s="10" t="s">
        <v>2771</v>
      </c>
      <c r="G265" s="12" t="s">
        <v>1136</v>
      </c>
      <c r="H265" s="12" t="s">
        <v>2772</v>
      </c>
      <c r="I265" s="11" t="s">
        <v>2769</v>
      </c>
    </row>
    <row r="266" spans="1:9" ht="34" customHeight="1">
      <c r="A266" s="8" t="s">
        <v>3188</v>
      </c>
      <c r="B266" s="8" t="s">
        <v>2570</v>
      </c>
      <c r="C266" s="8" t="s">
        <v>2770</v>
      </c>
      <c r="D266" s="8" t="s">
        <v>2770</v>
      </c>
      <c r="E266" s="8" t="s">
        <v>2770</v>
      </c>
      <c r="F266" s="8" t="s">
        <v>2771</v>
      </c>
      <c r="G266" s="12" t="s">
        <v>1136</v>
      </c>
      <c r="H266" s="12" t="s">
        <v>2772</v>
      </c>
      <c r="I266" s="9" t="s">
        <v>2769</v>
      </c>
    </row>
    <row r="267" spans="1:9" ht="45" customHeight="1">
      <c r="A267" s="10" t="s">
        <v>3189</v>
      </c>
      <c r="B267" s="10" t="s">
        <v>2573</v>
      </c>
      <c r="C267" s="10" t="s">
        <v>2766</v>
      </c>
      <c r="D267" s="10" t="s">
        <v>2766</v>
      </c>
      <c r="E267" s="10" t="s">
        <v>2766</v>
      </c>
      <c r="F267" s="10" t="s">
        <v>2767</v>
      </c>
      <c r="G267" s="10" t="s">
        <v>1161</v>
      </c>
      <c r="H267" s="10" t="s">
        <v>2768</v>
      </c>
      <c r="I267" s="11" t="s">
        <v>2769</v>
      </c>
    </row>
    <row r="268" spans="1:9" ht="45" customHeight="1">
      <c r="A268" s="8" t="s">
        <v>3190</v>
      </c>
      <c r="B268" s="8" t="s">
        <v>2576</v>
      </c>
      <c r="C268" s="8" t="s">
        <v>2766</v>
      </c>
      <c r="D268" s="8" t="s">
        <v>2766</v>
      </c>
      <c r="E268" s="8" t="s">
        <v>2766</v>
      </c>
      <c r="F268" s="8" t="s">
        <v>2850</v>
      </c>
      <c r="G268" s="8" t="s">
        <v>1126</v>
      </c>
      <c r="H268" s="8" t="s">
        <v>2768</v>
      </c>
      <c r="I268" s="9" t="s">
        <v>1087</v>
      </c>
    </row>
    <row r="269" spans="1:9" ht="45" customHeight="1">
      <c r="A269" s="10" t="s">
        <v>3191</v>
      </c>
      <c r="B269" s="10" t="s">
        <v>2579</v>
      </c>
      <c r="C269" s="10" t="s">
        <v>1285</v>
      </c>
      <c r="D269" s="10" t="s">
        <v>1285</v>
      </c>
      <c r="E269" s="10" t="s">
        <v>1285</v>
      </c>
      <c r="F269" s="10" t="s">
        <v>2889</v>
      </c>
      <c r="G269" s="10" t="s">
        <v>1126</v>
      </c>
      <c r="H269" s="10" t="s">
        <v>2775</v>
      </c>
      <c r="I269" s="11" t="s">
        <v>1087</v>
      </c>
    </row>
    <row r="270" spans="1:9" ht="34" customHeight="1">
      <c r="A270" s="8" t="s">
        <v>3192</v>
      </c>
      <c r="B270" s="8" t="s">
        <v>2582</v>
      </c>
      <c r="C270" s="8" t="s">
        <v>2770</v>
      </c>
      <c r="D270" s="8" t="s">
        <v>2770</v>
      </c>
      <c r="E270" s="8" t="s">
        <v>2770</v>
      </c>
      <c r="F270" s="8" t="s">
        <v>2771</v>
      </c>
      <c r="G270" s="12" t="s">
        <v>1136</v>
      </c>
      <c r="H270" s="12" t="s">
        <v>2772</v>
      </c>
      <c r="I270" s="9" t="s">
        <v>1087</v>
      </c>
    </row>
    <row r="271" spans="1:9" ht="34" customHeight="1">
      <c r="A271" s="10" t="s">
        <v>3193</v>
      </c>
      <c r="B271" s="10" t="s">
        <v>2587</v>
      </c>
      <c r="C271" s="10" t="s">
        <v>2770</v>
      </c>
      <c r="D271" s="10" t="s">
        <v>2770</v>
      </c>
      <c r="E271" s="10" t="s">
        <v>2770</v>
      </c>
      <c r="F271" s="10" t="s">
        <v>2771</v>
      </c>
      <c r="G271" s="12" t="s">
        <v>1136</v>
      </c>
      <c r="H271" s="12" t="s">
        <v>2772</v>
      </c>
      <c r="I271" s="11" t="s">
        <v>2769</v>
      </c>
    </row>
    <row r="272" spans="1:9" ht="45" customHeight="1">
      <c r="A272" s="8" t="s">
        <v>3194</v>
      </c>
      <c r="B272" s="8" t="s">
        <v>2592</v>
      </c>
      <c r="C272" s="8" t="s">
        <v>2766</v>
      </c>
      <c r="D272" s="8" t="s">
        <v>2766</v>
      </c>
      <c r="E272" s="8" t="s">
        <v>2766</v>
      </c>
      <c r="F272" s="8" t="s">
        <v>2780</v>
      </c>
      <c r="G272" s="8" t="s">
        <v>1126</v>
      </c>
      <c r="H272" s="8" t="s">
        <v>2768</v>
      </c>
      <c r="I272" s="9" t="s">
        <v>2781</v>
      </c>
    </row>
    <row r="273" spans="1:9" ht="45" customHeight="1">
      <c r="A273" s="10" t="s">
        <v>3195</v>
      </c>
      <c r="B273" s="10" t="s">
        <v>2599</v>
      </c>
      <c r="C273" s="10" t="s">
        <v>2766</v>
      </c>
      <c r="D273" s="10" t="s">
        <v>2766</v>
      </c>
      <c r="E273" s="10" t="s">
        <v>2766</v>
      </c>
      <c r="F273" s="10" t="s">
        <v>2816</v>
      </c>
      <c r="G273" s="10" t="s">
        <v>1126</v>
      </c>
      <c r="H273" s="10" t="s">
        <v>2768</v>
      </c>
      <c r="I273" s="11" t="s">
        <v>605</v>
      </c>
    </row>
    <row r="274" spans="1:9" ht="95" customHeight="1">
      <c r="A274" s="8" t="s">
        <v>3196</v>
      </c>
      <c r="B274" s="8" t="s">
        <v>561</v>
      </c>
      <c r="C274" s="8" t="s">
        <v>2890</v>
      </c>
      <c r="D274" s="8" t="s">
        <v>2890</v>
      </c>
      <c r="E274" s="8" t="s">
        <v>2890</v>
      </c>
      <c r="F274" s="8" t="s">
        <v>2891</v>
      </c>
      <c r="G274" s="8" t="s">
        <v>1126</v>
      </c>
      <c r="H274" s="8" t="s">
        <v>2775</v>
      </c>
      <c r="I274" s="9" t="s">
        <v>605</v>
      </c>
    </row>
    <row r="275" spans="1:9" ht="45" customHeight="1">
      <c r="A275" s="10" t="s">
        <v>3197</v>
      </c>
      <c r="B275" s="10" t="s">
        <v>2606</v>
      </c>
      <c r="C275" s="10" t="s">
        <v>2766</v>
      </c>
      <c r="D275" s="10" t="s">
        <v>2766</v>
      </c>
      <c r="E275" s="10" t="s">
        <v>2766</v>
      </c>
      <c r="F275" s="10" t="s">
        <v>2816</v>
      </c>
      <c r="G275" s="10" t="s">
        <v>1126</v>
      </c>
      <c r="H275" s="10" t="s">
        <v>2768</v>
      </c>
      <c r="I275" s="11" t="s">
        <v>605</v>
      </c>
    </row>
    <row r="276" spans="1:9" ht="45" customHeight="1">
      <c r="A276" s="8" t="s">
        <v>3198</v>
      </c>
      <c r="B276" s="8" t="s">
        <v>2613</v>
      </c>
      <c r="C276" s="8" t="s">
        <v>2766</v>
      </c>
      <c r="D276" s="8" t="s">
        <v>2766</v>
      </c>
      <c r="E276" s="8" t="s">
        <v>2766</v>
      </c>
      <c r="F276" s="8" t="s">
        <v>2869</v>
      </c>
      <c r="G276" s="8" t="s">
        <v>1126</v>
      </c>
      <c r="H276" s="8" t="s">
        <v>2768</v>
      </c>
      <c r="I276" s="9" t="s">
        <v>2868</v>
      </c>
    </row>
    <row r="277" spans="1:9" ht="45" customHeight="1">
      <c r="A277" s="10" t="s">
        <v>3200</v>
      </c>
      <c r="B277" s="10" t="s">
        <v>2616</v>
      </c>
      <c r="C277" s="10" t="s">
        <v>2766</v>
      </c>
      <c r="D277" s="10" t="s">
        <v>2766</v>
      </c>
      <c r="E277" s="10" t="s">
        <v>2766</v>
      </c>
      <c r="F277" s="10" t="s">
        <v>2869</v>
      </c>
      <c r="G277" s="10" t="s">
        <v>1126</v>
      </c>
      <c r="H277" s="10" t="s">
        <v>2768</v>
      </c>
      <c r="I277" s="11" t="s">
        <v>2868</v>
      </c>
    </row>
    <row r="278" spans="1:9" ht="45" customHeight="1">
      <c r="A278" s="8" t="s">
        <v>3201</v>
      </c>
      <c r="B278" s="8" t="s">
        <v>2620</v>
      </c>
      <c r="C278" s="8" t="s">
        <v>2766</v>
      </c>
      <c r="D278" s="8" t="s">
        <v>2766</v>
      </c>
      <c r="E278" s="8" t="s">
        <v>2766</v>
      </c>
      <c r="F278" s="8" t="s">
        <v>2780</v>
      </c>
      <c r="G278" s="8" t="s">
        <v>1126</v>
      </c>
      <c r="H278" s="8" t="s">
        <v>2768</v>
      </c>
      <c r="I278" s="9" t="s">
        <v>2781</v>
      </c>
    </row>
    <row r="279" spans="1:9" ht="45" customHeight="1">
      <c r="A279" s="10" t="s">
        <v>3202</v>
      </c>
      <c r="B279" s="10" t="s">
        <v>2623</v>
      </c>
      <c r="C279" s="10" t="s">
        <v>2766</v>
      </c>
      <c r="D279" s="10" t="s">
        <v>2766</v>
      </c>
      <c r="E279" s="10" t="s">
        <v>2766</v>
      </c>
      <c r="F279" s="10" t="s">
        <v>2780</v>
      </c>
      <c r="G279" s="10" t="s">
        <v>1126</v>
      </c>
      <c r="H279" s="10" t="s">
        <v>2768</v>
      </c>
      <c r="I279" s="11" t="s">
        <v>2781</v>
      </c>
    </row>
    <row r="280" spans="1:9" ht="34" customHeight="1">
      <c r="A280" s="8" t="s">
        <v>3203</v>
      </c>
      <c r="B280" s="8" t="s">
        <v>2626</v>
      </c>
      <c r="C280" s="8" t="s">
        <v>2770</v>
      </c>
      <c r="D280" s="8" t="s">
        <v>2770</v>
      </c>
      <c r="E280" s="8" t="s">
        <v>2770</v>
      </c>
      <c r="F280" s="8" t="s">
        <v>2771</v>
      </c>
      <c r="G280" s="12" t="s">
        <v>1136</v>
      </c>
      <c r="H280" s="12" t="s">
        <v>2772</v>
      </c>
      <c r="I280" s="9" t="s">
        <v>2769</v>
      </c>
    </row>
    <row r="281" spans="1:9" ht="45" customHeight="1">
      <c r="A281" s="10" t="s">
        <v>3204</v>
      </c>
      <c r="B281" s="10" t="s">
        <v>2629</v>
      </c>
      <c r="C281" s="10" t="s">
        <v>2766</v>
      </c>
      <c r="D281" s="10" t="s">
        <v>2766</v>
      </c>
      <c r="E281" s="10" t="s">
        <v>2766</v>
      </c>
      <c r="F281" s="10" t="s">
        <v>2799</v>
      </c>
      <c r="G281" s="10" t="s">
        <v>1126</v>
      </c>
      <c r="H281" s="10" t="s">
        <v>2768</v>
      </c>
      <c r="I281" s="11" t="s">
        <v>575</v>
      </c>
    </row>
    <row r="282" spans="1:9" ht="45" customHeight="1">
      <c r="A282" s="8" t="s">
        <v>3205</v>
      </c>
      <c r="B282" s="8" t="s">
        <v>2632</v>
      </c>
      <c r="C282" s="8" t="s">
        <v>2766</v>
      </c>
      <c r="D282" s="8" t="s">
        <v>2766</v>
      </c>
      <c r="E282" s="8" t="s">
        <v>2766</v>
      </c>
      <c r="F282" s="8" t="s">
        <v>2799</v>
      </c>
      <c r="G282" s="8" t="s">
        <v>1126</v>
      </c>
      <c r="H282" s="8" t="s">
        <v>2768</v>
      </c>
      <c r="I282" s="9" t="s">
        <v>575</v>
      </c>
    </row>
    <row r="283" spans="1:9" ht="45" customHeight="1">
      <c r="A283" s="10" t="s">
        <v>3206</v>
      </c>
      <c r="B283" s="10" t="s">
        <v>2635</v>
      </c>
      <c r="C283" s="10" t="s">
        <v>2766</v>
      </c>
      <c r="D283" s="10" t="s">
        <v>2766</v>
      </c>
      <c r="E283" s="10" t="s">
        <v>2766</v>
      </c>
      <c r="F283" s="10" t="s">
        <v>2767</v>
      </c>
      <c r="G283" s="10" t="s">
        <v>1161</v>
      </c>
      <c r="H283" s="10" t="s">
        <v>2768</v>
      </c>
      <c r="I283" s="11" t="s">
        <v>2769</v>
      </c>
    </row>
    <row r="284" spans="1:9" ht="34" customHeight="1">
      <c r="A284" s="8" t="s">
        <v>3207</v>
      </c>
      <c r="B284" s="8" t="s">
        <v>2638</v>
      </c>
      <c r="C284" s="8" t="s">
        <v>2770</v>
      </c>
      <c r="D284" s="8" t="s">
        <v>2770</v>
      </c>
      <c r="E284" s="8" t="s">
        <v>2770</v>
      </c>
      <c r="F284" s="8" t="s">
        <v>2771</v>
      </c>
      <c r="G284" s="12" t="s">
        <v>1136</v>
      </c>
      <c r="H284" s="12" t="s">
        <v>2772</v>
      </c>
      <c r="I284" s="9" t="s">
        <v>2781</v>
      </c>
    </row>
    <row r="285" spans="1:9" ht="34" customHeight="1">
      <c r="A285" s="10" t="s">
        <v>3208</v>
      </c>
      <c r="B285" s="10" t="s">
        <v>2642</v>
      </c>
      <c r="C285" s="10" t="s">
        <v>2828</v>
      </c>
      <c r="D285" s="10" t="s">
        <v>2828</v>
      </c>
      <c r="E285" s="10" t="s">
        <v>2828</v>
      </c>
      <c r="F285" s="10" t="s">
        <v>2829</v>
      </c>
      <c r="G285" s="10" t="s">
        <v>1635</v>
      </c>
      <c r="H285" s="10" t="s">
        <v>2830</v>
      </c>
      <c r="I285" s="11" t="s">
        <v>556</v>
      </c>
    </row>
    <row r="286" spans="1:9" ht="34" customHeight="1">
      <c r="A286" s="8" t="s">
        <v>3209</v>
      </c>
      <c r="B286" s="8" t="s">
        <v>2647</v>
      </c>
      <c r="C286" s="8" t="s">
        <v>2828</v>
      </c>
      <c r="D286" s="8" t="s">
        <v>2828</v>
      </c>
      <c r="E286" s="8" t="s">
        <v>2828</v>
      </c>
      <c r="F286" s="8" t="s">
        <v>2829</v>
      </c>
      <c r="G286" s="8" t="s">
        <v>1635</v>
      </c>
      <c r="H286" s="8" t="s">
        <v>2830</v>
      </c>
      <c r="I286" s="9" t="s">
        <v>556</v>
      </c>
    </row>
    <row r="287" spans="1:9" ht="45" customHeight="1">
      <c r="A287" s="10" t="s">
        <v>3210</v>
      </c>
      <c r="B287" s="10" t="s">
        <v>2653</v>
      </c>
      <c r="C287" s="10" t="s">
        <v>2766</v>
      </c>
      <c r="D287" s="10" t="s">
        <v>2766</v>
      </c>
      <c r="E287" s="10" t="s">
        <v>2766</v>
      </c>
      <c r="F287" s="10" t="s">
        <v>2780</v>
      </c>
      <c r="G287" s="10" t="s">
        <v>1161</v>
      </c>
      <c r="H287" s="10" t="s">
        <v>2768</v>
      </c>
      <c r="I287" s="11" t="s">
        <v>2781</v>
      </c>
    </row>
    <row r="288" spans="1:9" ht="45" customHeight="1">
      <c r="A288" s="8" t="s">
        <v>3211</v>
      </c>
      <c r="B288" s="8" t="s">
        <v>2657</v>
      </c>
      <c r="C288" s="8" t="s">
        <v>2766</v>
      </c>
      <c r="D288" s="8" t="s">
        <v>2766</v>
      </c>
      <c r="E288" s="8" t="s">
        <v>2766</v>
      </c>
      <c r="F288" s="8" t="s">
        <v>2780</v>
      </c>
      <c r="G288" s="8" t="s">
        <v>1126</v>
      </c>
      <c r="H288" s="8" t="s">
        <v>2768</v>
      </c>
      <c r="I288" s="9" t="s">
        <v>2781</v>
      </c>
    </row>
    <row r="289" spans="1:9" ht="45" customHeight="1">
      <c r="A289" s="10" t="s">
        <v>3212</v>
      </c>
      <c r="B289" s="10" t="s">
        <v>2660</v>
      </c>
      <c r="C289" s="10" t="s">
        <v>2766</v>
      </c>
      <c r="D289" s="10" t="s">
        <v>2766</v>
      </c>
      <c r="E289" s="10" t="s">
        <v>2766</v>
      </c>
      <c r="F289" s="10" t="s">
        <v>2780</v>
      </c>
      <c r="G289" s="10" t="s">
        <v>1126</v>
      </c>
      <c r="H289" s="10" t="s">
        <v>2768</v>
      </c>
      <c r="I289" s="11" t="s">
        <v>2781</v>
      </c>
    </row>
    <row r="290" spans="1:9" ht="45" customHeight="1">
      <c r="A290" s="8" t="s">
        <v>3213</v>
      </c>
      <c r="B290" s="8" t="s">
        <v>2664</v>
      </c>
      <c r="C290" s="8" t="s">
        <v>2766</v>
      </c>
      <c r="D290" s="8" t="s">
        <v>2766</v>
      </c>
      <c r="E290" s="8" t="s">
        <v>2766</v>
      </c>
      <c r="F290" s="8" t="s">
        <v>2780</v>
      </c>
      <c r="G290" s="8" t="s">
        <v>1126</v>
      </c>
      <c r="H290" s="8" t="s">
        <v>2768</v>
      </c>
      <c r="I290" s="9" t="s">
        <v>2781</v>
      </c>
    </row>
    <row r="291" spans="1:9" ht="45" customHeight="1">
      <c r="A291" s="10" t="s">
        <v>3214</v>
      </c>
      <c r="B291" s="10" t="s">
        <v>2669</v>
      </c>
      <c r="C291" s="10" t="s">
        <v>2766</v>
      </c>
      <c r="D291" s="10" t="s">
        <v>2766</v>
      </c>
      <c r="E291" s="10" t="s">
        <v>2766</v>
      </c>
      <c r="F291" s="10" t="s">
        <v>2780</v>
      </c>
      <c r="G291" s="10" t="s">
        <v>1126</v>
      </c>
      <c r="H291" s="10" t="s">
        <v>2768</v>
      </c>
      <c r="I291" s="11" t="s">
        <v>2781</v>
      </c>
    </row>
    <row r="292" spans="1:9" ht="45" customHeight="1">
      <c r="A292" s="8" t="s">
        <v>3215</v>
      </c>
      <c r="B292" s="8" t="s">
        <v>2672</v>
      </c>
      <c r="C292" s="8" t="s">
        <v>2766</v>
      </c>
      <c r="D292" s="8" t="s">
        <v>2766</v>
      </c>
      <c r="E292" s="8" t="s">
        <v>2766</v>
      </c>
      <c r="F292" s="8" t="s">
        <v>2780</v>
      </c>
      <c r="G292" s="8" t="s">
        <v>1126</v>
      </c>
      <c r="H292" s="8" t="s">
        <v>2768</v>
      </c>
      <c r="I292" s="9" t="s">
        <v>2781</v>
      </c>
    </row>
    <row r="293" spans="1:9" ht="34" customHeight="1">
      <c r="A293" s="10" t="s">
        <v>3216</v>
      </c>
      <c r="B293" s="10" t="s">
        <v>2676</v>
      </c>
      <c r="C293" s="10" t="s">
        <v>2770</v>
      </c>
      <c r="D293" s="10" t="s">
        <v>2770</v>
      </c>
      <c r="E293" s="10" t="s">
        <v>2770</v>
      </c>
      <c r="F293" s="10" t="s">
        <v>2771</v>
      </c>
      <c r="G293" s="12" t="s">
        <v>1136</v>
      </c>
      <c r="H293" s="12" t="s">
        <v>2772</v>
      </c>
      <c r="I293" s="11" t="s">
        <v>2769</v>
      </c>
    </row>
    <row r="294" spans="1:9" ht="45" customHeight="1">
      <c r="A294" s="8" t="s">
        <v>3217</v>
      </c>
      <c r="B294" s="8" t="s">
        <v>2682</v>
      </c>
      <c r="C294" s="8" t="s">
        <v>2766</v>
      </c>
      <c r="D294" s="8" t="s">
        <v>2766</v>
      </c>
      <c r="E294" s="8" t="s">
        <v>2766</v>
      </c>
      <c r="F294" s="8" t="s">
        <v>2767</v>
      </c>
      <c r="G294" s="8" t="s">
        <v>1161</v>
      </c>
      <c r="H294" s="8" t="s">
        <v>2768</v>
      </c>
      <c r="I294" s="9" t="s">
        <v>2769</v>
      </c>
    </row>
    <row r="295" spans="1:9" ht="34" customHeight="1">
      <c r="A295" s="10" t="s">
        <v>3218</v>
      </c>
      <c r="B295" s="10" t="s">
        <v>2699</v>
      </c>
      <c r="C295" s="10" t="s">
        <v>2770</v>
      </c>
      <c r="D295" s="10" t="s">
        <v>2770</v>
      </c>
      <c r="E295" s="10" t="s">
        <v>2770</v>
      </c>
      <c r="F295" s="10" t="s">
        <v>2771</v>
      </c>
      <c r="G295" s="12" t="s">
        <v>1136</v>
      </c>
      <c r="H295" s="12" t="s">
        <v>2772</v>
      </c>
      <c r="I295" s="11" t="s">
        <v>2769</v>
      </c>
    </row>
    <row r="296" spans="1:9" ht="45" customHeight="1">
      <c r="A296" s="8" t="s">
        <v>3219</v>
      </c>
      <c r="B296" s="8" t="s">
        <v>2703</v>
      </c>
      <c r="C296" s="8" t="s">
        <v>2766</v>
      </c>
      <c r="D296" s="8" t="s">
        <v>2766</v>
      </c>
      <c r="E296" s="8" t="s">
        <v>2766</v>
      </c>
      <c r="F296" s="8" t="s">
        <v>2780</v>
      </c>
      <c r="G296" s="8" t="s">
        <v>1126</v>
      </c>
      <c r="H296" s="8" t="s">
        <v>2768</v>
      </c>
      <c r="I296" s="9" t="s">
        <v>2781</v>
      </c>
    </row>
    <row r="297" spans="1:9" ht="45" customHeight="1">
      <c r="A297" s="10" t="s">
        <v>3220</v>
      </c>
      <c r="B297" s="10" t="s">
        <v>2707</v>
      </c>
      <c r="C297" s="10" t="s">
        <v>2766</v>
      </c>
      <c r="D297" s="10" t="s">
        <v>2766</v>
      </c>
      <c r="E297" s="10" t="s">
        <v>2766</v>
      </c>
      <c r="F297" s="10" t="s">
        <v>2767</v>
      </c>
      <c r="G297" s="10" t="s">
        <v>1126</v>
      </c>
      <c r="H297" s="10" t="s">
        <v>2768</v>
      </c>
      <c r="I297" s="11" t="s">
        <v>2769</v>
      </c>
    </row>
    <row r="298" spans="1:9" ht="45" customHeight="1">
      <c r="A298" s="8" t="s">
        <v>3221</v>
      </c>
      <c r="B298" s="8" t="s">
        <v>2710</v>
      </c>
      <c r="C298" s="8" t="s">
        <v>2894</v>
      </c>
      <c r="D298" s="8" t="s">
        <v>2895</v>
      </c>
      <c r="E298" s="8" t="s">
        <v>2894</v>
      </c>
      <c r="F298" s="8" t="s">
        <v>2896</v>
      </c>
      <c r="G298" s="8" t="s">
        <v>1126</v>
      </c>
      <c r="H298" s="8" t="s">
        <v>2775</v>
      </c>
      <c r="I298" s="9" t="s">
        <v>605</v>
      </c>
    </row>
    <row r="299" spans="1:9" ht="45" customHeight="1">
      <c r="A299" s="10" t="s">
        <v>3222</v>
      </c>
      <c r="B299" s="10" t="s">
        <v>2715</v>
      </c>
      <c r="C299" s="10" t="s">
        <v>2766</v>
      </c>
      <c r="D299" s="10" t="s">
        <v>2766</v>
      </c>
      <c r="E299" s="10" t="s">
        <v>2766</v>
      </c>
      <c r="F299" s="10" t="s">
        <v>2767</v>
      </c>
      <c r="G299" s="10" t="s">
        <v>1126</v>
      </c>
      <c r="H299" s="10" t="s">
        <v>2768</v>
      </c>
      <c r="I299" s="11" t="s">
        <v>2769</v>
      </c>
    </row>
    <row r="300" spans="1:9" ht="45" customHeight="1">
      <c r="A300" s="8" t="s">
        <v>3223</v>
      </c>
      <c r="B300" s="8" t="s">
        <v>2718</v>
      </c>
      <c r="C300" s="8" t="s">
        <v>2766</v>
      </c>
      <c r="D300" s="8" t="s">
        <v>2766</v>
      </c>
      <c r="E300" s="8" t="s">
        <v>2766</v>
      </c>
      <c r="F300" s="8" t="s">
        <v>2767</v>
      </c>
      <c r="G300" s="8" t="s">
        <v>1126</v>
      </c>
      <c r="H300" s="8" t="s">
        <v>2768</v>
      </c>
      <c r="I300" s="9" t="s">
        <v>2769</v>
      </c>
    </row>
    <row r="301" spans="1:9" ht="34" customHeight="1">
      <c r="A301" s="10" t="s">
        <v>3224</v>
      </c>
      <c r="B301" s="10" t="s">
        <v>2721</v>
      </c>
      <c r="C301" s="10" t="s">
        <v>2770</v>
      </c>
      <c r="D301" s="10" t="s">
        <v>2770</v>
      </c>
      <c r="E301" s="10" t="s">
        <v>2770</v>
      </c>
      <c r="F301" s="10" t="s">
        <v>2771</v>
      </c>
      <c r="G301" s="12" t="s">
        <v>1136</v>
      </c>
      <c r="H301" s="12" t="s">
        <v>2772</v>
      </c>
      <c r="I301" s="11" t="s">
        <v>2868</v>
      </c>
    </row>
    <row r="302" spans="1:9" ht="45" customHeight="1">
      <c r="A302" s="8" t="s">
        <v>3225</v>
      </c>
      <c r="B302" s="8" t="s">
        <v>606</v>
      </c>
      <c r="C302" s="8" t="s">
        <v>608</v>
      </c>
      <c r="D302" s="8" t="s">
        <v>609</v>
      </c>
      <c r="E302" s="8" t="s">
        <v>2846</v>
      </c>
      <c r="F302" s="8" t="s">
        <v>2901</v>
      </c>
      <c r="G302" s="8" t="s">
        <v>1126</v>
      </c>
      <c r="H302" s="8" t="s">
        <v>2775</v>
      </c>
      <c r="I302" s="9" t="s">
        <v>2902</v>
      </c>
    </row>
    <row r="303" spans="1:9" ht="45" customHeight="1">
      <c r="A303" s="10" t="s">
        <v>3227</v>
      </c>
      <c r="B303" s="10" t="s">
        <v>2753</v>
      </c>
      <c r="C303" s="10" t="s">
        <v>2766</v>
      </c>
      <c r="D303" s="10" t="s">
        <v>2766</v>
      </c>
      <c r="E303" s="10" t="s">
        <v>2766</v>
      </c>
      <c r="F303" s="10" t="s">
        <v>2767</v>
      </c>
      <c r="G303" s="10" t="s">
        <v>1126</v>
      </c>
      <c r="H303" s="10" t="s">
        <v>2768</v>
      </c>
      <c r="I303" s="11" t="s">
        <v>2769</v>
      </c>
    </row>
    <row r="304" spans="1:9" ht="45" customHeight="1">
      <c r="A304" s="8" t="s">
        <v>3228</v>
      </c>
      <c r="B304" s="8" t="s">
        <v>2756</v>
      </c>
      <c r="C304" s="8" t="s">
        <v>2766</v>
      </c>
      <c r="D304" s="8" t="s">
        <v>2766</v>
      </c>
      <c r="E304" s="8" t="s">
        <v>2766</v>
      </c>
      <c r="F304" s="8" t="s">
        <v>2767</v>
      </c>
      <c r="G304" s="8" t="s">
        <v>1126</v>
      </c>
      <c r="H304" s="8" t="s">
        <v>2768</v>
      </c>
      <c r="I304" s="9" t="s">
        <v>2769</v>
      </c>
    </row>
  </sheetData>
  <autoFilter ref="A5:I304"/>
  <mergeCells count="2">
    <mergeCell ref="A1:I2"/>
    <mergeCell ref="A3:I3"/>
  </mergeCells>
  <hyperlinks>
    <hyperlink ref="I6" location="'90_公式出典'!A25" display="S20 S53"/>
    <hyperlink ref="I7" location="'90_公式出典'!A25" display="S20 S53"/>
    <hyperlink ref="I8" location="'90_公式出典'!A25" display="S20 S53"/>
    <hyperlink ref="I9" location="'90_公式出典'!A25" display="S20"/>
    <hyperlink ref="I10" location="'90_公式出典'!A25" display="S20 S53"/>
    <hyperlink ref="I11" location="'90_公式出典'!A25" display="S20 S53"/>
    <hyperlink ref="I12" location="'90_公式出典'!A25" display="S20 S53"/>
    <hyperlink ref="I13" location="'90_公式出典'!A22" display="S17 S38"/>
    <hyperlink ref="I14" location="'90_公式出典'!A25" display="S20"/>
    <hyperlink ref="I15" location="'90_公式出典'!A66" display="S61"/>
    <hyperlink ref="I16" location="'90_公式出典'!A9" display="S04"/>
    <hyperlink ref="I17" location="'90_公式出典'!A25" display="S20 S53"/>
    <hyperlink ref="I18" location="'90_公式出典'!A61" display="S56 S57"/>
    <hyperlink ref="I19" location="'90_公式出典'!A25" display="S20 S53"/>
    <hyperlink ref="I20" location="'90_公式出典'!A27" display="S22"/>
    <hyperlink ref="I21" location="'90_公式出典'!A15" display="S10"/>
    <hyperlink ref="I22" location="'90_公式出典'!A25" display="S20 S53"/>
    <hyperlink ref="I23" location="'90_公式出典'!A25" display="S20 S53"/>
    <hyperlink ref="I24" location="'90_公式出典'!A25" display="S20 S53"/>
    <hyperlink ref="I25" location="'90_公式出典'!A25" display="S20 S15"/>
    <hyperlink ref="I26" location="'90_公式出典'!A25" display="S20 S15"/>
    <hyperlink ref="I27" location="'90_公式出典'!A25" display="S20 S15"/>
    <hyperlink ref="I28" location="'90_公式出典'!A25" display="S20 S15"/>
    <hyperlink ref="I29" location="'90_公式出典'!A25" display="S20 S15"/>
    <hyperlink ref="I30" location="'90_公式出典'!A25" display="S20 S15"/>
    <hyperlink ref="I31" location="'90_公式出典'!A25" display="S20 S53"/>
    <hyperlink ref="I32" location="'90_公式出典'!A25" display="S20 S53"/>
    <hyperlink ref="I33" location="'90_公式出典'!A58" display="S53"/>
    <hyperlink ref="I34" location="'90_公式出典'!A25" display="S20 S53"/>
    <hyperlink ref="I35" location="'90_公式出典'!A58" display="S53"/>
    <hyperlink ref="I36" location="'90_公式出典'!A25" display="S20 S53"/>
    <hyperlink ref="I37" location="'90_公式出典'!A25" display="S20 S53"/>
    <hyperlink ref="I38" location="'90_公式出典'!A25" display="S20 S53"/>
    <hyperlink ref="I39" location="'90_公式出典'!A25" display="S20 S53"/>
    <hyperlink ref="I40" location="'90_公式出典'!A25" display="S20 S53"/>
    <hyperlink ref="I41" location="'90_公式出典'!A25" display="S20 S53"/>
    <hyperlink ref="I42" location="'90_公式出典'!A25" display="S20 S53"/>
    <hyperlink ref="I43" location="'90_公式出典'!A25" display="S20 S53"/>
    <hyperlink ref="I44" location="'90_公式出典'!A25" display="S20 S53"/>
    <hyperlink ref="I45" location="'90_公式出典'!A25" display="S20 S53"/>
    <hyperlink ref="I46" location="'90_公式出典'!A58" display="S53"/>
    <hyperlink ref="I47" location="'90_公式出典'!A25" display="S20 S53"/>
    <hyperlink ref="I48" location="'90_公式出典'!A25" display="S20 S53"/>
    <hyperlink ref="I49" location="'90_公式出典'!A25" display="S20 S53"/>
    <hyperlink ref="I50" location="'90_公式出典'!A25" display="S20 S53"/>
    <hyperlink ref="I51" location="'90_公式出典'!A25" display="S20 S53"/>
    <hyperlink ref="I52" location="'90_公式出典'!A25" display="S20 S53"/>
    <hyperlink ref="I53" location="'90_公式出典'!A25" display="S20 S53"/>
    <hyperlink ref="I54" location="'90_公式出典'!A25" display="S20 S53"/>
    <hyperlink ref="I55" location="'90_公式出典'!A25" display="S20 S53"/>
    <hyperlink ref="I56" location="'90_公式出典'!A25" display="S20"/>
    <hyperlink ref="I57" location="'90_公式出典'!A25" display="S20"/>
    <hyperlink ref="I58" location="'90_公式出典'!A25" display="S20 S53"/>
    <hyperlink ref="I59" location="'90_公式出典'!A58" display="S53"/>
    <hyperlink ref="I60" location="'90_公式出典'!A22" display="S17 S38"/>
    <hyperlink ref="I61" location="'90_公式出典'!A25" display="S20 S53"/>
    <hyperlink ref="I62" location="'90_公式出典'!A13" display="S08"/>
    <hyperlink ref="I63" location="'90_公式出典'!A59" display="S54 S35"/>
    <hyperlink ref="I64" location="'90_公式出典'!A59" display="S54 S35"/>
    <hyperlink ref="I65" location="'90_公式出典'!A59" display="S54 S35"/>
    <hyperlink ref="I66" location="'90_公式出典'!A22" display="S17 S38"/>
    <hyperlink ref="I67" location="'90_公式出典'!A22" display="S17 S38"/>
    <hyperlink ref="I68" location="'90_公式出典'!A22" display="S17 S38"/>
    <hyperlink ref="I69" location="'90_公式出典'!A22" display="S17 S38"/>
    <hyperlink ref="I70" location="'90_公式出典'!A22" display="S17 S38"/>
    <hyperlink ref="I71" location="'90_公式出典'!A22" display="S17 S38"/>
    <hyperlink ref="I72" location="'90_公式出典'!A22" display="S17"/>
    <hyperlink ref="I73" location="'90_公式出典'!A22" display="S17 S38"/>
    <hyperlink ref="I74" location="'90_公式出典'!A59" display="S54 S35"/>
    <hyperlink ref="I75" location="'90_公式出典'!A59" display="S54"/>
    <hyperlink ref="I76" location="'90_公式出典'!A59" display="S54 S35"/>
    <hyperlink ref="I77" location="'90_公式出典'!A58" display="S53 S54"/>
    <hyperlink ref="I78" location="'90_公式出典'!A59" display="S54 S35"/>
    <hyperlink ref="I79" location="'90_公式出典'!A59" display="S54 S35"/>
    <hyperlink ref="I80" location="'90_公式出典'!A59" display="S54 S35"/>
    <hyperlink ref="I81" location="'90_公式出典'!A59" display="S54"/>
    <hyperlink ref="I82" location="'90_公式出典'!A59" display="S54"/>
    <hyperlink ref="I83" location="'90_公式出典'!A59" display="S54"/>
    <hyperlink ref="I84" location="'90_公式出典'!A59" display="S54"/>
    <hyperlink ref="I85" location="'90_公式出典'!A59" display="S54"/>
    <hyperlink ref="I86" location="'90_公式出典'!A59" display="S54 S35"/>
    <hyperlink ref="I87" location="'90_公式出典'!A59" display="S54 S35"/>
    <hyperlink ref="I88" location="'90_公式出典'!A59" display="S54"/>
    <hyperlink ref="I89" location="'90_公式出典'!A59" display="S54 S35"/>
    <hyperlink ref="I90" location="'90_公式出典'!A59" display="S54 S35"/>
    <hyperlink ref="I91" location="'90_公式出典'!A59" display="S54 S35"/>
    <hyperlink ref="I92" location="'90_公式出典'!A59" display="S54 S35"/>
    <hyperlink ref="I93" location="'90_公式出典'!A59" display="S54 S35"/>
    <hyperlink ref="I94" location="'90_公式出典'!A59" display="S54 S35"/>
    <hyperlink ref="I95" location="'90_公式出典'!A59" display="S54 S35"/>
    <hyperlink ref="I96" location="'90_公式出典'!A59" display="S54 S35"/>
    <hyperlink ref="I97" location="'90_公式出典'!A59" display="S54 S35"/>
    <hyperlink ref="I98" location="'90_公式出典'!A59" display="S54 S35"/>
    <hyperlink ref="I99" location="'90_公式出典'!A59" display="S54 S35"/>
    <hyperlink ref="I100" location="'90_公式出典'!A59" display="S54 S35"/>
    <hyperlink ref="I101" location="'90_公式出典'!A59" display="S54 S35"/>
    <hyperlink ref="I102" location="'90_公式出典'!A25" display="S20"/>
    <hyperlink ref="I103" location="'90_公式出典'!A59" display="S54 S35"/>
    <hyperlink ref="I104" location="'90_公式出典'!A59" display="S54 S35"/>
    <hyperlink ref="I105" location="'90_公式出典'!A59" display="S54 S35"/>
    <hyperlink ref="I106" location="'90_公式出典'!A22" display="S17 S38"/>
    <hyperlink ref="I107" location="'90_公式出典'!A59" display="S54 S35"/>
    <hyperlink ref="I108" location="'90_公式出典'!A7" display="S02 S54"/>
    <hyperlink ref="I109" location="'90_公式出典'!A59" display="S54 S35"/>
    <hyperlink ref="I110" location="'90_公式出典'!A59" display="S54"/>
    <hyperlink ref="I111" location="'90_公式出典'!A59" display="S54"/>
    <hyperlink ref="I112" location="'90_公式出典'!A59" display="S54 S35"/>
    <hyperlink ref="I113" location="'90_公式出典'!A59" display="S54 S35"/>
    <hyperlink ref="I114" location="'90_公式出典'!A59" display="S54 S35"/>
    <hyperlink ref="I115" location="'90_公式出典'!A59" display="S54 S35"/>
    <hyperlink ref="I116" location="'90_公式出典'!A59" display="S54 S35"/>
    <hyperlink ref="I117" location="'90_公式出典'!A59" display="S54 S35"/>
    <hyperlink ref="I118" location="'90_公式出典'!A59" display="S54 S35"/>
    <hyperlink ref="I119" location="'90_公式出典'!A59" display="S54 S35"/>
    <hyperlink ref="I120" location="'90_公式出典'!A32" display="S27 S53"/>
    <hyperlink ref="I121" location="'90_公式出典'!A25" display="S20 S53"/>
    <hyperlink ref="I122" location="'90_公式出典'!A22" display="S17 S38"/>
    <hyperlink ref="I123" location="'90_公式出典'!A25" display="S20 S53"/>
    <hyperlink ref="I124" location="'90_公式出典'!A22" display="S17 S38"/>
    <hyperlink ref="I125" location="'90_公式出典'!A25" display="S20 S53"/>
    <hyperlink ref="I126" location="'90_公式出典'!A25" display="S20 S53"/>
    <hyperlink ref="I127" location="'90_公式出典'!A25" display="S20 S53"/>
    <hyperlink ref="I128" location="'90_公式出典'!A58" display="S53"/>
    <hyperlink ref="I129" location="'90_公式出典'!A58" display="S53"/>
    <hyperlink ref="I130" location="'90_公式出典'!A25" display="S20"/>
    <hyperlink ref="I131" location="'90_公式出典'!A25" display="S20"/>
    <hyperlink ref="I132" location="'90_公式出典'!A25" display="S20"/>
    <hyperlink ref="I133" location="'90_公式出典'!A25" display="S20"/>
    <hyperlink ref="I134" location="'90_公式出典'!A25" display="S20"/>
    <hyperlink ref="I135" location="'90_公式出典'!A25" display="S20"/>
    <hyperlink ref="I136" location="'90_公式出典'!A58" display="S53"/>
    <hyperlink ref="I137" location="'90_公式出典'!A25" display="S20"/>
    <hyperlink ref="I138" location="'90_公式出典'!A58" display="S53"/>
    <hyperlink ref="I139" location="'90_公式出典'!A25" display="S20"/>
    <hyperlink ref="I140" location="'90_公式出典'!A25" display="S20"/>
    <hyperlink ref="I141" location="'90_公式出典'!A25" display="S20"/>
    <hyperlink ref="I142" location="'90_公式出典'!A58" display="S53"/>
    <hyperlink ref="I143" location="'90_公式出典'!A25" display="S20 S53"/>
    <hyperlink ref="I144" location="'90_公式出典'!A14" display="S09 S53"/>
    <hyperlink ref="I145" location="'90_公式出典'!A22" display="S17 S38"/>
    <hyperlink ref="I146" location="'90_公式出典'!A25" display="S20 S53"/>
    <hyperlink ref="I147" location="'90_公式出典'!A22" display="S17 S38"/>
    <hyperlink ref="I148" location="'90_公式出典'!A25" display="S20 S53"/>
    <hyperlink ref="I149" location="'90_公式出典'!A22" display="S17 S08"/>
    <hyperlink ref="I150" location="'90_公式出典'!A25" display="S20 S53"/>
    <hyperlink ref="I151" location="'90_公式出典'!A25" display="S20 S53"/>
    <hyperlink ref="I152" location="'90_公式出典'!A25" display="S20 S53"/>
    <hyperlink ref="I153" location="'90_公式出典'!A58" display="S53"/>
    <hyperlink ref="I154" location="'90_公式出典'!A22" display="S17 S38"/>
    <hyperlink ref="I155" location="'90_公式出典'!A25" display="S20 S53"/>
    <hyperlink ref="I156" location="'90_公式出典'!A58" display="S53"/>
    <hyperlink ref="I157" location="'90_公式出典'!A25" display="S20 S53"/>
    <hyperlink ref="I158" location="'90_公式出典'!A25" display="S20 S53"/>
    <hyperlink ref="I159" location="'90_公式出典'!A25" display="S20 S53"/>
    <hyperlink ref="I160" location="'90_公式出典'!A25" display="S20 S53"/>
    <hyperlink ref="I161" location="'90_公式出典'!A25" display="S20 S53"/>
    <hyperlink ref="I162" location="'90_公式出典'!A58" display="S53 S07"/>
    <hyperlink ref="I163" location="'90_公式出典'!A25" display="S20 S53"/>
    <hyperlink ref="I164" location="'90_公式出典'!A25" display="S20 S53"/>
    <hyperlink ref="I165" location="'90_公式出典'!A25" display="S20 S53"/>
    <hyperlink ref="I166" location="'90_公式出典'!A25" display="S20 S53"/>
    <hyperlink ref="I167" location="'90_公式出典'!A25" display="S20 S53"/>
    <hyperlink ref="I168" location="'90_公式出典'!A25" display="S20 S53"/>
    <hyperlink ref="I169" location="'90_公式出典'!A25" display="S20 S53"/>
    <hyperlink ref="I170" location="'90_公式出典'!A25" display="S20 S53"/>
    <hyperlink ref="I171" location="'90_公式出典'!A22" display="S17 S38"/>
    <hyperlink ref="I172" location="'90_公式出典'!A58" display="S53"/>
    <hyperlink ref="I173" location="'90_公式出典'!A58" display="S53 S54"/>
    <hyperlink ref="I174" location="'90_公式出典'!A58" display="S53"/>
    <hyperlink ref="I175" location="'90_公式出典'!A58" display="S53"/>
    <hyperlink ref="I176" location="'90_公式出典'!A58" display="S53"/>
    <hyperlink ref="I177" location="'90_公式出典'!A58" display="S53"/>
    <hyperlink ref="I178" location="'90_公式出典'!A58" display="S53"/>
    <hyperlink ref="I179" location="'90_公式出典'!A58" display="S53"/>
    <hyperlink ref="I180" location="'90_公式出典'!A58" display="S53"/>
    <hyperlink ref="I181" location="'90_公式出典'!A58" display="S53"/>
    <hyperlink ref="I182" location="'90_公式出典'!A58" display="S53"/>
    <hyperlink ref="I183" location="'90_公式出典'!A50" display="S45 S46"/>
    <hyperlink ref="I184" location="'90_公式出典'!A60" display="S55 S46"/>
    <hyperlink ref="I185" location="'90_公式出典'!A60" display="S55 S46"/>
    <hyperlink ref="I186" location="'90_公式出典'!A60" display="S55 S46"/>
    <hyperlink ref="I187" location="'90_公式出典'!A60" display="S55 S46"/>
    <hyperlink ref="I188" location="'90_公式出典'!A60" display="S55 S46"/>
    <hyperlink ref="I189" location="'90_公式出典'!A60" display="S55 S46"/>
    <hyperlink ref="I190" location="'90_公式出典'!A60" display="S55 S46"/>
    <hyperlink ref="I191" location="'90_公式出典'!A60" display="S55 S46"/>
    <hyperlink ref="I192" location="'90_公式出典'!A60" display="S55 S46"/>
    <hyperlink ref="I193" location="'90_公式出典'!A60" display="S55 S46"/>
    <hyperlink ref="I194" location="'90_公式出典'!A60" display="S55 S46"/>
    <hyperlink ref="I195" location="'90_公式出典'!A60" display="S55 S46"/>
    <hyperlink ref="I196" location="'90_公式出典'!A60" display="S55 S46"/>
    <hyperlink ref="I197" location="'90_公式出典'!A60" display="S55 S46"/>
    <hyperlink ref="I198" location="'90_公式出典'!A60" display="S55 S46"/>
    <hyperlink ref="I199" location="'90_公式出典'!A60" display="S55 S46"/>
    <hyperlink ref="I200" location="'90_公式出典'!A60" display="S55 S46"/>
    <hyperlink ref="I201" location="'90_公式出典'!A60" display="S55 S46"/>
    <hyperlink ref="I202" location="'90_公式出典'!A60" display="S55 S46"/>
    <hyperlink ref="I203" location="'90_公式出典'!A60" display="S55 S46"/>
    <hyperlink ref="I204" location="'90_公式出典'!A60" display="S55 S46"/>
    <hyperlink ref="I205" location="'90_公式出典'!A60" display="S55 S46"/>
    <hyperlink ref="I206" location="'90_公式出典'!A60" display="S55 S46"/>
    <hyperlink ref="I207" location="'90_公式出典'!A60" display="S55 S46"/>
    <hyperlink ref="I208" location="'90_公式出典'!A60" display="S55 S46"/>
    <hyperlink ref="I209" location="'90_公式出典'!A60" display="S55 S46"/>
    <hyperlink ref="I210" location="'90_公式出典'!A60" display="S55 S46"/>
    <hyperlink ref="I211" location="'90_公式出典'!A60" display="S55 S46"/>
    <hyperlink ref="I212" location="'90_公式出典'!A60" display="S55 S46"/>
    <hyperlink ref="I213" location="'90_公式出典'!A60" display="S55 S46"/>
    <hyperlink ref="I214" location="'90_公式出典'!A60" display="S55 S46"/>
    <hyperlink ref="I215" location="'90_公式出典'!A60" display="S55 S46"/>
    <hyperlink ref="I216" location="'90_公式出典'!A60" display="S55 S46"/>
    <hyperlink ref="I217" location="'90_公式出典'!A60" display="S55 S46"/>
    <hyperlink ref="I218" location="'90_公式出典'!A60" display="S55 S46"/>
    <hyperlink ref="I219" location="'90_公式出典'!A60" display="S55 S46"/>
    <hyperlink ref="I220" location="'90_公式出典'!A60" display="S55 S46"/>
    <hyperlink ref="I221" location="'90_公式出典'!A60" display="S55 S46"/>
    <hyperlink ref="I222" location="'90_公式出典'!A60" display="S55 S46"/>
    <hyperlink ref="I223" location="'90_公式出典'!A60" display="S55 S46"/>
    <hyperlink ref="I224" location="'90_公式出典'!A60" display="S55 S46"/>
    <hyperlink ref="I225" location="'90_公式出典'!A60" display="S55 S46"/>
    <hyperlink ref="I226" location="'90_公式出典'!A60" display="S55 S46"/>
    <hyperlink ref="I227" location="'90_公式出典'!A60" display="S55 S46"/>
    <hyperlink ref="I228" location="'90_公式出典'!A60" display="S55 S46"/>
    <hyperlink ref="I229" location="'90_公式出典'!A60" display="S55 S46"/>
    <hyperlink ref="I230" location="'90_公式出典'!A60" display="S55 S46"/>
    <hyperlink ref="I231" location="'90_公式出典'!A60" display="S55 S46"/>
    <hyperlink ref="I232" location="'90_公式出典'!A60" display="S55 S46"/>
    <hyperlink ref="I233" location="'90_公式出典'!A60" display="S55 S46"/>
    <hyperlink ref="I234" location="'90_公式出典'!A60" display="S55 S46"/>
    <hyperlink ref="I235" location="'90_公式出典'!A60" display="S55 S46"/>
    <hyperlink ref="I236" location="'90_公式出典'!A60" display="S55 S46"/>
    <hyperlink ref="I237" location="'90_公式出典'!A60" display="S55 S46"/>
    <hyperlink ref="I238" location="'90_公式出典'!A60" display="S55 S46"/>
    <hyperlink ref="I239" location="'90_公式出典'!A60" display="S55 S46"/>
    <hyperlink ref="I240" location="'90_公式出典'!A25" display="S20 S53"/>
    <hyperlink ref="I241" location="'90_公式出典'!A25" display="S20 S53"/>
    <hyperlink ref="I242" location="'90_公式出典'!A25" display="S20 S53"/>
    <hyperlink ref="I243" location="'90_公式出典'!A22" display="S17 S38"/>
    <hyperlink ref="I244" location="'90_公式出典'!A25" display="S20 S53"/>
    <hyperlink ref="I245" location="'90_公式出典'!A25" display="S20 S53"/>
    <hyperlink ref="I246" location="'90_公式出典'!A25" display="S20 S53"/>
    <hyperlink ref="I247" location="'90_公式出典'!A58" display="S53"/>
    <hyperlink ref="I248" location="'90_公式出典'!A58" display="S53"/>
    <hyperlink ref="I249" location="'90_公式出典'!A22" display="S17 S38"/>
    <hyperlink ref="I250" location="'90_公式出典'!A22" display="S17 S38"/>
    <hyperlink ref="I251" location="'90_公式出典'!A58" display="S53"/>
    <hyperlink ref="I252" location="'90_公式出典'!A58" display="S53"/>
    <hyperlink ref="I253" location="'90_公式出典'!A25" display="S20 S15"/>
    <hyperlink ref="I254" location="'90_公式出典'!A25" display="S20 S15"/>
    <hyperlink ref="I255" location="'90_公式出典'!A25" display="S20 S15"/>
    <hyperlink ref="I256" location="'90_公式出典'!A25" display="S20 S15"/>
    <hyperlink ref="I257" location="'90_公式出典'!A25" display="S20 S15"/>
    <hyperlink ref="I258" location="'90_公式出典'!A25" display="S20 S15"/>
    <hyperlink ref="I259" location="'90_公式出典'!A25" display="S20 S15"/>
    <hyperlink ref="I260" location="'90_公式出典'!A25" display="S20 S53"/>
    <hyperlink ref="I261" location="'90_公式出典'!A22" display="S17 S38"/>
    <hyperlink ref="I262" location="'90_公式出典'!A25" display="S20 S53"/>
    <hyperlink ref="I263" location="'90_公式出典'!A25" display="S20 S53"/>
    <hyperlink ref="I264" location="'90_公式出典'!A25" display="S20 S53"/>
    <hyperlink ref="I265" location="'90_公式出典'!A25" display="S20 S53"/>
    <hyperlink ref="I266" location="'90_公式出典'!A25" display="S20 S53"/>
    <hyperlink ref="I267" location="'90_公式出典'!A25" display="S20 S53"/>
    <hyperlink ref="I268" location="'90_公式出典'!A25" display="S20"/>
    <hyperlink ref="I269" location="'90_公式出典'!A25" display="S20"/>
    <hyperlink ref="I270" location="'90_公式出典'!A25" display="S20"/>
    <hyperlink ref="I271" location="'90_公式出典'!A25" display="S20 S53"/>
    <hyperlink ref="I272" location="'90_公式出典'!A22" display="S17 S38"/>
    <hyperlink ref="I273" location="'90_公式出典'!A58" display="S53"/>
    <hyperlink ref="I274" location="'90_公式出典'!A58" display="S53"/>
    <hyperlink ref="I275" location="'90_公式出典'!A58" display="S53"/>
    <hyperlink ref="I276" location="'90_公式出典'!A27" display="S22 S23"/>
    <hyperlink ref="I277" location="'90_公式出典'!A27" display="S22 S23"/>
    <hyperlink ref="I278" location="'90_公式出典'!A22" display="S17 S38"/>
    <hyperlink ref="I279" location="'90_公式出典'!A22" display="S17 S38"/>
    <hyperlink ref="I280" location="'90_公式出典'!A25" display="S20 S53"/>
    <hyperlink ref="I281" location="'90_公式出典'!A25" display="S20 S15"/>
    <hyperlink ref="I282" location="'90_公式出典'!A25" display="S20 S15"/>
    <hyperlink ref="I283" location="'90_公式出典'!A25" display="S20 S53"/>
    <hyperlink ref="I284" location="'90_公式出典'!A22" display="S17 S38"/>
    <hyperlink ref="I285" location="'90_公式出典'!A22" display="S17"/>
    <hyperlink ref="I286" location="'90_公式出典'!A22" display="S17"/>
    <hyperlink ref="I287" location="'90_公式出典'!A22" display="S17 S38"/>
    <hyperlink ref="I288" location="'90_公式出典'!A22" display="S17 S38"/>
    <hyperlink ref="I289" location="'90_公式出典'!A22" display="S17 S38"/>
    <hyperlink ref="I290" location="'90_公式出典'!A22" display="S17 S38"/>
    <hyperlink ref="I291" location="'90_公式出典'!A22" display="S17 S38"/>
    <hyperlink ref="I292" location="'90_公式出典'!A22" display="S17 S38"/>
    <hyperlink ref="I293" location="'90_公式出典'!A25" display="S20 S53"/>
    <hyperlink ref="I294" location="'90_公式出典'!A25" display="S20 S53"/>
    <hyperlink ref="I295" location="'90_公式出典'!A25" display="S20 S53"/>
    <hyperlink ref="I296" location="'90_公式出典'!A22" display="S17 S38"/>
    <hyperlink ref="I297" location="'90_公式出典'!A25" display="S20 S53"/>
    <hyperlink ref="I298" location="'90_公式出典'!A58" display="S53"/>
    <hyperlink ref="I299" location="'90_公式出典'!A25" display="S20 S53"/>
    <hyperlink ref="I300" location="'90_公式出典'!A25" display="S20 S53"/>
    <hyperlink ref="I301" location="'90_公式出典'!A27" display="S22 S23"/>
    <hyperlink ref="I302" location="'90_公式出典'!A12" display="S07 S53"/>
    <hyperlink ref="I303" location="'90_公式出典'!A25" display="S20 S53"/>
    <hyperlink ref="I304" location="'90_公式出典'!A25" display="S20 S53"/>
  </hyperlinks>
  <pageMargins left="0.3" right="0.3" top="0.45" bottom="0.45" header="0.3" footer="0.3"/>
  <pageSetup paperSize="8" fitToWidth="2"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22.xml><?xml version="1.0" encoding="utf-8"?>
<worksheet xmlns="http://schemas.openxmlformats.org/spreadsheetml/2006/main" xmlns:r="http://schemas.openxmlformats.org/officeDocument/2006/relationships">
  <sheetPr>
    <tabColor rgb="FF777777"/>
    <pageSetUpPr fitToPage="1"/>
  </sheetPr>
  <dimension ref="A1:E15"/>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7.7109375" customWidth="1"/>
    <col min="2" max="2" width="38.7109375" customWidth="1"/>
    <col min="3" max="4" width="76.7109375" customWidth="1"/>
    <col min="5" max="5" width="22.7109375" customWidth="1"/>
  </cols>
  <sheetData>
    <row r="1" spans="1:5" ht="26" customHeight="1">
      <c r="A1" s="5" t="s">
        <v>3230</v>
      </c>
      <c r="B1" s="5"/>
      <c r="C1" s="5"/>
      <c r="D1" s="5"/>
      <c r="E1" s="5"/>
    </row>
    <row r="2" spans="1:5" ht="26" customHeight="1">
      <c r="A2" s="5"/>
      <c r="B2" s="5"/>
      <c r="C2" s="5"/>
      <c r="D2" s="5"/>
      <c r="E2" s="5"/>
    </row>
    <row r="3" spans="1:5" ht="48" customHeight="1">
      <c r="A3" s="6" t="s">
        <v>3231</v>
      </c>
      <c r="B3" s="6"/>
      <c r="C3" s="6"/>
      <c r="D3" s="6"/>
      <c r="E3" s="6"/>
    </row>
    <row r="4" spans="1:5" ht="12" customHeight="1"/>
    <row r="5" spans="1:5" ht="38" customHeight="1">
      <c r="A5" s="7" t="s">
        <v>29</v>
      </c>
      <c r="B5" s="7" t="s">
        <v>3232</v>
      </c>
      <c r="C5" s="7" t="s">
        <v>3233</v>
      </c>
      <c r="D5" s="7" t="s">
        <v>3234</v>
      </c>
      <c r="E5" s="7" t="s">
        <v>33</v>
      </c>
    </row>
    <row r="6" spans="1:5" ht="34" customHeight="1">
      <c r="A6" s="8" t="s">
        <v>3235</v>
      </c>
      <c r="B6" s="8" t="s">
        <v>3236</v>
      </c>
      <c r="C6" s="8" t="s">
        <v>3237</v>
      </c>
      <c r="D6" s="8" t="s">
        <v>3238</v>
      </c>
      <c r="E6" s="9" t="s">
        <v>3239</v>
      </c>
    </row>
    <row r="7" spans="1:5" ht="34" customHeight="1">
      <c r="A7" s="10" t="s">
        <v>3240</v>
      </c>
      <c r="B7" s="10" t="s">
        <v>3241</v>
      </c>
      <c r="C7" s="10" t="s">
        <v>3242</v>
      </c>
      <c r="D7" s="10" t="s">
        <v>3243</v>
      </c>
      <c r="E7" s="11" t="s">
        <v>3244</v>
      </c>
    </row>
    <row r="8" spans="1:5" ht="34" customHeight="1">
      <c r="A8" s="8" t="s">
        <v>3245</v>
      </c>
      <c r="B8" s="8" t="s">
        <v>3246</v>
      </c>
      <c r="C8" s="8" t="s">
        <v>3247</v>
      </c>
      <c r="D8" s="8" t="s">
        <v>3248</v>
      </c>
      <c r="E8" s="9" t="s">
        <v>3239</v>
      </c>
    </row>
    <row r="9" spans="1:5" ht="34" customHeight="1">
      <c r="A9" s="10" t="s">
        <v>3249</v>
      </c>
      <c r="B9" s="10" t="s">
        <v>3250</v>
      </c>
      <c r="C9" s="10" t="s">
        <v>3251</v>
      </c>
      <c r="D9" s="10" t="s">
        <v>3252</v>
      </c>
      <c r="E9" s="11" t="s">
        <v>1087</v>
      </c>
    </row>
    <row r="10" spans="1:5" ht="45" customHeight="1">
      <c r="A10" s="8" t="s">
        <v>3253</v>
      </c>
      <c r="B10" s="8" t="s">
        <v>3254</v>
      </c>
      <c r="C10" s="8" t="s">
        <v>3255</v>
      </c>
      <c r="D10" s="8" t="s">
        <v>3256</v>
      </c>
      <c r="E10" s="9" t="s">
        <v>58</v>
      </c>
    </row>
    <row r="11" spans="1:5" ht="34" customHeight="1">
      <c r="A11" s="10" t="s">
        <v>3257</v>
      </c>
      <c r="B11" s="10" t="s">
        <v>644</v>
      </c>
      <c r="C11" s="12" t="s">
        <v>3258</v>
      </c>
      <c r="D11" s="10" t="s">
        <v>3259</v>
      </c>
      <c r="E11" s="11" t="s">
        <v>58</v>
      </c>
    </row>
    <row r="12" spans="1:5" ht="34" customHeight="1">
      <c r="A12" s="8" t="s">
        <v>3260</v>
      </c>
      <c r="B12" s="8" t="s">
        <v>3261</v>
      </c>
      <c r="C12" s="8" t="s">
        <v>3262</v>
      </c>
      <c r="D12" s="8" t="s">
        <v>3263</v>
      </c>
      <c r="E12" s="9" t="s">
        <v>1011</v>
      </c>
    </row>
    <row r="13" spans="1:5" ht="34" customHeight="1">
      <c r="A13" s="10" t="s">
        <v>3264</v>
      </c>
      <c r="B13" s="10" t="s">
        <v>3265</v>
      </c>
      <c r="C13" s="10" t="s">
        <v>3266</v>
      </c>
      <c r="D13" s="10" t="s">
        <v>3267</v>
      </c>
      <c r="E13" s="10" t="s">
        <v>3268</v>
      </c>
    </row>
    <row r="14" spans="1:5" ht="45" customHeight="1">
      <c r="A14" s="8" t="s">
        <v>3269</v>
      </c>
      <c r="B14" s="8" t="s">
        <v>3270</v>
      </c>
      <c r="C14" s="8" t="s">
        <v>3271</v>
      </c>
      <c r="D14" s="8" t="s">
        <v>3272</v>
      </c>
      <c r="E14" s="9" t="s">
        <v>3273</v>
      </c>
    </row>
    <row r="15" spans="1:5" ht="34" customHeight="1">
      <c r="A15" s="10" t="s">
        <v>3274</v>
      </c>
      <c r="B15" s="10" t="s">
        <v>3275</v>
      </c>
      <c r="C15" s="10" t="s">
        <v>3276</v>
      </c>
      <c r="D15" s="10" t="s">
        <v>3277</v>
      </c>
      <c r="E15" s="11" t="s">
        <v>58</v>
      </c>
    </row>
  </sheetData>
  <autoFilter ref="A5:E15"/>
  <mergeCells count="2">
    <mergeCell ref="A1:E2"/>
    <mergeCell ref="A3:E3"/>
  </mergeCells>
  <hyperlinks>
    <hyperlink ref="E6" location="'90_公式出典'!A61" display="S56"/>
    <hyperlink ref="E7" location="'90_公式出典'!A62" display="S57"/>
    <hyperlink ref="E8" location="'90_公式出典'!A61" display="S56"/>
    <hyperlink ref="E9" location="'90_公式出典'!A25" display="S20"/>
    <hyperlink ref="E10" location="'90_公式出典'!A61" display="S56 S57"/>
    <hyperlink ref="E11" location="'90_公式出典'!A61" display="S56 S57"/>
    <hyperlink ref="E12" location="'90_公式出典'!A13" display="S08 S17"/>
    <hyperlink ref="E14" location="'90_公式出典'!A58" display="S53 S54 S55"/>
    <hyperlink ref="E15" location="'90_公式出典'!A61" display="S56 S57"/>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23.xml><?xml version="1.0" encoding="utf-8"?>
<worksheet xmlns="http://schemas.openxmlformats.org/spreadsheetml/2006/main" xmlns:r="http://schemas.openxmlformats.org/officeDocument/2006/relationships">
  <sheetPr>
    <tabColor rgb="FF777777"/>
    <pageSetUpPr fitToPage="1"/>
  </sheetPr>
  <dimension ref="A1:E105"/>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6.7109375" customWidth="1"/>
    <col min="2" max="2" width="20.7109375" customWidth="1"/>
    <col min="3" max="3" width="60.7109375" customWidth="1"/>
    <col min="4" max="4" width="64.7109375" customWidth="1"/>
    <col min="5" max="5" width="20.7109375" customWidth="1"/>
  </cols>
  <sheetData>
    <row r="1" spans="1:5" ht="26" customHeight="1">
      <c r="A1" s="5" t="s">
        <v>3278</v>
      </c>
      <c r="B1" s="5"/>
      <c r="C1" s="5"/>
      <c r="D1" s="5"/>
      <c r="E1" s="5"/>
    </row>
    <row r="2" spans="1:5" ht="26" customHeight="1">
      <c r="A2" s="5"/>
      <c r="B2" s="5"/>
      <c r="C2" s="5"/>
      <c r="D2" s="5"/>
      <c r="E2" s="5"/>
    </row>
    <row r="3" spans="1:5" ht="48" customHeight="1">
      <c r="A3" s="6" t="s">
        <v>3279</v>
      </c>
      <c r="B3" s="6"/>
      <c r="C3" s="6"/>
      <c r="D3" s="6"/>
      <c r="E3" s="6"/>
    </row>
    <row r="4" spans="1:5" ht="12" customHeight="1"/>
    <row r="5" spans="1:5" ht="38" customHeight="1">
      <c r="A5" s="7" t="s">
        <v>1104</v>
      </c>
      <c r="B5" s="7" t="s">
        <v>3280</v>
      </c>
      <c r="C5" s="7" t="s">
        <v>3281</v>
      </c>
      <c r="D5" s="7" t="s">
        <v>3282</v>
      </c>
      <c r="E5" s="7" t="s">
        <v>33</v>
      </c>
    </row>
    <row r="6" spans="1:5" ht="177" customHeight="1">
      <c r="A6" s="8" t="s">
        <v>1401</v>
      </c>
      <c r="B6" s="8" t="s">
        <v>3283</v>
      </c>
      <c r="C6" s="8" t="s">
        <v>3284</v>
      </c>
      <c r="D6" s="8" t="s">
        <v>3285</v>
      </c>
      <c r="E6" s="9" t="s">
        <v>3239</v>
      </c>
    </row>
    <row r="7" spans="1:5" ht="177" customHeight="1">
      <c r="A7" s="10" t="s">
        <v>1401</v>
      </c>
      <c r="B7" s="10" t="s">
        <v>3286</v>
      </c>
      <c r="C7" s="10" t="s">
        <v>3287</v>
      </c>
      <c r="D7" s="10" t="s">
        <v>3285</v>
      </c>
      <c r="E7" s="11" t="s">
        <v>3239</v>
      </c>
    </row>
    <row r="8" spans="1:5" ht="177" customHeight="1">
      <c r="A8" s="8" t="s">
        <v>1401</v>
      </c>
      <c r="B8" s="8" t="s">
        <v>3288</v>
      </c>
      <c r="C8" s="8" t="s">
        <v>3289</v>
      </c>
      <c r="D8" s="8" t="s">
        <v>3285</v>
      </c>
      <c r="E8" s="9" t="s">
        <v>3239</v>
      </c>
    </row>
    <row r="9" spans="1:5" ht="177" customHeight="1">
      <c r="A9" s="10" t="s">
        <v>1401</v>
      </c>
      <c r="B9" s="10" t="s">
        <v>3290</v>
      </c>
      <c r="C9" s="10" t="s">
        <v>3291</v>
      </c>
      <c r="D9" s="10" t="s">
        <v>3285</v>
      </c>
      <c r="E9" s="11" t="s">
        <v>3239</v>
      </c>
    </row>
    <row r="10" spans="1:5" ht="177" customHeight="1">
      <c r="A10" s="8" t="s">
        <v>1401</v>
      </c>
      <c r="B10" s="8" t="s">
        <v>3292</v>
      </c>
      <c r="C10" s="8" t="s">
        <v>3293</v>
      </c>
      <c r="D10" s="8" t="s">
        <v>3285</v>
      </c>
      <c r="E10" s="9" t="s">
        <v>3239</v>
      </c>
    </row>
    <row r="11" spans="1:5" ht="177" customHeight="1">
      <c r="A11" s="10" t="s">
        <v>1401</v>
      </c>
      <c r="B11" s="10" t="s">
        <v>3294</v>
      </c>
      <c r="C11" s="10" t="s">
        <v>3295</v>
      </c>
      <c r="D11" s="10" t="s">
        <v>3285</v>
      </c>
      <c r="E11" s="11" t="s">
        <v>3239</v>
      </c>
    </row>
    <row r="12" spans="1:5" ht="177" customHeight="1">
      <c r="A12" s="8" t="s">
        <v>1401</v>
      </c>
      <c r="B12" s="8" t="s">
        <v>3296</v>
      </c>
      <c r="C12" s="8" t="s">
        <v>3297</v>
      </c>
      <c r="D12" s="8" t="s">
        <v>3285</v>
      </c>
      <c r="E12" s="9" t="s">
        <v>3239</v>
      </c>
    </row>
    <row r="13" spans="1:5" ht="177" customHeight="1">
      <c r="A13" s="10" t="s">
        <v>1401</v>
      </c>
      <c r="B13" s="10" t="s">
        <v>3298</v>
      </c>
      <c r="C13" s="10" t="s">
        <v>3299</v>
      </c>
      <c r="D13" s="10" t="s">
        <v>3285</v>
      </c>
      <c r="E13" s="11" t="s">
        <v>3239</v>
      </c>
    </row>
    <row r="14" spans="1:5" ht="177" customHeight="1">
      <c r="A14" s="8" t="s">
        <v>1401</v>
      </c>
      <c r="B14" s="8" t="s">
        <v>3300</v>
      </c>
      <c r="C14" s="8" t="s">
        <v>3301</v>
      </c>
      <c r="D14" s="8" t="s">
        <v>3285</v>
      </c>
      <c r="E14" s="9" t="s">
        <v>3239</v>
      </c>
    </row>
    <row r="15" spans="1:5" ht="177" customHeight="1">
      <c r="A15" s="10" t="s">
        <v>1401</v>
      </c>
      <c r="B15" s="10" t="s">
        <v>3302</v>
      </c>
      <c r="C15" s="10" t="s">
        <v>3303</v>
      </c>
      <c r="D15" s="10" t="s">
        <v>3285</v>
      </c>
      <c r="E15" s="11" t="s">
        <v>3239</v>
      </c>
    </row>
    <row r="16" spans="1:5" ht="177" customHeight="1">
      <c r="A16" s="8" t="s">
        <v>1401</v>
      </c>
      <c r="B16" s="8" t="s">
        <v>3304</v>
      </c>
      <c r="C16" s="8" t="s">
        <v>3305</v>
      </c>
      <c r="D16" s="8" t="s">
        <v>3285</v>
      </c>
      <c r="E16" s="9" t="s">
        <v>3239</v>
      </c>
    </row>
    <row r="17" spans="1:5" ht="177" customHeight="1">
      <c r="A17" s="10" t="s">
        <v>1401</v>
      </c>
      <c r="B17" s="10" t="s">
        <v>3306</v>
      </c>
      <c r="C17" s="10" t="s">
        <v>3307</v>
      </c>
      <c r="D17" s="10" t="s">
        <v>3285</v>
      </c>
      <c r="E17" s="11" t="s">
        <v>3239</v>
      </c>
    </row>
    <row r="18" spans="1:5" ht="177" customHeight="1">
      <c r="A18" s="8" t="s">
        <v>1401</v>
      </c>
      <c r="B18" s="8" t="s">
        <v>3308</v>
      </c>
      <c r="C18" s="8" t="s">
        <v>3309</v>
      </c>
      <c r="D18" s="8" t="s">
        <v>3285</v>
      </c>
      <c r="E18" s="9" t="s">
        <v>3239</v>
      </c>
    </row>
    <row r="19" spans="1:5" ht="177" customHeight="1">
      <c r="A19" s="10" t="s">
        <v>1401</v>
      </c>
      <c r="B19" s="10" t="s">
        <v>3310</v>
      </c>
      <c r="C19" s="10" t="s">
        <v>3311</v>
      </c>
      <c r="D19" s="10" t="s">
        <v>3285</v>
      </c>
      <c r="E19" s="11" t="s">
        <v>3239</v>
      </c>
    </row>
    <row r="20" spans="1:5" ht="177" customHeight="1">
      <c r="A20" s="8" t="s">
        <v>1401</v>
      </c>
      <c r="B20" s="8" t="s">
        <v>3312</v>
      </c>
      <c r="C20" s="8" t="s">
        <v>3313</v>
      </c>
      <c r="D20" s="8" t="s">
        <v>3285</v>
      </c>
      <c r="E20" s="9" t="s">
        <v>3239</v>
      </c>
    </row>
    <row r="21" spans="1:5" ht="177" customHeight="1">
      <c r="A21" s="10" t="s">
        <v>1401</v>
      </c>
      <c r="B21" s="10" t="s">
        <v>3314</v>
      </c>
      <c r="C21" s="10" t="s">
        <v>3315</v>
      </c>
      <c r="D21" s="10" t="s">
        <v>3285</v>
      </c>
      <c r="E21" s="11" t="s">
        <v>3239</v>
      </c>
    </row>
    <row r="22" spans="1:5" ht="177" customHeight="1">
      <c r="A22" s="8" t="s">
        <v>1401</v>
      </c>
      <c r="B22" s="8" t="s">
        <v>3316</v>
      </c>
      <c r="C22" s="8" t="s">
        <v>3317</v>
      </c>
      <c r="D22" s="8" t="s">
        <v>3285</v>
      </c>
      <c r="E22" s="9" t="s">
        <v>3239</v>
      </c>
    </row>
    <row r="23" spans="1:5" ht="177" customHeight="1">
      <c r="A23" s="10" t="s">
        <v>1401</v>
      </c>
      <c r="B23" s="10" t="s">
        <v>3318</v>
      </c>
      <c r="C23" s="10" t="s">
        <v>3319</v>
      </c>
      <c r="D23" s="10" t="s">
        <v>3285</v>
      </c>
      <c r="E23" s="11" t="s">
        <v>3239</v>
      </c>
    </row>
    <row r="24" spans="1:5" ht="177" customHeight="1">
      <c r="A24" s="8" t="s">
        <v>1401</v>
      </c>
      <c r="B24" s="8" t="s">
        <v>3320</v>
      </c>
      <c r="C24" s="8" t="s">
        <v>3321</v>
      </c>
      <c r="D24" s="8" t="s">
        <v>3285</v>
      </c>
      <c r="E24" s="9" t="s">
        <v>3239</v>
      </c>
    </row>
    <row r="25" spans="1:5" ht="161" customHeight="1">
      <c r="A25" s="10" t="s">
        <v>1401</v>
      </c>
      <c r="B25" s="10" t="s">
        <v>3322</v>
      </c>
      <c r="C25" s="10" t="s">
        <v>3323</v>
      </c>
      <c r="D25" s="10" t="s">
        <v>3285</v>
      </c>
      <c r="E25" s="11" t="s">
        <v>3239</v>
      </c>
    </row>
    <row r="26" spans="1:5" ht="177" customHeight="1">
      <c r="A26" s="8" t="s">
        <v>1406</v>
      </c>
      <c r="B26" s="8" t="s">
        <v>3283</v>
      </c>
      <c r="C26" s="8" t="s">
        <v>3284</v>
      </c>
      <c r="D26" s="8" t="s">
        <v>3285</v>
      </c>
      <c r="E26" s="9" t="s">
        <v>3239</v>
      </c>
    </row>
    <row r="27" spans="1:5" ht="177" customHeight="1">
      <c r="A27" s="10" t="s">
        <v>1406</v>
      </c>
      <c r="B27" s="10" t="s">
        <v>3286</v>
      </c>
      <c r="C27" s="10" t="s">
        <v>3287</v>
      </c>
      <c r="D27" s="10" t="s">
        <v>3285</v>
      </c>
      <c r="E27" s="11" t="s">
        <v>3239</v>
      </c>
    </row>
    <row r="28" spans="1:5" ht="177" customHeight="1">
      <c r="A28" s="8" t="s">
        <v>1406</v>
      </c>
      <c r="B28" s="8" t="s">
        <v>3288</v>
      </c>
      <c r="C28" s="8" t="s">
        <v>3289</v>
      </c>
      <c r="D28" s="8" t="s">
        <v>3285</v>
      </c>
      <c r="E28" s="9" t="s">
        <v>3239</v>
      </c>
    </row>
    <row r="29" spans="1:5" ht="177" customHeight="1">
      <c r="A29" s="10" t="s">
        <v>1406</v>
      </c>
      <c r="B29" s="10" t="s">
        <v>3290</v>
      </c>
      <c r="C29" s="10" t="s">
        <v>3291</v>
      </c>
      <c r="D29" s="10" t="s">
        <v>3285</v>
      </c>
      <c r="E29" s="11" t="s">
        <v>3239</v>
      </c>
    </row>
    <row r="30" spans="1:5" ht="177" customHeight="1">
      <c r="A30" s="8" t="s">
        <v>1406</v>
      </c>
      <c r="B30" s="8" t="s">
        <v>3292</v>
      </c>
      <c r="C30" s="8" t="s">
        <v>3293</v>
      </c>
      <c r="D30" s="8" t="s">
        <v>3285</v>
      </c>
      <c r="E30" s="9" t="s">
        <v>3239</v>
      </c>
    </row>
    <row r="31" spans="1:5" ht="177" customHeight="1">
      <c r="A31" s="10" t="s">
        <v>1406</v>
      </c>
      <c r="B31" s="10" t="s">
        <v>3294</v>
      </c>
      <c r="C31" s="10" t="s">
        <v>3295</v>
      </c>
      <c r="D31" s="10" t="s">
        <v>3285</v>
      </c>
      <c r="E31" s="11" t="s">
        <v>3239</v>
      </c>
    </row>
    <row r="32" spans="1:5" ht="177" customHeight="1">
      <c r="A32" s="8" t="s">
        <v>1406</v>
      </c>
      <c r="B32" s="8" t="s">
        <v>3296</v>
      </c>
      <c r="C32" s="8" t="s">
        <v>3297</v>
      </c>
      <c r="D32" s="8" t="s">
        <v>3285</v>
      </c>
      <c r="E32" s="9" t="s">
        <v>3239</v>
      </c>
    </row>
    <row r="33" spans="1:5" ht="177" customHeight="1">
      <c r="A33" s="10" t="s">
        <v>1406</v>
      </c>
      <c r="B33" s="10" t="s">
        <v>3298</v>
      </c>
      <c r="C33" s="10" t="s">
        <v>3299</v>
      </c>
      <c r="D33" s="10" t="s">
        <v>3285</v>
      </c>
      <c r="E33" s="11" t="s">
        <v>3239</v>
      </c>
    </row>
    <row r="34" spans="1:5" ht="177" customHeight="1">
      <c r="A34" s="8" t="s">
        <v>1406</v>
      </c>
      <c r="B34" s="8" t="s">
        <v>3300</v>
      </c>
      <c r="C34" s="8" t="s">
        <v>3301</v>
      </c>
      <c r="D34" s="8" t="s">
        <v>3285</v>
      </c>
      <c r="E34" s="9" t="s">
        <v>3239</v>
      </c>
    </row>
    <row r="35" spans="1:5" ht="177" customHeight="1">
      <c r="A35" s="10" t="s">
        <v>1406</v>
      </c>
      <c r="B35" s="10" t="s">
        <v>3302</v>
      </c>
      <c r="C35" s="10" t="s">
        <v>3303</v>
      </c>
      <c r="D35" s="10" t="s">
        <v>3285</v>
      </c>
      <c r="E35" s="11" t="s">
        <v>3239</v>
      </c>
    </row>
    <row r="36" spans="1:5" ht="177" customHeight="1">
      <c r="A36" s="8" t="s">
        <v>1406</v>
      </c>
      <c r="B36" s="8" t="s">
        <v>3304</v>
      </c>
      <c r="C36" s="8" t="s">
        <v>3305</v>
      </c>
      <c r="D36" s="8" t="s">
        <v>3285</v>
      </c>
      <c r="E36" s="9" t="s">
        <v>3239</v>
      </c>
    </row>
    <row r="37" spans="1:5" ht="177" customHeight="1">
      <c r="A37" s="10" t="s">
        <v>1406</v>
      </c>
      <c r="B37" s="10" t="s">
        <v>3306</v>
      </c>
      <c r="C37" s="10" t="s">
        <v>3307</v>
      </c>
      <c r="D37" s="10" t="s">
        <v>3285</v>
      </c>
      <c r="E37" s="11" t="s">
        <v>3239</v>
      </c>
    </row>
    <row r="38" spans="1:5" ht="177" customHeight="1">
      <c r="A38" s="8" t="s">
        <v>1406</v>
      </c>
      <c r="B38" s="8" t="s">
        <v>3308</v>
      </c>
      <c r="C38" s="8" t="s">
        <v>3309</v>
      </c>
      <c r="D38" s="8" t="s">
        <v>3285</v>
      </c>
      <c r="E38" s="9" t="s">
        <v>3239</v>
      </c>
    </row>
    <row r="39" spans="1:5" ht="177" customHeight="1">
      <c r="A39" s="10" t="s">
        <v>1406</v>
      </c>
      <c r="B39" s="10" t="s">
        <v>3310</v>
      </c>
      <c r="C39" s="10" t="s">
        <v>3311</v>
      </c>
      <c r="D39" s="10" t="s">
        <v>3285</v>
      </c>
      <c r="E39" s="11" t="s">
        <v>3239</v>
      </c>
    </row>
    <row r="40" spans="1:5" ht="177" customHeight="1">
      <c r="A40" s="8" t="s">
        <v>1406</v>
      </c>
      <c r="B40" s="8" t="s">
        <v>3312</v>
      </c>
      <c r="C40" s="8" t="s">
        <v>3313</v>
      </c>
      <c r="D40" s="8" t="s">
        <v>3285</v>
      </c>
      <c r="E40" s="9" t="s">
        <v>3239</v>
      </c>
    </row>
    <row r="41" spans="1:5" ht="177" customHeight="1">
      <c r="A41" s="10" t="s">
        <v>1406</v>
      </c>
      <c r="B41" s="10" t="s">
        <v>3314</v>
      </c>
      <c r="C41" s="10" t="s">
        <v>3315</v>
      </c>
      <c r="D41" s="10" t="s">
        <v>3285</v>
      </c>
      <c r="E41" s="11" t="s">
        <v>3239</v>
      </c>
    </row>
    <row r="42" spans="1:5" ht="177" customHeight="1">
      <c r="A42" s="8" t="s">
        <v>1406</v>
      </c>
      <c r="B42" s="8" t="s">
        <v>3316</v>
      </c>
      <c r="C42" s="8" t="s">
        <v>3317</v>
      </c>
      <c r="D42" s="8" t="s">
        <v>3285</v>
      </c>
      <c r="E42" s="9" t="s">
        <v>3239</v>
      </c>
    </row>
    <row r="43" spans="1:5" ht="177" customHeight="1">
      <c r="A43" s="10" t="s">
        <v>1406</v>
      </c>
      <c r="B43" s="10" t="s">
        <v>3318</v>
      </c>
      <c r="C43" s="10" t="s">
        <v>3319</v>
      </c>
      <c r="D43" s="10" t="s">
        <v>3285</v>
      </c>
      <c r="E43" s="11" t="s">
        <v>3239</v>
      </c>
    </row>
    <row r="44" spans="1:5" ht="177" customHeight="1">
      <c r="A44" s="8" t="s">
        <v>1406</v>
      </c>
      <c r="B44" s="8" t="s">
        <v>3320</v>
      </c>
      <c r="C44" s="8" t="s">
        <v>3321</v>
      </c>
      <c r="D44" s="8" t="s">
        <v>3285</v>
      </c>
      <c r="E44" s="9" t="s">
        <v>3239</v>
      </c>
    </row>
    <row r="45" spans="1:5" ht="161" customHeight="1">
      <c r="A45" s="10" t="s">
        <v>1406</v>
      </c>
      <c r="B45" s="10" t="s">
        <v>3322</v>
      </c>
      <c r="C45" s="10" t="s">
        <v>3323</v>
      </c>
      <c r="D45" s="10" t="s">
        <v>3285</v>
      </c>
      <c r="E45" s="11" t="s">
        <v>3239</v>
      </c>
    </row>
    <row r="46" spans="1:5" ht="177" customHeight="1">
      <c r="A46" s="8" t="s">
        <v>2686</v>
      </c>
      <c r="B46" s="8" t="s">
        <v>3324</v>
      </c>
      <c r="C46" s="8" t="s">
        <v>3325</v>
      </c>
      <c r="D46" s="8" t="s">
        <v>3285</v>
      </c>
      <c r="E46" s="9" t="s">
        <v>3239</v>
      </c>
    </row>
    <row r="47" spans="1:5" ht="177" customHeight="1">
      <c r="A47" s="10" t="s">
        <v>2686</v>
      </c>
      <c r="B47" s="10" t="s">
        <v>3326</v>
      </c>
      <c r="C47" s="10" t="s">
        <v>3327</v>
      </c>
      <c r="D47" s="10" t="s">
        <v>3285</v>
      </c>
      <c r="E47" s="11" t="s">
        <v>3239</v>
      </c>
    </row>
    <row r="48" spans="1:5" ht="177" customHeight="1">
      <c r="A48" s="8" t="s">
        <v>2686</v>
      </c>
      <c r="B48" s="8" t="s">
        <v>3328</v>
      </c>
      <c r="C48" s="8" t="s">
        <v>3329</v>
      </c>
      <c r="D48" s="8" t="s">
        <v>3285</v>
      </c>
      <c r="E48" s="9" t="s">
        <v>3239</v>
      </c>
    </row>
    <row r="49" spans="1:5" ht="177" customHeight="1">
      <c r="A49" s="10" t="s">
        <v>2686</v>
      </c>
      <c r="B49" s="10" t="s">
        <v>3330</v>
      </c>
      <c r="C49" s="10" t="s">
        <v>3331</v>
      </c>
      <c r="D49" s="10" t="s">
        <v>3285</v>
      </c>
      <c r="E49" s="11" t="s">
        <v>3239</v>
      </c>
    </row>
    <row r="50" spans="1:5" ht="177" customHeight="1">
      <c r="A50" s="8" t="s">
        <v>2686</v>
      </c>
      <c r="B50" s="8" t="s">
        <v>3332</v>
      </c>
      <c r="C50" s="8" t="s">
        <v>3333</v>
      </c>
      <c r="D50" s="8" t="s">
        <v>3285</v>
      </c>
      <c r="E50" s="9" t="s">
        <v>3239</v>
      </c>
    </row>
    <row r="51" spans="1:5" ht="177" customHeight="1">
      <c r="A51" s="10" t="s">
        <v>2686</v>
      </c>
      <c r="B51" s="10" t="s">
        <v>3334</v>
      </c>
      <c r="C51" s="10" t="s">
        <v>3335</v>
      </c>
      <c r="D51" s="10" t="s">
        <v>3285</v>
      </c>
      <c r="E51" s="11" t="s">
        <v>3239</v>
      </c>
    </row>
    <row r="52" spans="1:5" ht="177" customHeight="1">
      <c r="A52" s="8" t="s">
        <v>2686</v>
      </c>
      <c r="B52" s="8" t="s">
        <v>3336</v>
      </c>
      <c r="C52" s="8" t="s">
        <v>3337</v>
      </c>
      <c r="D52" s="8" t="s">
        <v>3285</v>
      </c>
      <c r="E52" s="9" t="s">
        <v>3239</v>
      </c>
    </row>
    <row r="53" spans="1:5" ht="177" customHeight="1">
      <c r="A53" s="10" t="s">
        <v>2686</v>
      </c>
      <c r="B53" s="10" t="s">
        <v>3338</v>
      </c>
      <c r="C53" s="10" t="s">
        <v>3339</v>
      </c>
      <c r="D53" s="10" t="s">
        <v>3285</v>
      </c>
      <c r="E53" s="11" t="s">
        <v>3239</v>
      </c>
    </row>
    <row r="54" spans="1:5" ht="177" customHeight="1">
      <c r="A54" s="8" t="s">
        <v>2686</v>
      </c>
      <c r="B54" s="8" t="s">
        <v>3340</v>
      </c>
      <c r="C54" s="8" t="s">
        <v>3341</v>
      </c>
      <c r="D54" s="8" t="s">
        <v>3285</v>
      </c>
      <c r="E54" s="9" t="s">
        <v>3239</v>
      </c>
    </row>
    <row r="55" spans="1:5" ht="177" customHeight="1">
      <c r="A55" s="10" t="s">
        <v>2686</v>
      </c>
      <c r="B55" s="10" t="s">
        <v>3342</v>
      </c>
      <c r="C55" s="10" t="s">
        <v>3343</v>
      </c>
      <c r="D55" s="10" t="s">
        <v>3285</v>
      </c>
      <c r="E55" s="11" t="s">
        <v>3239</v>
      </c>
    </row>
    <row r="56" spans="1:5" ht="177" customHeight="1">
      <c r="A56" s="8" t="s">
        <v>2686</v>
      </c>
      <c r="B56" s="8" t="s">
        <v>3344</v>
      </c>
      <c r="C56" s="8" t="s">
        <v>3345</v>
      </c>
      <c r="D56" s="8" t="s">
        <v>3285</v>
      </c>
      <c r="E56" s="9" t="s">
        <v>3239</v>
      </c>
    </row>
    <row r="57" spans="1:5" ht="177" customHeight="1">
      <c r="A57" s="10" t="s">
        <v>2686</v>
      </c>
      <c r="B57" s="10" t="s">
        <v>3346</v>
      </c>
      <c r="C57" s="10" t="s">
        <v>3347</v>
      </c>
      <c r="D57" s="10" t="s">
        <v>3285</v>
      </c>
      <c r="E57" s="11" t="s">
        <v>3239</v>
      </c>
    </row>
    <row r="58" spans="1:5" ht="177" customHeight="1">
      <c r="A58" s="8" t="s">
        <v>2686</v>
      </c>
      <c r="B58" s="8" t="s">
        <v>3348</v>
      </c>
      <c r="C58" s="8" t="s">
        <v>3349</v>
      </c>
      <c r="D58" s="8" t="s">
        <v>3285</v>
      </c>
      <c r="E58" s="9" t="s">
        <v>3239</v>
      </c>
    </row>
    <row r="59" spans="1:5" ht="177" customHeight="1">
      <c r="A59" s="10" t="s">
        <v>2686</v>
      </c>
      <c r="B59" s="10" t="s">
        <v>3350</v>
      </c>
      <c r="C59" s="10" t="s">
        <v>3351</v>
      </c>
      <c r="D59" s="10" t="s">
        <v>3285</v>
      </c>
      <c r="E59" s="11" t="s">
        <v>3239</v>
      </c>
    </row>
    <row r="60" spans="1:5" ht="177" customHeight="1">
      <c r="A60" s="8" t="s">
        <v>2686</v>
      </c>
      <c r="B60" s="8" t="s">
        <v>3352</v>
      </c>
      <c r="C60" s="8" t="s">
        <v>3353</v>
      </c>
      <c r="D60" s="8" t="s">
        <v>3285</v>
      </c>
      <c r="E60" s="9" t="s">
        <v>3239</v>
      </c>
    </row>
    <row r="61" spans="1:5" ht="177" customHeight="1">
      <c r="A61" s="10" t="s">
        <v>2686</v>
      </c>
      <c r="B61" s="10" t="s">
        <v>3354</v>
      </c>
      <c r="C61" s="10" t="s">
        <v>3355</v>
      </c>
      <c r="D61" s="10" t="s">
        <v>3285</v>
      </c>
      <c r="E61" s="11" t="s">
        <v>3239</v>
      </c>
    </row>
    <row r="62" spans="1:5" ht="177" customHeight="1">
      <c r="A62" s="8" t="s">
        <v>2686</v>
      </c>
      <c r="B62" s="8" t="s">
        <v>3356</v>
      </c>
      <c r="C62" s="8" t="s">
        <v>3357</v>
      </c>
      <c r="D62" s="8" t="s">
        <v>3285</v>
      </c>
      <c r="E62" s="9" t="s">
        <v>3239</v>
      </c>
    </row>
    <row r="63" spans="1:5" ht="177" customHeight="1">
      <c r="A63" s="10" t="s">
        <v>2686</v>
      </c>
      <c r="B63" s="10" t="s">
        <v>3358</v>
      </c>
      <c r="C63" s="10" t="s">
        <v>3359</v>
      </c>
      <c r="D63" s="10" t="s">
        <v>3285</v>
      </c>
      <c r="E63" s="11" t="s">
        <v>3239</v>
      </c>
    </row>
    <row r="64" spans="1:5" ht="177" customHeight="1">
      <c r="A64" s="8" t="s">
        <v>2686</v>
      </c>
      <c r="B64" s="8" t="s">
        <v>3360</v>
      </c>
      <c r="C64" s="8" t="s">
        <v>3361</v>
      </c>
      <c r="D64" s="8" t="s">
        <v>3285</v>
      </c>
      <c r="E64" s="9" t="s">
        <v>3239</v>
      </c>
    </row>
    <row r="65" spans="1:5" ht="177" customHeight="1">
      <c r="A65" s="10" t="s">
        <v>2686</v>
      </c>
      <c r="B65" s="10" t="s">
        <v>3362</v>
      </c>
      <c r="C65" s="10" t="s">
        <v>3363</v>
      </c>
      <c r="D65" s="10" t="s">
        <v>3285</v>
      </c>
      <c r="E65" s="11" t="s">
        <v>3239</v>
      </c>
    </row>
    <row r="66" spans="1:5" ht="177" customHeight="1">
      <c r="A66" s="8" t="s">
        <v>2686</v>
      </c>
      <c r="B66" s="8" t="s">
        <v>3364</v>
      </c>
      <c r="C66" s="8" t="s">
        <v>3365</v>
      </c>
      <c r="D66" s="8" t="s">
        <v>3285</v>
      </c>
      <c r="E66" s="9" t="s">
        <v>3239</v>
      </c>
    </row>
    <row r="67" spans="1:5" ht="177" customHeight="1">
      <c r="A67" s="10" t="s">
        <v>2686</v>
      </c>
      <c r="B67" s="10" t="s">
        <v>3366</v>
      </c>
      <c r="C67" s="10" t="s">
        <v>3367</v>
      </c>
      <c r="D67" s="10" t="s">
        <v>3285</v>
      </c>
      <c r="E67" s="11" t="s">
        <v>3239</v>
      </c>
    </row>
    <row r="68" spans="1:5" ht="177" customHeight="1">
      <c r="A68" s="8" t="s">
        <v>2686</v>
      </c>
      <c r="B68" s="8" t="s">
        <v>3368</v>
      </c>
      <c r="C68" s="8" t="s">
        <v>3369</v>
      </c>
      <c r="D68" s="8" t="s">
        <v>3285</v>
      </c>
      <c r="E68" s="9" t="s">
        <v>3239</v>
      </c>
    </row>
    <row r="69" spans="1:5" ht="177" customHeight="1">
      <c r="A69" s="10" t="s">
        <v>2686</v>
      </c>
      <c r="B69" s="10" t="s">
        <v>3370</v>
      </c>
      <c r="C69" s="10" t="s">
        <v>3371</v>
      </c>
      <c r="D69" s="10" t="s">
        <v>3285</v>
      </c>
      <c r="E69" s="11" t="s">
        <v>3239</v>
      </c>
    </row>
    <row r="70" spans="1:5" ht="177" customHeight="1">
      <c r="A70" s="8" t="s">
        <v>2686</v>
      </c>
      <c r="B70" s="8" t="s">
        <v>3372</v>
      </c>
      <c r="C70" s="8" t="s">
        <v>3373</v>
      </c>
      <c r="D70" s="8" t="s">
        <v>3285</v>
      </c>
      <c r="E70" s="9" t="s">
        <v>3239</v>
      </c>
    </row>
    <row r="71" spans="1:5" ht="177" customHeight="1">
      <c r="A71" s="10" t="s">
        <v>2686</v>
      </c>
      <c r="B71" s="10" t="s">
        <v>3374</v>
      </c>
      <c r="C71" s="10" t="s">
        <v>3375</v>
      </c>
      <c r="D71" s="10" t="s">
        <v>3285</v>
      </c>
      <c r="E71" s="11" t="s">
        <v>3239</v>
      </c>
    </row>
    <row r="72" spans="1:5" ht="177" customHeight="1">
      <c r="A72" s="8" t="s">
        <v>2686</v>
      </c>
      <c r="B72" s="8" t="s">
        <v>3376</v>
      </c>
      <c r="C72" s="8" t="s">
        <v>3377</v>
      </c>
      <c r="D72" s="8" t="s">
        <v>3285</v>
      </c>
      <c r="E72" s="9" t="s">
        <v>3239</v>
      </c>
    </row>
    <row r="73" spans="1:5" ht="177" customHeight="1">
      <c r="A73" s="10" t="s">
        <v>2686</v>
      </c>
      <c r="B73" s="10" t="s">
        <v>3378</v>
      </c>
      <c r="C73" s="10" t="s">
        <v>3379</v>
      </c>
      <c r="D73" s="10" t="s">
        <v>3285</v>
      </c>
      <c r="E73" s="11" t="s">
        <v>3239</v>
      </c>
    </row>
    <row r="74" spans="1:5" ht="177" customHeight="1">
      <c r="A74" s="8" t="s">
        <v>2686</v>
      </c>
      <c r="B74" s="8" t="s">
        <v>3380</v>
      </c>
      <c r="C74" s="8" t="s">
        <v>3381</v>
      </c>
      <c r="D74" s="8" t="s">
        <v>3285</v>
      </c>
      <c r="E74" s="9" t="s">
        <v>3239</v>
      </c>
    </row>
    <row r="75" spans="1:5" ht="177" customHeight="1">
      <c r="A75" s="10" t="s">
        <v>2686</v>
      </c>
      <c r="B75" s="10" t="s">
        <v>3382</v>
      </c>
      <c r="C75" s="10" t="s">
        <v>3383</v>
      </c>
      <c r="D75" s="10" t="s">
        <v>3285</v>
      </c>
      <c r="E75" s="11" t="s">
        <v>3239</v>
      </c>
    </row>
    <row r="76" spans="1:5" ht="177" customHeight="1">
      <c r="A76" s="8" t="s">
        <v>2686</v>
      </c>
      <c r="B76" s="8" t="s">
        <v>3384</v>
      </c>
      <c r="C76" s="8" t="s">
        <v>3385</v>
      </c>
      <c r="D76" s="8" t="s">
        <v>3285</v>
      </c>
      <c r="E76" s="9" t="s">
        <v>3239</v>
      </c>
    </row>
    <row r="77" spans="1:5" ht="177" customHeight="1">
      <c r="A77" s="10" t="s">
        <v>2686</v>
      </c>
      <c r="B77" s="10" t="s">
        <v>3386</v>
      </c>
      <c r="C77" s="10" t="s">
        <v>3387</v>
      </c>
      <c r="D77" s="10" t="s">
        <v>3285</v>
      </c>
      <c r="E77" s="11" t="s">
        <v>3239</v>
      </c>
    </row>
    <row r="78" spans="1:5" ht="177" customHeight="1">
      <c r="A78" s="8" t="s">
        <v>2686</v>
      </c>
      <c r="B78" s="8" t="s">
        <v>3388</v>
      </c>
      <c r="C78" s="8" t="s">
        <v>3389</v>
      </c>
      <c r="D78" s="8" t="s">
        <v>3285</v>
      </c>
      <c r="E78" s="9" t="s">
        <v>3239</v>
      </c>
    </row>
    <row r="79" spans="1:5" ht="177" customHeight="1">
      <c r="A79" s="10" t="s">
        <v>2686</v>
      </c>
      <c r="B79" s="10" t="s">
        <v>3390</v>
      </c>
      <c r="C79" s="10" t="s">
        <v>3391</v>
      </c>
      <c r="D79" s="10" t="s">
        <v>3285</v>
      </c>
      <c r="E79" s="11" t="s">
        <v>3239</v>
      </c>
    </row>
    <row r="80" spans="1:5" ht="177" customHeight="1">
      <c r="A80" s="8" t="s">
        <v>2686</v>
      </c>
      <c r="B80" s="8" t="s">
        <v>3392</v>
      </c>
      <c r="C80" s="8" t="s">
        <v>3393</v>
      </c>
      <c r="D80" s="8" t="s">
        <v>3285</v>
      </c>
      <c r="E80" s="9" t="s">
        <v>3239</v>
      </c>
    </row>
    <row r="81" spans="1:5" ht="177" customHeight="1">
      <c r="A81" s="10" t="s">
        <v>2686</v>
      </c>
      <c r="B81" s="10" t="s">
        <v>3394</v>
      </c>
      <c r="C81" s="10" t="s">
        <v>3395</v>
      </c>
      <c r="D81" s="10" t="s">
        <v>3285</v>
      </c>
      <c r="E81" s="11" t="s">
        <v>3239</v>
      </c>
    </row>
    <row r="82" spans="1:5" ht="177" customHeight="1">
      <c r="A82" s="8" t="s">
        <v>2686</v>
      </c>
      <c r="B82" s="8" t="s">
        <v>3396</v>
      </c>
      <c r="C82" s="8" t="s">
        <v>3397</v>
      </c>
      <c r="D82" s="8" t="s">
        <v>3285</v>
      </c>
      <c r="E82" s="9" t="s">
        <v>3239</v>
      </c>
    </row>
    <row r="83" spans="1:5" ht="177" customHeight="1">
      <c r="A83" s="10" t="s">
        <v>2686</v>
      </c>
      <c r="B83" s="10" t="s">
        <v>3398</v>
      </c>
      <c r="C83" s="10" t="s">
        <v>3399</v>
      </c>
      <c r="D83" s="10" t="s">
        <v>3285</v>
      </c>
      <c r="E83" s="11" t="s">
        <v>3239</v>
      </c>
    </row>
    <row r="84" spans="1:5" ht="177" customHeight="1">
      <c r="A84" s="8" t="s">
        <v>2686</v>
      </c>
      <c r="B84" s="8" t="s">
        <v>3400</v>
      </c>
      <c r="C84" s="8" t="s">
        <v>3401</v>
      </c>
      <c r="D84" s="8" t="s">
        <v>3285</v>
      </c>
      <c r="E84" s="9" t="s">
        <v>3239</v>
      </c>
    </row>
    <row r="85" spans="1:5" ht="177" customHeight="1">
      <c r="A85" s="10" t="s">
        <v>2686</v>
      </c>
      <c r="B85" s="10" t="s">
        <v>3402</v>
      </c>
      <c r="C85" s="10" t="s">
        <v>3403</v>
      </c>
      <c r="D85" s="10" t="s">
        <v>3285</v>
      </c>
      <c r="E85" s="11" t="s">
        <v>3239</v>
      </c>
    </row>
    <row r="86" spans="1:5" ht="177" customHeight="1">
      <c r="A86" s="8" t="s">
        <v>2686</v>
      </c>
      <c r="B86" s="8" t="s">
        <v>3404</v>
      </c>
      <c r="C86" s="8" t="s">
        <v>3405</v>
      </c>
      <c r="D86" s="8" t="s">
        <v>3285</v>
      </c>
      <c r="E86" s="9" t="s">
        <v>3239</v>
      </c>
    </row>
    <row r="87" spans="1:5" ht="177" customHeight="1">
      <c r="A87" s="10" t="s">
        <v>2686</v>
      </c>
      <c r="B87" s="10" t="s">
        <v>3406</v>
      </c>
      <c r="C87" s="10" t="s">
        <v>3407</v>
      </c>
      <c r="D87" s="10" t="s">
        <v>3285</v>
      </c>
      <c r="E87" s="11" t="s">
        <v>3239</v>
      </c>
    </row>
    <row r="88" spans="1:5" ht="177" customHeight="1">
      <c r="A88" s="8" t="s">
        <v>2686</v>
      </c>
      <c r="B88" s="8" t="s">
        <v>3408</v>
      </c>
      <c r="C88" s="8" t="s">
        <v>3409</v>
      </c>
      <c r="D88" s="8" t="s">
        <v>3285</v>
      </c>
      <c r="E88" s="9" t="s">
        <v>3239</v>
      </c>
    </row>
    <row r="89" spans="1:5" ht="177" customHeight="1">
      <c r="A89" s="10" t="s">
        <v>2686</v>
      </c>
      <c r="B89" s="10" t="s">
        <v>3410</v>
      </c>
      <c r="C89" s="10" t="s">
        <v>3411</v>
      </c>
      <c r="D89" s="10" t="s">
        <v>3285</v>
      </c>
      <c r="E89" s="11" t="s">
        <v>3239</v>
      </c>
    </row>
    <row r="90" spans="1:5" ht="177" customHeight="1">
      <c r="A90" s="8" t="s">
        <v>2686</v>
      </c>
      <c r="B90" s="8" t="s">
        <v>3412</v>
      </c>
      <c r="C90" s="8" t="s">
        <v>3413</v>
      </c>
      <c r="D90" s="8" t="s">
        <v>3285</v>
      </c>
      <c r="E90" s="9" t="s">
        <v>3239</v>
      </c>
    </row>
    <row r="91" spans="1:5" ht="177" customHeight="1">
      <c r="A91" s="10" t="s">
        <v>2686</v>
      </c>
      <c r="B91" s="10" t="s">
        <v>3414</v>
      </c>
      <c r="C91" s="10" t="s">
        <v>3415</v>
      </c>
      <c r="D91" s="10" t="s">
        <v>3285</v>
      </c>
      <c r="E91" s="11" t="s">
        <v>3239</v>
      </c>
    </row>
    <row r="92" spans="1:5" ht="177" customHeight="1">
      <c r="A92" s="8" t="s">
        <v>2686</v>
      </c>
      <c r="B92" s="8" t="s">
        <v>3416</v>
      </c>
      <c r="C92" s="8" t="s">
        <v>3417</v>
      </c>
      <c r="D92" s="8" t="s">
        <v>3285</v>
      </c>
      <c r="E92" s="9" t="s">
        <v>3239</v>
      </c>
    </row>
    <row r="93" spans="1:5" ht="177" customHeight="1">
      <c r="A93" s="10" t="s">
        <v>2686</v>
      </c>
      <c r="B93" s="10" t="s">
        <v>3418</v>
      </c>
      <c r="C93" s="10" t="s">
        <v>3419</v>
      </c>
      <c r="D93" s="10" t="s">
        <v>3285</v>
      </c>
      <c r="E93" s="11" t="s">
        <v>3239</v>
      </c>
    </row>
    <row r="94" spans="1:5" ht="177" customHeight="1">
      <c r="A94" s="8" t="s">
        <v>2686</v>
      </c>
      <c r="B94" s="8" t="s">
        <v>3420</v>
      </c>
      <c r="C94" s="8" t="s">
        <v>3421</v>
      </c>
      <c r="D94" s="8" t="s">
        <v>3285</v>
      </c>
      <c r="E94" s="9" t="s">
        <v>3239</v>
      </c>
    </row>
    <row r="95" spans="1:5" ht="177" customHeight="1">
      <c r="A95" s="10" t="s">
        <v>2686</v>
      </c>
      <c r="B95" s="10" t="s">
        <v>3422</v>
      </c>
      <c r="C95" s="10" t="s">
        <v>3423</v>
      </c>
      <c r="D95" s="10" t="s">
        <v>3285</v>
      </c>
      <c r="E95" s="11" t="s">
        <v>3239</v>
      </c>
    </row>
    <row r="96" spans="1:5" ht="177" customHeight="1">
      <c r="A96" s="8" t="s">
        <v>2686</v>
      </c>
      <c r="B96" s="8" t="s">
        <v>3424</v>
      </c>
      <c r="C96" s="8" t="s">
        <v>3425</v>
      </c>
      <c r="D96" s="8" t="s">
        <v>3285</v>
      </c>
      <c r="E96" s="9" t="s">
        <v>3239</v>
      </c>
    </row>
    <row r="97" spans="1:5" ht="177" customHeight="1">
      <c r="A97" s="10" t="s">
        <v>2686</v>
      </c>
      <c r="B97" s="10" t="s">
        <v>3426</v>
      </c>
      <c r="C97" s="10" t="s">
        <v>3427</v>
      </c>
      <c r="D97" s="10" t="s">
        <v>3285</v>
      </c>
      <c r="E97" s="11" t="s">
        <v>3239</v>
      </c>
    </row>
    <row r="98" spans="1:5" ht="177" customHeight="1">
      <c r="A98" s="8" t="s">
        <v>2686</v>
      </c>
      <c r="B98" s="8" t="s">
        <v>3428</v>
      </c>
      <c r="C98" s="8" t="s">
        <v>3429</v>
      </c>
      <c r="D98" s="8" t="s">
        <v>3285</v>
      </c>
      <c r="E98" s="9" t="s">
        <v>3239</v>
      </c>
    </row>
    <row r="99" spans="1:5" ht="177" customHeight="1">
      <c r="A99" s="10" t="s">
        <v>2686</v>
      </c>
      <c r="B99" s="10" t="s">
        <v>3430</v>
      </c>
      <c r="C99" s="10" t="s">
        <v>3431</v>
      </c>
      <c r="D99" s="10" t="s">
        <v>3285</v>
      </c>
      <c r="E99" s="11" t="s">
        <v>3239</v>
      </c>
    </row>
    <row r="100" spans="1:5" ht="177" customHeight="1">
      <c r="A100" s="8" t="s">
        <v>2686</v>
      </c>
      <c r="B100" s="8" t="s">
        <v>3432</v>
      </c>
      <c r="C100" s="8" t="s">
        <v>3433</v>
      </c>
      <c r="D100" s="8" t="s">
        <v>3285</v>
      </c>
      <c r="E100" s="9" t="s">
        <v>3239</v>
      </c>
    </row>
    <row r="101" spans="1:5" ht="177" customHeight="1">
      <c r="A101" s="10" t="s">
        <v>2686</v>
      </c>
      <c r="B101" s="10" t="s">
        <v>3434</v>
      </c>
      <c r="C101" s="10" t="s">
        <v>3435</v>
      </c>
      <c r="D101" s="10" t="s">
        <v>3285</v>
      </c>
      <c r="E101" s="11" t="s">
        <v>3239</v>
      </c>
    </row>
    <row r="102" spans="1:5" ht="177" customHeight="1">
      <c r="A102" s="8" t="s">
        <v>2686</v>
      </c>
      <c r="B102" s="8" t="s">
        <v>3436</v>
      </c>
      <c r="C102" s="8" t="s">
        <v>3437</v>
      </c>
      <c r="D102" s="8" t="s">
        <v>3285</v>
      </c>
      <c r="E102" s="9" t="s">
        <v>3239</v>
      </c>
    </row>
    <row r="103" spans="1:5" ht="177" customHeight="1">
      <c r="A103" s="10" t="s">
        <v>2686</v>
      </c>
      <c r="B103" s="10" t="s">
        <v>3438</v>
      </c>
      <c r="C103" s="10" t="s">
        <v>3439</v>
      </c>
      <c r="D103" s="10" t="s">
        <v>3285</v>
      </c>
      <c r="E103" s="11" t="s">
        <v>3239</v>
      </c>
    </row>
    <row r="104" spans="1:5" ht="177" customHeight="1">
      <c r="A104" s="8" t="s">
        <v>2686</v>
      </c>
      <c r="B104" s="8" t="s">
        <v>3440</v>
      </c>
      <c r="C104" s="8" t="s">
        <v>3441</v>
      </c>
      <c r="D104" s="8" t="s">
        <v>3285</v>
      </c>
      <c r="E104" s="9" t="s">
        <v>3239</v>
      </c>
    </row>
    <row r="105" spans="1:5" ht="144" customHeight="1">
      <c r="A105" s="10" t="s">
        <v>2686</v>
      </c>
      <c r="B105" s="10" t="s">
        <v>3442</v>
      </c>
      <c r="C105" s="10" t="s">
        <v>3443</v>
      </c>
      <c r="D105" s="10" t="s">
        <v>3285</v>
      </c>
      <c r="E105" s="11" t="s">
        <v>3239</v>
      </c>
    </row>
  </sheetData>
  <autoFilter ref="A5:E105"/>
  <mergeCells count="2">
    <mergeCell ref="A1:E2"/>
    <mergeCell ref="A3:E3"/>
  </mergeCells>
  <hyperlinks>
    <hyperlink ref="E6" location="'90_公式出典'!A61" display="S56"/>
    <hyperlink ref="E7" location="'90_公式出典'!A61" display="S56"/>
    <hyperlink ref="E8" location="'90_公式出典'!A61" display="S56"/>
    <hyperlink ref="E9" location="'90_公式出典'!A61" display="S56"/>
    <hyperlink ref="E10" location="'90_公式出典'!A61" display="S56"/>
    <hyperlink ref="E11" location="'90_公式出典'!A61" display="S56"/>
    <hyperlink ref="E12" location="'90_公式出典'!A61" display="S56"/>
    <hyperlink ref="E13" location="'90_公式出典'!A61" display="S56"/>
    <hyperlink ref="E14" location="'90_公式出典'!A61" display="S56"/>
    <hyperlink ref="E15" location="'90_公式出典'!A61" display="S56"/>
    <hyperlink ref="E16" location="'90_公式出典'!A61" display="S56"/>
    <hyperlink ref="E17" location="'90_公式出典'!A61" display="S56"/>
    <hyperlink ref="E18" location="'90_公式出典'!A61" display="S56"/>
    <hyperlink ref="E19" location="'90_公式出典'!A61" display="S56"/>
    <hyperlink ref="E20" location="'90_公式出典'!A61" display="S56"/>
    <hyperlink ref="E21" location="'90_公式出典'!A61" display="S56"/>
    <hyperlink ref="E22" location="'90_公式出典'!A61" display="S56"/>
    <hyperlink ref="E23" location="'90_公式出典'!A61" display="S56"/>
    <hyperlink ref="E24" location="'90_公式出典'!A61" display="S56"/>
    <hyperlink ref="E25" location="'90_公式出典'!A61" display="S56"/>
    <hyperlink ref="E26" location="'90_公式出典'!A61" display="S56"/>
    <hyperlink ref="E27" location="'90_公式出典'!A61" display="S56"/>
    <hyperlink ref="E28" location="'90_公式出典'!A61" display="S56"/>
    <hyperlink ref="E29" location="'90_公式出典'!A61" display="S56"/>
    <hyperlink ref="E30" location="'90_公式出典'!A61" display="S56"/>
    <hyperlink ref="E31" location="'90_公式出典'!A61" display="S56"/>
    <hyperlink ref="E32" location="'90_公式出典'!A61" display="S56"/>
    <hyperlink ref="E33" location="'90_公式出典'!A61" display="S56"/>
    <hyperlink ref="E34" location="'90_公式出典'!A61" display="S56"/>
    <hyperlink ref="E35" location="'90_公式出典'!A61" display="S56"/>
    <hyperlink ref="E36" location="'90_公式出典'!A61" display="S56"/>
    <hyperlink ref="E37" location="'90_公式出典'!A61" display="S56"/>
    <hyperlink ref="E38" location="'90_公式出典'!A61" display="S56"/>
    <hyperlink ref="E39" location="'90_公式出典'!A61" display="S56"/>
    <hyperlink ref="E40" location="'90_公式出典'!A61" display="S56"/>
    <hyperlink ref="E41" location="'90_公式出典'!A61" display="S56"/>
    <hyperlink ref="E42" location="'90_公式出典'!A61" display="S56"/>
    <hyperlink ref="E43" location="'90_公式出典'!A61" display="S56"/>
    <hyperlink ref="E44" location="'90_公式出典'!A61" display="S56"/>
    <hyperlink ref="E45" location="'90_公式出典'!A61" display="S56"/>
    <hyperlink ref="E46" location="'90_公式出典'!A61" display="S56"/>
    <hyperlink ref="E47" location="'90_公式出典'!A61" display="S56"/>
    <hyperlink ref="E48" location="'90_公式出典'!A61" display="S56"/>
    <hyperlink ref="E49" location="'90_公式出典'!A61" display="S56"/>
    <hyperlink ref="E50" location="'90_公式出典'!A61" display="S56"/>
    <hyperlink ref="E51" location="'90_公式出典'!A61" display="S56"/>
    <hyperlink ref="E52" location="'90_公式出典'!A61" display="S56"/>
    <hyperlink ref="E53" location="'90_公式出典'!A61" display="S56"/>
    <hyperlink ref="E54" location="'90_公式出典'!A61" display="S56"/>
    <hyperlink ref="E55" location="'90_公式出典'!A61" display="S56"/>
    <hyperlink ref="E56" location="'90_公式出典'!A61" display="S56"/>
    <hyperlink ref="E57" location="'90_公式出典'!A61" display="S56"/>
    <hyperlink ref="E58" location="'90_公式出典'!A61" display="S56"/>
    <hyperlink ref="E59" location="'90_公式出典'!A61" display="S56"/>
    <hyperlink ref="E60" location="'90_公式出典'!A61" display="S56"/>
    <hyperlink ref="E61" location="'90_公式出典'!A61" display="S56"/>
    <hyperlink ref="E62" location="'90_公式出典'!A61" display="S56"/>
    <hyperlink ref="E63" location="'90_公式出典'!A61" display="S56"/>
    <hyperlink ref="E64" location="'90_公式出典'!A61" display="S56"/>
    <hyperlink ref="E65" location="'90_公式出典'!A61" display="S56"/>
    <hyperlink ref="E66" location="'90_公式出典'!A61" display="S56"/>
    <hyperlink ref="E67" location="'90_公式出典'!A61" display="S56"/>
    <hyperlink ref="E68" location="'90_公式出典'!A61" display="S56"/>
    <hyperlink ref="E69" location="'90_公式出典'!A61" display="S56"/>
    <hyperlink ref="E70" location="'90_公式出典'!A61" display="S56"/>
    <hyperlink ref="E71" location="'90_公式出典'!A61" display="S56"/>
    <hyperlink ref="E72" location="'90_公式出典'!A61" display="S56"/>
    <hyperlink ref="E73" location="'90_公式出典'!A61" display="S56"/>
    <hyperlink ref="E74" location="'90_公式出典'!A61" display="S56"/>
    <hyperlink ref="E75" location="'90_公式出典'!A61" display="S56"/>
    <hyperlink ref="E76" location="'90_公式出典'!A61" display="S56"/>
    <hyperlink ref="E77" location="'90_公式出典'!A61" display="S56"/>
    <hyperlink ref="E78" location="'90_公式出典'!A61" display="S56"/>
    <hyperlink ref="E79" location="'90_公式出典'!A61" display="S56"/>
    <hyperlink ref="E80" location="'90_公式出典'!A61" display="S56"/>
    <hyperlink ref="E81" location="'90_公式出典'!A61" display="S56"/>
    <hyperlink ref="E82" location="'90_公式出典'!A61" display="S56"/>
    <hyperlink ref="E83" location="'90_公式出典'!A61" display="S56"/>
    <hyperlink ref="E84" location="'90_公式出典'!A61" display="S56"/>
    <hyperlink ref="E85" location="'90_公式出典'!A61" display="S56"/>
    <hyperlink ref="E86" location="'90_公式出典'!A61" display="S56"/>
    <hyperlink ref="E87" location="'90_公式出典'!A61" display="S56"/>
    <hyperlink ref="E88" location="'90_公式出典'!A61" display="S56"/>
    <hyperlink ref="E89" location="'90_公式出典'!A61" display="S56"/>
    <hyperlink ref="E90" location="'90_公式出典'!A61" display="S56"/>
    <hyperlink ref="E91" location="'90_公式出典'!A61" display="S56"/>
    <hyperlink ref="E92" location="'90_公式出典'!A61" display="S56"/>
    <hyperlink ref="E93" location="'90_公式出典'!A61" display="S56"/>
    <hyperlink ref="E94" location="'90_公式出典'!A61" display="S56"/>
    <hyperlink ref="E95" location="'90_公式出典'!A61" display="S56"/>
    <hyperlink ref="E96" location="'90_公式出典'!A61" display="S56"/>
    <hyperlink ref="E97" location="'90_公式出典'!A61" display="S56"/>
    <hyperlink ref="E98" location="'90_公式出典'!A61" display="S56"/>
    <hyperlink ref="E99" location="'90_公式出典'!A61" display="S56"/>
    <hyperlink ref="E100" location="'90_公式出典'!A61" display="S56"/>
    <hyperlink ref="E101" location="'90_公式出典'!A61" display="S56"/>
    <hyperlink ref="E102" location="'90_公式出典'!A61" display="S56"/>
    <hyperlink ref="E103" location="'90_公式出典'!A61" display="S56"/>
    <hyperlink ref="E104" location="'90_公式出典'!A61" display="S56"/>
    <hyperlink ref="E105" location="'90_公式出典'!A61" display="S56"/>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legacyDrawing r:id="rId1"/>
</worksheet>
</file>

<file path=xl/worksheets/sheet24.xml><?xml version="1.0" encoding="utf-8"?>
<worksheet xmlns="http://schemas.openxmlformats.org/spreadsheetml/2006/main" xmlns:r="http://schemas.openxmlformats.org/officeDocument/2006/relationships">
  <sheetPr>
    <tabColor rgb="FF777777"/>
    <pageSetUpPr fitToPage="1"/>
  </sheetPr>
  <dimension ref="A1:E66"/>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9.7109375" customWidth="1"/>
    <col min="2" max="2" width="58.7109375" customWidth="1"/>
    <col min="3" max="3" width="105.7109375" customWidth="1"/>
    <col min="4" max="4" width="65.7109375" customWidth="1"/>
    <col min="5" max="5" width="16.7109375" customWidth="1"/>
  </cols>
  <sheetData>
    <row r="1" spans="1:5" ht="26" customHeight="1">
      <c r="A1" s="5" t="s">
        <v>3444</v>
      </c>
      <c r="B1" s="5"/>
      <c r="C1" s="5"/>
      <c r="D1" s="5"/>
      <c r="E1" s="5"/>
    </row>
    <row r="2" spans="1:5" ht="26" customHeight="1">
      <c r="A2" s="5"/>
      <c r="B2" s="5"/>
      <c r="C2" s="5"/>
      <c r="D2" s="5"/>
      <c r="E2" s="5"/>
    </row>
    <row r="3" spans="1:5" ht="48" customHeight="1">
      <c r="A3" s="6" t="s">
        <v>3445</v>
      </c>
      <c r="B3" s="6"/>
      <c r="C3" s="6"/>
      <c r="D3" s="6"/>
      <c r="E3" s="6"/>
    </row>
    <row r="4" spans="1:5" ht="12" customHeight="1"/>
    <row r="5" spans="1:5" ht="38" customHeight="1">
      <c r="A5" s="7" t="s">
        <v>1103</v>
      </c>
      <c r="B5" s="7" t="s">
        <v>3446</v>
      </c>
      <c r="C5" s="7" t="s">
        <v>3447</v>
      </c>
      <c r="D5" s="7" t="s">
        <v>3448</v>
      </c>
      <c r="E5" s="7" t="s">
        <v>3449</v>
      </c>
    </row>
    <row r="6" spans="1:5" ht="45" customHeight="1">
      <c r="A6" s="8" t="s">
        <v>3450</v>
      </c>
      <c r="B6" s="8" t="s">
        <v>3451</v>
      </c>
      <c r="C6" s="9" t="s">
        <v>3452</v>
      </c>
      <c r="D6" s="8" t="s">
        <v>3453</v>
      </c>
      <c r="E6" s="8" t="s">
        <v>3454</v>
      </c>
    </row>
    <row r="7" spans="1:5" ht="34" customHeight="1">
      <c r="A7" s="10" t="s">
        <v>2882</v>
      </c>
      <c r="B7" s="10" t="s">
        <v>3455</v>
      </c>
      <c r="C7" s="11" t="s">
        <v>3456</v>
      </c>
      <c r="D7" s="10" t="s">
        <v>3457</v>
      </c>
      <c r="E7" s="10" t="s">
        <v>3454</v>
      </c>
    </row>
    <row r="8" spans="1:5" ht="45" customHeight="1">
      <c r="A8" s="8" t="s">
        <v>3458</v>
      </c>
      <c r="B8" s="8" t="s">
        <v>3459</v>
      </c>
      <c r="C8" s="9" t="s">
        <v>3460</v>
      </c>
      <c r="D8" s="8" t="s">
        <v>3461</v>
      </c>
      <c r="E8" s="8" t="s">
        <v>3454</v>
      </c>
    </row>
    <row r="9" spans="1:5" ht="34" customHeight="1">
      <c r="A9" s="10" t="s">
        <v>188</v>
      </c>
      <c r="B9" s="10" t="s">
        <v>3462</v>
      </c>
      <c r="C9" s="11" t="s">
        <v>3463</v>
      </c>
      <c r="D9" s="10" t="s">
        <v>3464</v>
      </c>
      <c r="E9" s="10" t="s">
        <v>3454</v>
      </c>
    </row>
    <row r="10" spans="1:5" ht="34" customHeight="1">
      <c r="A10" s="8" t="s">
        <v>394</v>
      </c>
      <c r="B10" s="8" t="s">
        <v>3465</v>
      </c>
      <c r="C10" s="9" t="s">
        <v>3466</v>
      </c>
      <c r="D10" s="8" t="s">
        <v>3467</v>
      </c>
      <c r="E10" s="8" t="s">
        <v>3454</v>
      </c>
    </row>
    <row r="11" spans="1:5" ht="34" customHeight="1">
      <c r="A11" s="10" t="s">
        <v>3468</v>
      </c>
      <c r="B11" s="10" t="s">
        <v>3469</v>
      </c>
      <c r="C11" s="11" t="s">
        <v>3470</v>
      </c>
      <c r="D11" s="10" t="s">
        <v>3471</v>
      </c>
      <c r="E11" s="10" t="s">
        <v>3454</v>
      </c>
    </row>
    <row r="12" spans="1:5" ht="34" customHeight="1">
      <c r="A12" s="8" t="s">
        <v>466</v>
      </c>
      <c r="B12" s="8" t="s">
        <v>3472</v>
      </c>
      <c r="C12" s="9" t="s">
        <v>3473</v>
      </c>
      <c r="D12" s="8" t="s">
        <v>3474</v>
      </c>
      <c r="E12" s="8" t="s">
        <v>3454</v>
      </c>
    </row>
    <row r="13" spans="1:5" ht="34" customHeight="1">
      <c r="A13" s="10" t="s">
        <v>419</v>
      </c>
      <c r="B13" s="10" t="s">
        <v>3475</v>
      </c>
      <c r="C13" s="11" t="s">
        <v>3476</v>
      </c>
      <c r="D13" s="10" t="s">
        <v>3477</v>
      </c>
      <c r="E13" s="10" t="s">
        <v>3454</v>
      </c>
    </row>
    <row r="14" spans="1:5" ht="34" customHeight="1">
      <c r="A14" s="8" t="s">
        <v>3478</v>
      </c>
      <c r="B14" s="8" t="s">
        <v>3479</v>
      </c>
      <c r="C14" s="9" t="s">
        <v>3480</v>
      </c>
      <c r="D14" s="8" t="s">
        <v>3481</v>
      </c>
      <c r="E14" s="8" t="s">
        <v>3454</v>
      </c>
    </row>
    <row r="15" spans="1:5" ht="34" customHeight="1">
      <c r="A15" s="10" t="s">
        <v>127</v>
      </c>
      <c r="B15" s="10" t="s">
        <v>3482</v>
      </c>
      <c r="C15" s="11" t="s">
        <v>3483</v>
      </c>
      <c r="D15" s="10" t="s">
        <v>3484</v>
      </c>
      <c r="E15" s="10" t="s">
        <v>3454</v>
      </c>
    </row>
    <row r="16" spans="1:5" ht="34" customHeight="1">
      <c r="A16" s="8" t="s">
        <v>3485</v>
      </c>
      <c r="B16" s="8" t="s">
        <v>3486</v>
      </c>
      <c r="C16" s="9" t="s">
        <v>3487</v>
      </c>
      <c r="D16" s="8" t="s">
        <v>3488</v>
      </c>
      <c r="E16" s="8" t="s">
        <v>3454</v>
      </c>
    </row>
    <row r="17" spans="1:5" ht="34" customHeight="1">
      <c r="A17" s="10" t="s">
        <v>352</v>
      </c>
      <c r="B17" s="10" t="s">
        <v>3489</v>
      </c>
      <c r="C17" s="11" t="s">
        <v>3490</v>
      </c>
      <c r="D17" s="10" t="s">
        <v>3491</v>
      </c>
      <c r="E17" s="10" t="s">
        <v>3454</v>
      </c>
    </row>
    <row r="18" spans="1:5" ht="34" customHeight="1">
      <c r="A18" s="8" t="s">
        <v>341</v>
      </c>
      <c r="B18" s="8" t="s">
        <v>3492</v>
      </c>
      <c r="C18" s="9" t="s">
        <v>3493</v>
      </c>
      <c r="D18" s="8" t="s">
        <v>3494</v>
      </c>
      <c r="E18" s="8" t="s">
        <v>3454</v>
      </c>
    </row>
    <row r="19" spans="1:5" ht="34" customHeight="1">
      <c r="A19" s="10" t="s">
        <v>389</v>
      </c>
      <c r="B19" s="10" t="s">
        <v>3495</v>
      </c>
      <c r="C19" s="11" t="s">
        <v>3496</v>
      </c>
      <c r="D19" s="10" t="s">
        <v>3497</v>
      </c>
      <c r="E19" s="10" t="s">
        <v>3454</v>
      </c>
    </row>
    <row r="20" spans="1:5" ht="34" customHeight="1">
      <c r="A20" s="8" t="s">
        <v>169</v>
      </c>
      <c r="B20" s="8" t="s">
        <v>3498</v>
      </c>
      <c r="C20" s="9" t="s">
        <v>3499</v>
      </c>
      <c r="D20" s="8" t="s">
        <v>3500</v>
      </c>
      <c r="E20" s="8" t="s">
        <v>3454</v>
      </c>
    </row>
    <row r="21" spans="1:5" ht="45" customHeight="1">
      <c r="A21" s="10" t="s">
        <v>174</v>
      </c>
      <c r="B21" s="10" t="s">
        <v>3501</v>
      </c>
      <c r="C21" s="11" t="s">
        <v>3502</v>
      </c>
      <c r="D21" s="10" t="s">
        <v>3503</v>
      </c>
      <c r="E21" s="10" t="s">
        <v>3454</v>
      </c>
    </row>
    <row r="22" spans="1:5" ht="45" customHeight="1">
      <c r="A22" s="8" t="s">
        <v>556</v>
      </c>
      <c r="B22" s="8" t="s">
        <v>3504</v>
      </c>
      <c r="C22" s="9" t="s">
        <v>3505</v>
      </c>
      <c r="D22" s="8" t="s">
        <v>3506</v>
      </c>
      <c r="E22" s="8" t="s">
        <v>3454</v>
      </c>
    </row>
    <row r="23" spans="1:5" ht="45" customHeight="1">
      <c r="A23" s="10" t="s">
        <v>3507</v>
      </c>
      <c r="B23" s="10" t="s">
        <v>3508</v>
      </c>
      <c r="C23" s="11" t="s">
        <v>3509</v>
      </c>
      <c r="D23" s="10" t="s">
        <v>3510</v>
      </c>
      <c r="E23" s="10" t="s">
        <v>3454</v>
      </c>
    </row>
    <row r="24" spans="1:5" ht="45" customHeight="1">
      <c r="A24" s="8" t="s">
        <v>215</v>
      </c>
      <c r="B24" s="8" t="s">
        <v>3511</v>
      </c>
      <c r="C24" s="9" t="s">
        <v>3512</v>
      </c>
      <c r="D24" s="8" t="s">
        <v>3513</v>
      </c>
      <c r="E24" s="8" t="s">
        <v>3454</v>
      </c>
    </row>
    <row r="25" spans="1:5" ht="45" customHeight="1">
      <c r="A25" s="10" t="s">
        <v>1087</v>
      </c>
      <c r="B25" s="10" t="s">
        <v>3514</v>
      </c>
      <c r="C25" s="11" t="s">
        <v>3515</v>
      </c>
      <c r="D25" s="10" t="s">
        <v>3516</v>
      </c>
      <c r="E25" s="10" t="s">
        <v>3454</v>
      </c>
    </row>
    <row r="26" spans="1:5" ht="45" customHeight="1">
      <c r="A26" s="8" t="s">
        <v>3517</v>
      </c>
      <c r="B26" s="8" t="s">
        <v>3518</v>
      </c>
      <c r="C26" s="9" t="s">
        <v>3519</v>
      </c>
      <c r="D26" s="8" t="s">
        <v>3520</v>
      </c>
      <c r="E26" s="8" t="s">
        <v>3454</v>
      </c>
    </row>
    <row r="27" spans="1:5" ht="45" customHeight="1">
      <c r="A27" s="10" t="s">
        <v>840</v>
      </c>
      <c r="B27" s="10" t="s">
        <v>3521</v>
      </c>
      <c r="C27" s="11" t="s">
        <v>3522</v>
      </c>
      <c r="D27" s="10" t="s">
        <v>3523</v>
      </c>
      <c r="E27" s="10" t="s">
        <v>3454</v>
      </c>
    </row>
    <row r="28" spans="1:5" ht="45" customHeight="1">
      <c r="A28" s="8" t="s">
        <v>864</v>
      </c>
      <c r="B28" s="8" t="s">
        <v>3524</v>
      </c>
      <c r="C28" s="9" t="s">
        <v>3525</v>
      </c>
      <c r="D28" s="8" t="s">
        <v>3526</v>
      </c>
      <c r="E28" s="8" t="s">
        <v>3454</v>
      </c>
    </row>
    <row r="29" spans="1:5" ht="45" customHeight="1">
      <c r="A29" s="10" t="s">
        <v>726</v>
      </c>
      <c r="B29" s="10" t="s">
        <v>3527</v>
      </c>
      <c r="C29" s="11" t="s">
        <v>3528</v>
      </c>
      <c r="D29" s="10" t="s">
        <v>3529</v>
      </c>
      <c r="E29" s="10" t="s">
        <v>3454</v>
      </c>
    </row>
    <row r="30" spans="1:5" ht="45" customHeight="1">
      <c r="A30" s="8" t="s">
        <v>661</v>
      </c>
      <c r="B30" s="8" t="s">
        <v>3530</v>
      </c>
      <c r="C30" s="9" t="s">
        <v>3531</v>
      </c>
      <c r="D30" s="8" t="s">
        <v>3532</v>
      </c>
      <c r="E30" s="8" t="s">
        <v>3454</v>
      </c>
    </row>
    <row r="31" spans="1:5" ht="34" customHeight="1">
      <c r="A31" s="10" t="s">
        <v>3533</v>
      </c>
      <c r="B31" s="10" t="s">
        <v>3534</v>
      </c>
      <c r="C31" s="11" t="s">
        <v>3535</v>
      </c>
      <c r="D31" s="10" t="s">
        <v>3536</v>
      </c>
      <c r="E31" s="10" t="s">
        <v>3454</v>
      </c>
    </row>
    <row r="32" spans="1:5" ht="34" customHeight="1">
      <c r="A32" s="8" t="s">
        <v>750</v>
      </c>
      <c r="B32" s="8" t="s">
        <v>3537</v>
      </c>
      <c r="C32" s="9" t="s">
        <v>3538</v>
      </c>
      <c r="D32" s="8" t="s">
        <v>3539</v>
      </c>
      <c r="E32" s="8" t="s">
        <v>3454</v>
      </c>
    </row>
    <row r="33" spans="1:5" ht="34" customHeight="1">
      <c r="A33" s="10" t="s">
        <v>668</v>
      </c>
      <c r="B33" s="10" t="s">
        <v>3540</v>
      </c>
      <c r="C33" s="11" t="s">
        <v>3541</v>
      </c>
      <c r="D33" s="10" t="s">
        <v>3542</v>
      </c>
      <c r="E33" s="10" t="s">
        <v>3454</v>
      </c>
    </row>
    <row r="34" spans="1:5" ht="34" customHeight="1">
      <c r="A34" s="8" t="s">
        <v>793</v>
      </c>
      <c r="B34" s="8" t="s">
        <v>3543</v>
      </c>
      <c r="C34" s="9" t="s">
        <v>3544</v>
      </c>
      <c r="D34" s="8" t="s">
        <v>795</v>
      </c>
      <c r="E34" s="8" t="s">
        <v>3454</v>
      </c>
    </row>
    <row r="35" spans="1:5" ht="34" customHeight="1">
      <c r="A35" s="10" t="s">
        <v>3545</v>
      </c>
      <c r="B35" s="10" t="s">
        <v>3546</v>
      </c>
      <c r="C35" s="11" t="s">
        <v>3547</v>
      </c>
      <c r="D35" s="10" t="s">
        <v>3548</v>
      </c>
      <c r="E35" s="10" t="s">
        <v>3454</v>
      </c>
    </row>
    <row r="36" spans="1:5" ht="34" customHeight="1">
      <c r="A36" s="8" t="s">
        <v>291</v>
      </c>
      <c r="B36" s="8" t="s">
        <v>3549</v>
      </c>
      <c r="C36" s="9" t="s">
        <v>3550</v>
      </c>
      <c r="D36" s="8" t="s">
        <v>3551</v>
      </c>
      <c r="E36" s="8" t="s">
        <v>3454</v>
      </c>
    </row>
    <row r="37" spans="1:5" ht="45" customHeight="1">
      <c r="A37" s="10" t="s">
        <v>3552</v>
      </c>
      <c r="B37" s="10" t="s">
        <v>3553</v>
      </c>
      <c r="C37" s="11" t="s">
        <v>3554</v>
      </c>
      <c r="D37" s="10" t="s">
        <v>3555</v>
      </c>
      <c r="E37" s="10" t="s">
        <v>3454</v>
      </c>
    </row>
    <row r="38" spans="1:5" ht="34" customHeight="1">
      <c r="A38" s="8" t="s">
        <v>318</v>
      </c>
      <c r="B38" s="8" t="s">
        <v>3556</v>
      </c>
      <c r="C38" s="9" t="s">
        <v>3557</v>
      </c>
      <c r="D38" s="8" t="s">
        <v>3558</v>
      </c>
      <c r="E38" s="8" t="s">
        <v>3454</v>
      </c>
    </row>
    <row r="39" spans="1:5" ht="34" customHeight="1">
      <c r="A39" s="10" t="s">
        <v>323</v>
      </c>
      <c r="B39" s="10" t="s">
        <v>3559</v>
      </c>
      <c r="C39" s="11" t="s">
        <v>3560</v>
      </c>
      <c r="D39" s="10" t="s">
        <v>3561</v>
      </c>
      <c r="E39" s="10" t="s">
        <v>3454</v>
      </c>
    </row>
    <row r="40" spans="1:5" ht="45" customHeight="1">
      <c r="A40" s="8" t="s">
        <v>875</v>
      </c>
      <c r="B40" s="8" t="s">
        <v>3562</v>
      </c>
      <c r="C40" s="9" t="s">
        <v>3563</v>
      </c>
      <c r="D40" s="8" t="s">
        <v>3564</v>
      </c>
      <c r="E40" s="8" t="s">
        <v>3454</v>
      </c>
    </row>
    <row r="41" spans="1:5" ht="34" customHeight="1">
      <c r="A41" s="10" t="s">
        <v>3565</v>
      </c>
      <c r="B41" s="10" t="s">
        <v>3566</v>
      </c>
      <c r="C41" s="11" t="s">
        <v>3567</v>
      </c>
      <c r="D41" s="10" t="s">
        <v>3568</v>
      </c>
      <c r="E41" s="10" t="s">
        <v>3454</v>
      </c>
    </row>
    <row r="42" spans="1:5" ht="34" customHeight="1">
      <c r="A42" s="8" t="s">
        <v>904</v>
      </c>
      <c r="B42" s="8" t="s">
        <v>3569</v>
      </c>
      <c r="C42" s="9" t="s">
        <v>3570</v>
      </c>
      <c r="D42" s="8" t="s">
        <v>3571</v>
      </c>
      <c r="E42" s="8" t="s">
        <v>3454</v>
      </c>
    </row>
    <row r="43" spans="1:5" ht="45" customHeight="1">
      <c r="A43" s="10" t="s">
        <v>3572</v>
      </c>
      <c r="B43" s="10" t="s">
        <v>3573</v>
      </c>
      <c r="C43" s="11" t="s">
        <v>3574</v>
      </c>
      <c r="D43" s="10" t="s">
        <v>3575</v>
      </c>
      <c r="E43" s="10" t="s">
        <v>3454</v>
      </c>
    </row>
    <row r="44" spans="1:5" ht="34" customHeight="1">
      <c r="A44" s="8" t="s">
        <v>944</v>
      </c>
      <c r="B44" s="8" t="s">
        <v>3576</v>
      </c>
      <c r="C44" s="9" t="s">
        <v>3577</v>
      </c>
      <c r="D44" s="8" t="s">
        <v>3578</v>
      </c>
      <c r="E44" s="8" t="s">
        <v>3454</v>
      </c>
    </row>
    <row r="45" spans="1:5" ht="34" customHeight="1">
      <c r="A45" s="10" t="s">
        <v>954</v>
      </c>
      <c r="B45" s="10" t="s">
        <v>3579</v>
      </c>
      <c r="C45" s="11" t="s">
        <v>3580</v>
      </c>
      <c r="D45" s="10" t="s">
        <v>3581</v>
      </c>
      <c r="E45" s="10" t="s">
        <v>3454</v>
      </c>
    </row>
    <row r="46" spans="1:5" ht="45" customHeight="1">
      <c r="A46" s="8" t="s">
        <v>890</v>
      </c>
      <c r="B46" s="8" t="s">
        <v>3582</v>
      </c>
      <c r="C46" s="9" t="s">
        <v>3583</v>
      </c>
      <c r="D46" s="8" t="s">
        <v>3584</v>
      </c>
      <c r="E46" s="8" t="s">
        <v>3454</v>
      </c>
    </row>
    <row r="47" spans="1:5" ht="34" customHeight="1">
      <c r="A47" s="10" t="s">
        <v>929</v>
      </c>
      <c r="B47" s="10" t="s">
        <v>3585</v>
      </c>
      <c r="C47" s="11" t="s">
        <v>3586</v>
      </c>
      <c r="D47" s="10" t="s">
        <v>3587</v>
      </c>
      <c r="E47" s="10" t="s">
        <v>3454</v>
      </c>
    </row>
    <row r="48" spans="1:5" ht="34" customHeight="1">
      <c r="A48" s="8" t="s">
        <v>934</v>
      </c>
      <c r="B48" s="8" t="s">
        <v>3588</v>
      </c>
      <c r="C48" s="9" t="s">
        <v>3589</v>
      </c>
      <c r="D48" s="8" t="s">
        <v>3590</v>
      </c>
      <c r="E48" s="8" t="s">
        <v>3454</v>
      </c>
    </row>
    <row r="49" spans="1:5" ht="45" customHeight="1">
      <c r="A49" s="10" t="s">
        <v>1026</v>
      </c>
      <c r="B49" s="10" t="s">
        <v>3591</v>
      </c>
      <c r="C49" s="11" t="s">
        <v>3592</v>
      </c>
      <c r="D49" s="10" t="s">
        <v>3593</v>
      </c>
      <c r="E49" s="10" t="s">
        <v>3454</v>
      </c>
    </row>
    <row r="50" spans="1:5" ht="34" customHeight="1">
      <c r="A50" s="8" t="s">
        <v>3594</v>
      </c>
      <c r="B50" s="8" t="s">
        <v>3595</v>
      </c>
      <c r="C50" s="9" t="s">
        <v>3596</v>
      </c>
      <c r="D50" s="8" t="s">
        <v>3597</v>
      </c>
      <c r="E50" s="8" t="s">
        <v>3454</v>
      </c>
    </row>
    <row r="51" spans="1:5" ht="34" customHeight="1">
      <c r="A51" s="10" t="s">
        <v>3598</v>
      </c>
      <c r="B51" s="10" t="s">
        <v>3599</v>
      </c>
      <c r="C51" s="11" t="s">
        <v>3600</v>
      </c>
      <c r="D51" s="10" t="s">
        <v>3601</v>
      </c>
      <c r="E51" s="10" t="s">
        <v>3454</v>
      </c>
    </row>
    <row r="52" spans="1:5" ht="34" customHeight="1">
      <c r="A52" s="8" t="s">
        <v>147</v>
      </c>
      <c r="B52" s="8" t="s">
        <v>3602</v>
      </c>
      <c r="C52" s="9" t="s">
        <v>3603</v>
      </c>
      <c r="D52" s="8" t="s">
        <v>3604</v>
      </c>
      <c r="E52" s="8" t="s">
        <v>3454</v>
      </c>
    </row>
    <row r="53" spans="1:5" ht="34" customHeight="1">
      <c r="A53" s="10" t="s">
        <v>152</v>
      </c>
      <c r="B53" s="10" t="s">
        <v>3605</v>
      </c>
      <c r="C53" s="11" t="s">
        <v>3606</v>
      </c>
      <c r="D53" s="10" t="s">
        <v>3604</v>
      </c>
      <c r="E53" s="10" t="s">
        <v>3454</v>
      </c>
    </row>
    <row r="54" spans="1:5" ht="34" customHeight="1">
      <c r="A54" s="8" t="s">
        <v>3607</v>
      </c>
      <c r="B54" s="8" t="s">
        <v>3608</v>
      </c>
      <c r="C54" s="9" t="s">
        <v>3609</v>
      </c>
      <c r="D54" s="8" t="s">
        <v>3604</v>
      </c>
      <c r="E54" s="8" t="s">
        <v>3454</v>
      </c>
    </row>
    <row r="55" spans="1:5" ht="45" customHeight="1">
      <c r="A55" s="10" t="s">
        <v>3610</v>
      </c>
      <c r="B55" s="10" t="s">
        <v>3611</v>
      </c>
      <c r="C55" s="11" t="s">
        <v>3612</v>
      </c>
      <c r="D55" s="10" t="s">
        <v>3604</v>
      </c>
      <c r="E55" s="10" t="s">
        <v>3454</v>
      </c>
    </row>
    <row r="56" spans="1:5" ht="34" customHeight="1">
      <c r="A56" s="8" t="s">
        <v>3613</v>
      </c>
      <c r="B56" s="8" t="s">
        <v>3614</v>
      </c>
      <c r="C56" s="9" t="s">
        <v>3615</v>
      </c>
      <c r="D56" s="8" t="s">
        <v>3616</v>
      </c>
      <c r="E56" s="8" t="s">
        <v>3454</v>
      </c>
    </row>
    <row r="57" spans="1:5" ht="34" customHeight="1">
      <c r="A57" s="10" t="s">
        <v>3617</v>
      </c>
      <c r="B57" s="10" t="s">
        <v>3618</v>
      </c>
      <c r="C57" s="11" t="s">
        <v>3619</v>
      </c>
      <c r="D57" s="10" t="s">
        <v>3620</v>
      </c>
      <c r="E57" s="10" t="s">
        <v>3454</v>
      </c>
    </row>
    <row r="58" spans="1:5" ht="34" customHeight="1">
      <c r="A58" s="8" t="s">
        <v>605</v>
      </c>
      <c r="B58" s="8" t="s">
        <v>3621</v>
      </c>
      <c r="C58" s="9" t="s">
        <v>3622</v>
      </c>
      <c r="D58" s="8" t="s">
        <v>3623</v>
      </c>
      <c r="E58" s="8" t="s">
        <v>3454</v>
      </c>
    </row>
    <row r="59" spans="1:5" ht="34" customHeight="1">
      <c r="A59" s="10" t="s">
        <v>621</v>
      </c>
      <c r="B59" s="10" t="s">
        <v>3624</v>
      </c>
      <c r="C59" s="11" t="s">
        <v>3625</v>
      </c>
      <c r="D59" s="10" t="s">
        <v>3626</v>
      </c>
      <c r="E59" s="10" t="s">
        <v>3454</v>
      </c>
    </row>
    <row r="60" spans="1:5" ht="34" customHeight="1">
      <c r="A60" s="8" t="s">
        <v>3627</v>
      </c>
      <c r="B60" s="8" t="s">
        <v>3628</v>
      </c>
      <c r="C60" s="9" t="s">
        <v>3629</v>
      </c>
      <c r="D60" s="8" t="s">
        <v>3630</v>
      </c>
      <c r="E60" s="8" t="s">
        <v>3454</v>
      </c>
    </row>
    <row r="61" spans="1:5" ht="34" customHeight="1">
      <c r="A61" s="10" t="s">
        <v>3239</v>
      </c>
      <c r="B61" s="10" t="s">
        <v>3631</v>
      </c>
      <c r="C61" s="11" t="s">
        <v>3632</v>
      </c>
      <c r="D61" s="10" t="s">
        <v>3633</v>
      </c>
      <c r="E61" s="10" t="s">
        <v>3454</v>
      </c>
    </row>
    <row r="62" spans="1:5" ht="34" customHeight="1">
      <c r="A62" s="8" t="s">
        <v>3244</v>
      </c>
      <c r="B62" s="8" t="s">
        <v>3634</v>
      </c>
      <c r="C62" s="9" t="s">
        <v>3635</v>
      </c>
      <c r="D62" s="8" t="s">
        <v>3636</v>
      </c>
      <c r="E62" s="8" t="s">
        <v>3454</v>
      </c>
    </row>
    <row r="63" spans="1:5" ht="34" customHeight="1">
      <c r="A63" s="10" t="s">
        <v>3637</v>
      </c>
      <c r="B63" s="10" t="s">
        <v>3638</v>
      </c>
      <c r="C63" s="11" t="s">
        <v>3639</v>
      </c>
      <c r="D63" s="10" t="s">
        <v>3640</v>
      </c>
      <c r="E63" s="10" t="s">
        <v>3454</v>
      </c>
    </row>
    <row r="64" spans="1:5" ht="34" customHeight="1">
      <c r="A64" s="8" t="s">
        <v>1021</v>
      </c>
      <c r="B64" s="8" t="s">
        <v>3641</v>
      </c>
      <c r="C64" s="9" t="s">
        <v>3642</v>
      </c>
      <c r="D64" s="8" t="s">
        <v>3643</v>
      </c>
      <c r="E64" s="8" t="s">
        <v>3454</v>
      </c>
    </row>
    <row r="65" spans="1:5" ht="45" customHeight="1">
      <c r="A65" s="10" t="s">
        <v>3644</v>
      </c>
      <c r="B65" s="10" t="s">
        <v>3645</v>
      </c>
      <c r="C65" s="11" t="s">
        <v>3646</v>
      </c>
      <c r="D65" s="10" t="s">
        <v>3647</v>
      </c>
      <c r="E65" s="10" t="s">
        <v>3454</v>
      </c>
    </row>
    <row r="66" spans="1:5" ht="34" customHeight="1">
      <c r="A66" s="8" t="s">
        <v>2787</v>
      </c>
      <c r="B66" s="8" t="s">
        <v>3648</v>
      </c>
      <c r="C66" s="9" t="s">
        <v>3649</v>
      </c>
      <c r="D66" s="8" t="s">
        <v>3650</v>
      </c>
      <c r="E66" s="8" t="s">
        <v>3454</v>
      </c>
    </row>
  </sheetData>
  <autoFilter ref="A5:E66"/>
  <mergeCells count="2">
    <mergeCell ref="A1:E2"/>
    <mergeCell ref="A3:E3"/>
  </mergeCells>
  <hyperlinks>
    <hyperlink ref="C6" r:id="rId1"/>
    <hyperlink ref="C7" r:id="rId2"/>
    <hyperlink ref="C8" r:id="rId3"/>
    <hyperlink ref="C9" r:id="rId4"/>
    <hyperlink ref="C10" r:id="rId5"/>
    <hyperlink ref="C11" r:id="rId6"/>
    <hyperlink ref="C12" r:id="rId7"/>
    <hyperlink ref="C13" r:id="rId8"/>
    <hyperlink ref="C14" r:id="rId9"/>
    <hyperlink ref="C15" r:id="rId10"/>
    <hyperlink ref="C16" r:id="rId11"/>
    <hyperlink ref="C17" r:id="rId12"/>
    <hyperlink ref="C18" r:id="rId13"/>
    <hyperlink ref="C19" r:id="rId14"/>
    <hyperlink ref="C20" r:id="rId15"/>
    <hyperlink ref="C21" r:id="rId16"/>
    <hyperlink ref="C22" r:id="rId17"/>
    <hyperlink ref="C23" r:id="rId18"/>
    <hyperlink ref="C24" r:id="rId19"/>
    <hyperlink ref="C25" r:id="rId20"/>
    <hyperlink ref="C26" r:id="rId21"/>
    <hyperlink ref="C27" r:id="rId22"/>
    <hyperlink ref="C28" r:id="rId23"/>
    <hyperlink ref="C29" r:id="rId24"/>
    <hyperlink ref="C30" r:id="rId25"/>
    <hyperlink ref="C31" r:id="rId26"/>
    <hyperlink ref="C32" r:id="rId27"/>
    <hyperlink ref="C33" r:id="rId28"/>
    <hyperlink ref="C34" r:id="rId29"/>
    <hyperlink ref="C35" r:id="rId30"/>
    <hyperlink ref="C36" r:id="rId31"/>
    <hyperlink ref="C37" r:id="rId32"/>
    <hyperlink ref="C38" r:id="rId33"/>
    <hyperlink ref="C39" r:id="rId34"/>
    <hyperlink ref="C40" r:id="rId35"/>
    <hyperlink ref="C41" r:id="rId36"/>
    <hyperlink ref="C42" r:id="rId37"/>
    <hyperlink ref="C43" r:id="rId38"/>
    <hyperlink ref="C44" r:id="rId39"/>
    <hyperlink ref="C45" r:id="rId40"/>
    <hyperlink ref="C46" r:id="rId41"/>
    <hyperlink ref="C47" r:id="rId42"/>
    <hyperlink ref="C48" r:id="rId43"/>
    <hyperlink ref="C49" r:id="rId44"/>
    <hyperlink ref="C50" r:id="rId45"/>
    <hyperlink ref="C51" r:id="rId46"/>
    <hyperlink ref="C52" r:id="rId47"/>
    <hyperlink ref="C53" r:id="rId48"/>
    <hyperlink ref="C54" r:id="rId49"/>
    <hyperlink ref="C55" r:id="rId50"/>
    <hyperlink ref="C56" r:id="rId51"/>
    <hyperlink ref="C57" r:id="rId52"/>
    <hyperlink ref="C58" r:id="rId53"/>
    <hyperlink ref="C59" r:id="rId54"/>
    <hyperlink ref="C60" r:id="rId55"/>
    <hyperlink ref="C61" r:id="rId56"/>
    <hyperlink ref="C62" r:id="rId57"/>
    <hyperlink ref="C63" r:id="rId58"/>
    <hyperlink ref="C64" r:id="rId59"/>
    <hyperlink ref="C65" r:id="rId60" location="aurora-storage-type"/>
    <hyperlink ref="C66" r:id="rId61"/>
  </hyperlink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worksheet>
</file>

<file path=xl/worksheets/sheet25.xml><?xml version="1.0" encoding="utf-8"?>
<worksheet xmlns="http://schemas.openxmlformats.org/spreadsheetml/2006/main" xmlns:r="http://schemas.openxmlformats.org/officeDocument/2006/relationships">
  <sheetPr>
    <tabColor rgb="FF777777"/>
    <pageSetUpPr fitToPage="1"/>
  </sheetPr>
  <dimension ref="A1:F17"/>
  <sheetViews>
    <sheetView showGridLines="0" zoomScale="85" zoomScaleNormal="85"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2.7109375" customWidth="1"/>
    <col min="2" max="2" width="24.7109375" customWidth="1"/>
    <col min="3" max="3" width="20.7109375" customWidth="1"/>
    <col min="4" max="4" width="48.7109375" customWidth="1"/>
    <col min="5" max="5" width="38.7109375" customWidth="1"/>
    <col min="6" max="6" width="72.7109375" customWidth="1"/>
  </cols>
  <sheetData>
    <row r="1" spans="1:6" ht="26" customHeight="1">
      <c r="A1" s="5" t="s">
        <v>3651</v>
      </c>
      <c r="B1" s="5"/>
      <c r="C1" s="5"/>
      <c r="D1" s="5"/>
      <c r="E1" s="5"/>
      <c r="F1" s="5"/>
    </row>
    <row r="2" spans="1:6" ht="26" customHeight="1">
      <c r="A2" s="5"/>
      <c r="B2" s="5"/>
      <c r="C2" s="5"/>
      <c r="D2" s="5"/>
      <c r="E2" s="5"/>
      <c r="F2" s="5"/>
    </row>
    <row r="3" spans="1:6" ht="48" customHeight="1">
      <c r="A3" s="6" t="s">
        <v>3652</v>
      </c>
      <c r="B3" s="6"/>
      <c r="C3" s="6"/>
      <c r="D3" s="6"/>
      <c r="E3" s="6"/>
      <c r="F3" s="6"/>
    </row>
    <row r="4" spans="1:6" ht="12" customHeight="1"/>
    <row r="5" spans="1:6" ht="38" customHeight="1">
      <c r="A5" s="7" t="s">
        <v>3653</v>
      </c>
      <c r="B5" s="7" t="s">
        <v>3654</v>
      </c>
      <c r="C5" s="7" t="s">
        <v>3655</v>
      </c>
      <c r="D5" s="7" t="s">
        <v>3656</v>
      </c>
      <c r="E5" s="7" t="s">
        <v>3657</v>
      </c>
      <c r="F5" s="7" t="s">
        <v>3658</v>
      </c>
    </row>
    <row r="6" spans="1:6" ht="45" customHeight="1">
      <c r="A6" s="8" t="s">
        <v>3659</v>
      </c>
      <c r="B6" s="8" t="s">
        <v>3660</v>
      </c>
      <c r="C6" s="8" t="s">
        <v>3661</v>
      </c>
      <c r="D6" s="8" t="s">
        <v>3662</v>
      </c>
      <c r="E6" s="8" t="s">
        <v>3663</v>
      </c>
      <c r="F6" s="8" t="s">
        <v>3664</v>
      </c>
    </row>
    <row r="7" spans="1:6" ht="45" customHeight="1">
      <c r="A7" s="10" t="s">
        <v>3659</v>
      </c>
      <c r="B7" s="10" t="s">
        <v>3665</v>
      </c>
      <c r="C7" s="10" t="s">
        <v>3236</v>
      </c>
      <c r="D7" s="10" t="s">
        <v>3666</v>
      </c>
      <c r="E7" s="10" t="s">
        <v>3667</v>
      </c>
      <c r="F7" s="10" t="s">
        <v>3668</v>
      </c>
    </row>
    <row r="8" spans="1:6" ht="45" customHeight="1">
      <c r="A8" s="8" t="s">
        <v>3659</v>
      </c>
      <c r="B8" s="8" t="s">
        <v>3669</v>
      </c>
      <c r="C8" s="8" t="s">
        <v>3670</v>
      </c>
      <c r="D8" s="8" t="s">
        <v>3671</v>
      </c>
      <c r="E8" s="8" t="s">
        <v>3672</v>
      </c>
      <c r="F8" s="8" t="s">
        <v>3673</v>
      </c>
    </row>
    <row r="9" spans="1:6" ht="45" customHeight="1">
      <c r="A9" s="10" t="s">
        <v>3659</v>
      </c>
      <c r="B9" s="10" t="s">
        <v>3674</v>
      </c>
      <c r="C9" s="10" t="s">
        <v>3241</v>
      </c>
      <c r="D9" s="10" t="s">
        <v>3675</v>
      </c>
      <c r="E9" s="10" t="s">
        <v>3676</v>
      </c>
      <c r="F9" s="10" t="s">
        <v>3677</v>
      </c>
    </row>
    <row r="10" spans="1:6" ht="45" customHeight="1">
      <c r="A10" s="8" t="s">
        <v>3659</v>
      </c>
      <c r="B10" s="8" t="s">
        <v>3678</v>
      </c>
      <c r="C10" s="8" t="s">
        <v>3241</v>
      </c>
      <c r="D10" s="8" t="s">
        <v>3679</v>
      </c>
      <c r="E10" s="8" t="s">
        <v>3680</v>
      </c>
      <c r="F10" s="8" t="s">
        <v>3681</v>
      </c>
    </row>
    <row r="11" spans="1:6" ht="45" customHeight="1">
      <c r="A11" s="10" t="s">
        <v>3659</v>
      </c>
      <c r="B11" s="10" t="s">
        <v>3682</v>
      </c>
      <c r="C11" s="10" t="s">
        <v>3670</v>
      </c>
      <c r="D11" s="10" t="s">
        <v>3683</v>
      </c>
      <c r="E11" s="10" t="s">
        <v>3684</v>
      </c>
      <c r="F11" s="10" t="s">
        <v>3685</v>
      </c>
    </row>
    <row r="12" spans="1:6" ht="45" customHeight="1">
      <c r="A12" s="8" t="s">
        <v>3686</v>
      </c>
      <c r="B12" s="8" t="s">
        <v>3660</v>
      </c>
      <c r="C12" s="8" t="s">
        <v>3661</v>
      </c>
      <c r="D12" s="8" t="s">
        <v>3687</v>
      </c>
      <c r="E12" s="8" t="s">
        <v>3688</v>
      </c>
      <c r="F12" s="8" t="s">
        <v>3689</v>
      </c>
    </row>
    <row r="13" spans="1:6" ht="45" customHeight="1">
      <c r="A13" s="10" t="s">
        <v>3686</v>
      </c>
      <c r="B13" s="10" t="s">
        <v>3665</v>
      </c>
      <c r="C13" s="10" t="s">
        <v>3236</v>
      </c>
      <c r="D13" s="10" t="s">
        <v>3690</v>
      </c>
      <c r="E13" s="10" t="s">
        <v>3691</v>
      </c>
      <c r="F13" s="10" t="s">
        <v>3692</v>
      </c>
    </row>
    <row r="14" spans="1:6" ht="45" customHeight="1">
      <c r="A14" s="8" t="s">
        <v>3686</v>
      </c>
      <c r="B14" s="8" t="s">
        <v>3669</v>
      </c>
      <c r="C14" s="8" t="s">
        <v>3670</v>
      </c>
      <c r="D14" s="8" t="s">
        <v>3693</v>
      </c>
      <c r="E14" s="8" t="s">
        <v>3694</v>
      </c>
      <c r="F14" s="8" t="s">
        <v>3673</v>
      </c>
    </row>
    <row r="15" spans="1:6" ht="45" customHeight="1">
      <c r="A15" s="10" t="s">
        <v>3686</v>
      </c>
      <c r="B15" s="10" t="s">
        <v>3674</v>
      </c>
      <c r="C15" s="10" t="s">
        <v>3241</v>
      </c>
      <c r="D15" s="10" t="s">
        <v>3695</v>
      </c>
      <c r="E15" s="10" t="s">
        <v>3696</v>
      </c>
      <c r="F15" s="10" t="s">
        <v>3677</v>
      </c>
    </row>
    <row r="16" spans="1:6" ht="45" customHeight="1">
      <c r="A16" s="8" t="s">
        <v>3686</v>
      </c>
      <c r="B16" s="8" t="s">
        <v>3678</v>
      </c>
      <c r="C16" s="8" t="s">
        <v>3241</v>
      </c>
      <c r="D16" s="8" t="s">
        <v>3697</v>
      </c>
      <c r="E16" s="8" t="s">
        <v>3698</v>
      </c>
      <c r="F16" s="8" t="s">
        <v>3681</v>
      </c>
    </row>
    <row r="17" spans="1:6" ht="45" customHeight="1">
      <c r="A17" s="10" t="s">
        <v>3686</v>
      </c>
      <c r="B17" s="10" t="s">
        <v>3682</v>
      </c>
      <c r="C17" s="10" t="s">
        <v>3670</v>
      </c>
      <c r="D17" s="10" t="s">
        <v>3699</v>
      </c>
      <c r="E17" s="10" t="s">
        <v>3700</v>
      </c>
      <c r="F17" s="10" t="s">
        <v>3685</v>
      </c>
    </row>
  </sheetData>
  <autoFilter ref="A5:F17"/>
  <mergeCells count="2">
    <mergeCell ref="A1:F2"/>
    <mergeCell ref="A3:F3"/>
  </mergeCells>
  <pageMargins left="0.3" right="0.3" top="0.45" bottom="0.45" header="0.3" footer="0.3"/>
  <pageSetup paperSize="8" fitToHeight="0" orientation="landscape"/>
  <headerFooter>
    <oddHeader>&amp;L&amp;"Meiryo UI,Regular"Aurora 8.4.7 / 東京・大阪&amp;R2026-10-11</oddHeader>
    <oddFooter>&amp;L&amp;"Meiryo UI,Regular"公式確認と設計提案を区別&amp;R&amp;P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47</vt:i4>
      </vt:variant>
    </vt:vector>
  </HeadingPairs>
  <TitlesOfParts>
    <vt:vector size="72" baseType="lpstr">
      <vt:lpstr>00_はじめに</vt:lpstr>
      <vt:lpstr>01_結論と前提</vt:lpstr>
      <vt:lpstr>02_構成図</vt:lpstr>
      <vt:lpstr>03_仕組みと歴史</vt:lpstr>
      <vt:lpstr>04_Global構成評価</vt:lpstr>
      <vt:lpstr>05_DR手順</vt:lpstr>
      <vt:lpstr>06_設定取得と共通イメージ</vt:lpstr>
      <vt:lpstr>07_Proxy設定</vt:lpstr>
      <vt:lpstr>08_接続経路の厳格評価</vt:lpstr>
      <vt:lpstr>09_パラメータ設計原則</vt:lpstr>
      <vt:lpstr>10_タイムアウト</vt:lpstr>
      <vt:lpstr>11_Java_JNDI</vt:lpstr>
      <vt:lpstr>12_認証とTLS</vt:lpstr>
      <vt:lpstr>13_ストレージ設計</vt:lpstr>
      <vt:lpstr>14_受入試験と監視</vt:lpstr>
      <vt:lpstr>15_接続数試算</vt:lpstr>
      <vt:lpstr>16_設定例と確認手順</vt:lpstr>
      <vt:lpstr>20_クラスタ既定</vt:lpstr>
      <vt:lpstr>21_クラスタ推奨</vt:lpstr>
      <vt:lpstr>22_インスタンス既定</vt:lpstr>
      <vt:lpstr>23_インスタンス推奨</vt:lpstr>
      <vt:lpstr>24_全件一覧の読み方</vt:lpstr>
      <vt:lpstr>25_長い許容値</vt:lpstr>
      <vt:lpstr>90_公式出典</vt:lpstr>
      <vt:lpstr>91_API取得証跡</vt:lpstr>
      <vt:lpstr>'00_はじめに'!Print_Area</vt:lpstr>
      <vt:lpstr>'01_結論と前提'!Print_Area</vt:lpstr>
      <vt:lpstr>'02_構成図'!Print_Area</vt:lpstr>
      <vt:lpstr>'03_仕組みと歴史'!Print_Area</vt:lpstr>
      <vt:lpstr>'04_Global構成評価'!Print_Area</vt:lpstr>
      <vt:lpstr>'05_DR手順'!Print_Area</vt:lpstr>
      <vt:lpstr>'06_設定取得と共通イメージ'!Print_Area</vt:lpstr>
      <vt:lpstr>'07_Proxy設定'!Print_Area</vt:lpstr>
      <vt:lpstr>'08_接続経路の厳格評価'!Print_Area</vt:lpstr>
      <vt:lpstr>'09_パラメータ設計原則'!Print_Area</vt:lpstr>
      <vt:lpstr>'10_タイムアウト'!Print_Area</vt:lpstr>
      <vt:lpstr>'11_Java_JNDI'!Print_Area</vt:lpstr>
      <vt:lpstr>'12_認証とTLS'!Print_Area</vt:lpstr>
      <vt:lpstr>'13_ストレージ設計'!Print_Area</vt:lpstr>
      <vt:lpstr>'14_受入試験と監視'!Print_Area</vt:lpstr>
      <vt:lpstr>'15_接続数試算'!Print_Area</vt:lpstr>
      <vt:lpstr>'16_設定例と確認手順'!Print_Area</vt:lpstr>
      <vt:lpstr>'20_クラスタ既定'!Print_Area</vt:lpstr>
      <vt:lpstr>'21_クラスタ推奨'!Print_Area</vt:lpstr>
      <vt:lpstr>'22_インスタンス既定'!Print_Area</vt:lpstr>
      <vt:lpstr>'23_インスタンス推奨'!Print_Area</vt:lpstr>
      <vt:lpstr>'24_全件一覧の読み方'!Print_Area</vt:lpstr>
      <vt:lpstr>'25_長い許容値'!Print_Area</vt:lpstr>
      <vt:lpstr>'90_公式出典'!Print_Area</vt:lpstr>
      <vt:lpstr>'91_API取得証跡'!Print_Area</vt:lpstr>
      <vt:lpstr>'01_結論と前提'!Print_Titles</vt:lpstr>
      <vt:lpstr>'03_仕組みと歴史'!Print_Titles</vt:lpstr>
      <vt:lpstr>'04_Global構成評価'!Print_Titles</vt:lpstr>
      <vt:lpstr>'05_DR手順'!Print_Titles</vt:lpstr>
      <vt:lpstr>'06_設定取得と共通イメージ'!Print_Titles</vt:lpstr>
      <vt:lpstr>'07_Proxy設定'!Print_Titles</vt:lpstr>
      <vt:lpstr>'08_接続経路の厳格評価'!Print_Titles</vt:lpstr>
      <vt:lpstr>'09_パラメータ設計原則'!Print_Titles</vt:lpstr>
      <vt:lpstr>'10_タイムアウト'!Print_Titles</vt:lpstr>
      <vt:lpstr>'11_Java_JNDI'!Print_Titles</vt:lpstr>
      <vt:lpstr>'12_認証とTLS'!Print_Titles</vt:lpstr>
      <vt:lpstr>'13_ストレージ設計'!Print_Titles</vt:lpstr>
      <vt:lpstr>'14_受入試験と監視'!Print_Titles</vt:lpstr>
      <vt:lpstr>'16_設定例と確認手順'!Print_Titles</vt:lpstr>
      <vt:lpstr>'20_クラスタ既定'!Print_Titles</vt:lpstr>
      <vt:lpstr>'21_クラスタ推奨'!Print_Titles</vt:lpstr>
      <vt:lpstr>'22_インスタンス既定'!Print_Titles</vt:lpstr>
      <vt:lpstr>'23_インスタンス推奨'!Print_Titles</vt:lpstr>
      <vt:lpstr>'24_全件一覧の読み方'!Print_Titles</vt:lpstr>
      <vt:lpstr>'25_長い許容値'!Print_Titles</vt:lpstr>
      <vt:lpstr>'90_公式出典'!Print_Titles</vt:lpstr>
      <vt:lpstr>'91_API取得証跡'!Print_Titles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Aurora Global Database 東京・大阪 設計評価</dc:title>
  <dc:subject>Aurora 8.4.7 Serverless v2 RDS Proxy JBoss EAP 8.1</dc:subject>
  <dc:creator>Architecture assessment</dc:creator>
  <dc:description>Source-backed recommendations; runtime validation remains required.</dc:description>
  <cp:lastModifiedBy>Architecture assessment</cp:lastModifiedBy>
  <dcterms:created xsi:type="dcterms:W3CDTF">2026-10-11T10:50:49Z</dcterms:created>
  <dcterms:modified xsi:type="dcterms:W3CDTF">2026-10-11T10:50:49Z</dcterms:modified>
</cp:coreProperties>
</file>